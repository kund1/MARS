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(D-drive)\TUNJUNG S\ENGSER ACTIVITY\PROGRESS\2026 ANDON SMALL PART\OFFSET SUPPLY\2026\JANUARI 2026\"/>
    </mc:Choice>
  </mc:AlternateContent>
  <bookViews>
    <workbookView xWindow="0" yWindow="1920" windowWidth="11520" windowHeight="6120" tabRatio="856" firstSheet="2" activeTab="13"/>
  </bookViews>
  <sheets>
    <sheet name="8 formal" sheetId="16" state="hidden" r:id="rId1"/>
    <sheet name="7 formal 2" sheetId="20" state="hidden" r:id="rId2"/>
    <sheet name="14" sheetId="45" r:id="rId3"/>
    <sheet name="15" sheetId="44" r:id="rId4"/>
    <sheet name="16" sheetId="43" r:id="rId5"/>
    <sheet name="17" sheetId="42" r:id="rId6"/>
    <sheet name="18" sheetId="38" r:id="rId7"/>
    <sheet name="19" sheetId="37" r:id="rId8"/>
    <sheet name="20" sheetId="39" r:id="rId9"/>
    <sheet name="21" sheetId="33" r:id="rId10"/>
    <sheet name="22" sheetId="40" r:id="rId11"/>
    <sheet name="23" sheetId="41" r:id="rId12"/>
    <sheet name="24" sheetId="46" r:id="rId13"/>
    <sheet name="UPLOAD 14 - 24" sheetId="36" r:id="rId14"/>
    <sheet name="Sheet2" sheetId="47" r:id="rId15"/>
  </sheets>
  <definedNames>
    <definedName name="_xlnm._FilterDatabase" localSheetId="2" hidden="1">'14'!$A$5:$CE$121</definedName>
    <definedName name="_xlnm._FilterDatabase" localSheetId="3" hidden="1">'15'!$A$5:$CJ$119</definedName>
    <definedName name="_xlnm._FilterDatabase" localSheetId="4" hidden="1">'16'!$A$5:$CN$119</definedName>
    <definedName name="_xlnm._FilterDatabase" localSheetId="5" hidden="1">'17'!$A$6:$CS$120</definedName>
    <definedName name="_xlnm._FilterDatabase" localSheetId="6" hidden="1">'18'!$A$6:$CF$120</definedName>
    <definedName name="_xlnm._FilterDatabase" localSheetId="7" hidden="1">'19'!$A$5:$CJ$119</definedName>
    <definedName name="_xlnm._FilterDatabase" localSheetId="8" hidden="1">'20'!$B$6:$CN$120</definedName>
    <definedName name="_xlnm._FilterDatabase" localSheetId="9" hidden="1">'21'!$A$6:$CR$120</definedName>
    <definedName name="_xlnm._FilterDatabase" localSheetId="10" hidden="1">'22'!$A$6:$CV$120</definedName>
    <definedName name="_xlnm._FilterDatabase" localSheetId="11" hidden="1">'23'!$A$6:$CZ$120</definedName>
    <definedName name="_xlnm._FilterDatabase" localSheetId="0" hidden="1">'8 formal'!$B$5:$AY$95</definedName>
    <definedName name="_xlnm._FilterDatabase" localSheetId="14" hidden="1">Sheet2!$A$1:$AO$96</definedName>
    <definedName name="_xlnm._FilterDatabase" localSheetId="13" hidden="1">'UPLOAD 14 - 24'!$A$6:$I$1241</definedName>
    <definedName name="_xlnm.Print_Area" localSheetId="9">'21'!$B$1:$BW$119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2" i="47" l="1"/>
  <c r="AM96" i="47"/>
  <c r="AM95" i="47"/>
  <c r="AM94" i="47"/>
  <c r="AM93" i="47"/>
  <c r="AM92" i="47"/>
  <c r="AM91" i="47"/>
  <c r="AM90" i="47"/>
  <c r="AM89" i="47"/>
  <c r="AM88" i="47"/>
  <c r="AM87" i="47"/>
  <c r="AM86" i="47"/>
  <c r="AM85" i="47"/>
  <c r="AM84" i="47"/>
  <c r="AM83" i="47"/>
  <c r="AM82" i="47"/>
  <c r="AM81" i="47"/>
  <c r="AM80" i="47"/>
  <c r="AM79" i="47"/>
  <c r="AM78" i="47"/>
  <c r="AM77" i="47"/>
  <c r="AM76" i="47"/>
  <c r="AM75" i="47"/>
  <c r="AM74" i="47"/>
  <c r="AM73" i="47"/>
  <c r="AM72" i="47"/>
  <c r="AM71" i="47"/>
  <c r="AM70" i="47"/>
  <c r="AM69" i="47"/>
  <c r="AM68" i="47"/>
  <c r="AM67" i="47"/>
  <c r="AM66" i="47"/>
  <c r="AM65" i="47"/>
  <c r="AM64" i="47"/>
  <c r="AM63" i="47"/>
  <c r="AM62" i="47"/>
  <c r="AM61" i="47"/>
  <c r="AM60" i="47"/>
  <c r="AM59" i="47"/>
  <c r="AM58" i="47"/>
  <c r="AM57" i="47"/>
  <c r="AM56" i="47"/>
  <c r="AM55" i="47"/>
  <c r="AM54" i="47"/>
  <c r="AM53" i="47"/>
  <c r="AM52" i="47"/>
  <c r="AM51" i="47"/>
  <c r="AM50" i="47"/>
  <c r="AM49" i="47"/>
  <c r="AM48" i="47"/>
  <c r="AM47" i="47"/>
  <c r="AM46" i="47"/>
  <c r="AM45" i="47"/>
  <c r="AM44" i="47"/>
  <c r="AM43" i="47"/>
  <c r="AM42" i="47"/>
  <c r="AM41" i="47"/>
  <c r="AM40" i="47"/>
  <c r="AM39" i="47"/>
  <c r="AM38" i="47"/>
  <c r="AM37" i="47"/>
  <c r="AM36" i="47"/>
  <c r="AM35" i="47"/>
  <c r="AM34" i="47"/>
  <c r="AM33" i="47"/>
  <c r="AM32" i="47"/>
  <c r="AM31" i="47"/>
  <c r="AM30" i="47"/>
  <c r="AM29" i="47"/>
  <c r="AM28" i="47"/>
  <c r="AM27" i="47"/>
  <c r="AM26" i="47"/>
  <c r="AM25" i="47"/>
  <c r="AM24" i="47"/>
  <c r="AM23" i="47"/>
  <c r="AM22" i="47"/>
  <c r="AM21" i="47"/>
  <c r="AM20" i="47"/>
  <c r="AM19" i="47"/>
  <c r="AM18" i="47"/>
  <c r="AM17" i="47"/>
  <c r="AM16" i="47"/>
  <c r="AM15" i="47"/>
  <c r="AM14" i="47"/>
  <c r="AM13" i="47"/>
  <c r="AM12" i="47"/>
  <c r="AM11" i="47"/>
  <c r="AM10" i="47"/>
  <c r="AM9" i="47"/>
  <c r="AM8" i="47"/>
  <c r="AM7" i="47"/>
  <c r="AM6" i="47"/>
  <c r="AM5" i="47"/>
  <c r="AM4" i="47"/>
  <c r="AM3" i="47"/>
  <c r="AB96" i="47"/>
  <c r="AB95" i="47"/>
  <c r="AB94" i="47"/>
  <c r="AB93" i="47"/>
  <c r="AB92" i="47"/>
  <c r="AB91" i="47"/>
  <c r="AB90" i="47"/>
  <c r="AB89" i="47"/>
  <c r="AB88" i="47"/>
  <c r="AB87" i="47"/>
  <c r="AB86" i="47"/>
  <c r="AB85" i="47"/>
  <c r="AB84" i="47"/>
  <c r="AB83" i="47"/>
  <c r="AB82" i="47"/>
  <c r="AB81" i="47"/>
  <c r="AB80" i="47"/>
  <c r="AB79" i="47"/>
  <c r="AB78" i="47"/>
  <c r="AB77" i="47"/>
  <c r="AB76" i="47"/>
  <c r="AB75" i="47"/>
  <c r="AB74" i="47"/>
  <c r="AB73" i="47"/>
  <c r="AB72" i="47"/>
  <c r="AB71" i="47"/>
  <c r="AB70" i="47"/>
  <c r="AB69" i="47"/>
  <c r="AB68" i="47"/>
  <c r="AB67" i="47"/>
  <c r="AB66" i="47"/>
  <c r="AB65" i="47"/>
  <c r="AB64" i="47"/>
  <c r="AB63" i="47"/>
  <c r="AB62" i="47"/>
  <c r="AB61" i="47"/>
  <c r="AB60" i="47"/>
  <c r="AB59" i="47"/>
  <c r="AB58" i="47"/>
  <c r="AB57" i="47"/>
  <c r="AB56" i="47"/>
  <c r="AB55" i="47"/>
  <c r="AB54" i="47"/>
  <c r="AB53" i="47"/>
  <c r="AB52" i="47"/>
  <c r="AB51" i="47"/>
  <c r="AB50" i="47"/>
  <c r="AB49" i="47"/>
  <c r="AB48" i="47"/>
  <c r="AB47" i="47"/>
  <c r="AB46" i="47"/>
  <c r="AB45" i="47"/>
  <c r="AB44" i="47"/>
  <c r="AB43" i="47"/>
  <c r="AB42" i="47"/>
  <c r="AB41" i="47"/>
  <c r="AB40" i="47"/>
  <c r="AB39" i="47"/>
  <c r="AB38" i="47"/>
  <c r="AB37" i="47"/>
  <c r="AB36" i="47"/>
  <c r="AB35" i="47"/>
  <c r="AB34" i="47"/>
  <c r="AB33" i="47"/>
  <c r="AB32" i="47"/>
  <c r="AB31" i="47"/>
  <c r="AB30" i="47"/>
  <c r="AB29" i="47"/>
  <c r="AB28" i="47"/>
  <c r="AB27" i="47"/>
  <c r="AB26" i="47"/>
  <c r="AB25" i="47"/>
  <c r="AB24" i="47"/>
  <c r="AB23" i="47"/>
  <c r="AB22" i="47"/>
  <c r="AB21" i="47"/>
  <c r="AB20" i="47"/>
  <c r="AB19" i="47"/>
  <c r="AB18" i="47"/>
  <c r="AB17" i="47"/>
  <c r="AB16" i="47"/>
  <c r="AB15" i="47"/>
  <c r="AB14" i="47"/>
  <c r="AB13" i="47"/>
  <c r="AB12" i="47"/>
  <c r="AB11" i="47"/>
  <c r="AB10" i="47"/>
  <c r="AB9" i="47"/>
  <c r="AB8" i="47"/>
  <c r="AB7" i="47"/>
  <c r="AB6" i="47"/>
  <c r="AB5" i="47"/>
  <c r="AB4" i="47"/>
  <c r="AB3" i="47"/>
  <c r="AB2" i="47"/>
  <c r="AD9" i="46"/>
  <c r="AE9" i="46" s="1"/>
  <c r="AF9" i="46" s="1"/>
  <c r="AG9" i="46" s="1"/>
  <c r="K7" i="46"/>
  <c r="D120" i="46"/>
  <c r="AL119" i="46"/>
  <c r="D119" i="46"/>
  <c r="AL118" i="46"/>
  <c r="D118" i="46"/>
  <c r="O117" i="46"/>
  <c r="P117" i="46" s="1"/>
  <c r="Q117" i="46" s="1"/>
  <c r="R117" i="46" s="1"/>
  <c r="S117" i="46" s="1"/>
  <c r="T117" i="46" s="1"/>
  <c r="U117" i="46" s="1"/>
  <c r="V117" i="46" s="1"/>
  <c r="W117" i="46" s="1"/>
  <c r="X117" i="46" s="1"/>
  <c r="Y117" i="46" s="1"/>
  <c r="Z117" i="46" s="1"/>
  <c r="AA117" i="46" s="1"/>
  <c r="AB117" i="46" s="1"/>
  <c r="AC117" i="46" s="1"/>
  <c r="AE117" i="46" s="1"/>
  <c r="AF117" i="46" s="1"/>
  <c r="AG117" i="46" s="1"/>
  <c r="AH117" i="46" s="1"/>
  <c r="AI117" i="46" s="1"/>
  <c r="AJ117" i="46" s="1"/>
  <c r="AK117" i="46" s="1"/>
  <c r="AL117" i="46" s="1"/>
  <c r="AM117" i="46" s="1"/>
  <c r="AN117" i="46" s="1"/>
  <c r="AO117" i="46" s="1"/>
  <c r="AP117" i="46" s="1"/>
  <c r="AQ117" i="46" s="1"/>
  <c r="AR117" i="46" s="1"/>
  <c r="AS117" i="46" s="1"/>
  <c r="AT117" i="46" s="1"/>
  <c r="AU117" i="46" s="1"/>
  <c r="AV117" i="46" s="1"/>
  <c r="AW117" i="46" s="1"/>
  <c r="AX117" i="46" s="1"/>
  <c r="AY117" i="46" s="1"/>
  <c r="AZ117" i="46" s="1"/>
  <c r="BA117" i="46" s="1"/>
  <c r="BC117" i="46" s="1"/>
  <c r="BD117" i="46" s="1"/>
  <c r="N117" i="46"/>
  <c r="D117" i="46"/>
  <c r="AG116" i="46"/>
  <c r="AH116" i="46" s="1"/>
  <c r="AI116" i="46" s="1"/>
  <c r="AJ116" i="46" s="1"/>
  <c r="AK116" i="46" s="1"/>
  <c r="AL116" i="46" s="1"/>
  <c r="AM116" i="46" s="1"/>
  <c r="AN116" i="46" s="1"/>
  <c r="AO116" i="46" s="1"/>
  <c r="AP116" i="46" s="1"/>
  <c r="AQ116" i="46" s="1"/>
  <c r="AR116" i="46" s="1"/>
  <c r="AS116" i="46" s="1"/>
  <c r="AT116" i="46" s="1"/>
  <c r="AU116" i="46" s="1"/>
  <c r="AV116" i="46" s="1"/>
  <c r="AW116" i="46" s="1"/>
  <c r="AX116" i="46" s="1"/>
  <c r="AY116" i="46" s="1"/>
  <c r="AZ116" i="46" s="1"/>
  <c r="BA116" i="46" s="1"/>
  <c r="AF116" i="46"/>
  <c r="D116" i="46"/>
  <c r="AF115" i="46"/>
  <c r="AG115" i="46" s="1"/>
  <c r="D115" i="46"/>
  <c r="D114" i="46"/>
  <c r="AM113" i="46"/>
  <c r="AN113" i="46" s="1"/>
  <c r="AO113" i="46" s="1"/>
  <c r="AP113" i="46" s="1"/>
  <c r="AQ113" i="46" s="1"/>
  <c r="AR113" i="46" s="1"/>
  <c r="AS113" i="46" s="1"/>
  <c r="AT113" i="46" s="1"/>
  <c r="AU113" i="46" s="1"/>
  <c r="AV113" i="46" s="1"/>
  <c r="AW113" i="46" s="1"/>
  <c r="AX113" i="46" s="1"/>
  <c r="AY113" i="46" s="1"/>
  <c r="AZ113" i="46" s="1"/>
  <c r="BA113" i="46" s="1"/>
  <c r="BC113" i="46" s="1"/>
  <c r="BD113" i="46" s="1"/>
  <c r="BE113" i="46" s="1"/>
  <c r="BF113" i="46" s="1"/>
  <c r="BG113" i="46" s="1"/>
  <c r="BH113" i="46" s="1"/>
  <c r="BI113" i="46" s="1"/>
  <c r="BJ113" i="46" s="1"/>
  <c r="BK113" i="46" s="1"/>
  <c r="BL113" i="46" s="1"/>
  <c r="BM113" i="46" s="1"/>
  <c r="BN113" i="46" s="1"/>
  <c r="BO113" i="46" s="1"/>
  <c r="BP113" i="46" s="1"/>
  <c r="BQ113" i="46" s="1"/>
  <c r="BR113" i="46" s="1"/>
  <c r="BS113" i="46" s="1"/>
  <c r="BT113" i="46" s="1"/>
  <c r="BU113" i="46" s="1"/>
  <c r="BV113" i="46" s="1"/>
  <c r="AL113" i="46"/>
  <c r="D113" i="46"/>
  <c r="AL112" i="46"/>
  <c r="AM112" i="46" s="1"/>
  <c r="D112" i="46"/>
  <c r="N111" i="46"/>
  <c r="D111" i="46"/>
  <c r="AF110" i="46"/>
  <c r="AG110" i="46" s="1"/>
  <c r="D110" i="46"/>
  <c r="AG109" i="46"/>
  <c r="AH109" i="46" s="1"/>
  <c r="AI109" i="46" s="1"/>
  <c r="AJ109" i="46" s="1"/>
  <c r="AK109" i="46" s="1"/>
  <c r="AL109" i="46" s="1"/>
  <c r="AM109" i="46" s="1"/>
  <c r="AN109" i="46" s="1"/>
  <c r="AO109" i="46" s="1"/>
  <c r="AP109" i="46" s="1"/>
  <c r="AQ109" i="46" s="1"/>
  <c r="AR109" i="46" s="1"/>
  <c r="AS109" i="46" s="1"/>
  <c r="AT109" i="46" s="1"/>
  <c r="AU109" i="46" s="1"/>
  <c r="AV109" i="46" s="1"/>
  <c r="AF109" i="46"/>
  <c r="D109" i="46"/>
  <c r="D108" i="46"/>
  <c r="AL107" i="46"/>
  <c r="AM107" i="46" s="1"/>
  <c r="AN107" i="46" s="1"/>
  <c r="AO107" i="46" s="1"/>
  <c r="AP107" i="46" s="1"/>
  <c r="AQ107" i="46" s="1"/>
  <c r="AR107" i="46" s="1"/>
  <c r="AS107" i="46" s="1"/>
  <c r="AT107" i="46" s="1"/>
  <c r="AU107" i="46" s="1"/>
  <c r="AV107" i="46" s="1"/>
  <c r="AW107" i="46" s="1"/>
  <c r="AX107" i="46" s="1"/>
  <c r="AY107" i="46" s="1"/>
  <c r="AZ107" i="46" s="1"/>
  <c r="BA107" i="46" s="1"/>
  <c r="BC107" i="46" s="1"/>
  <c r="BD107" i="46" s="1"/>
  <c r="BE107" i="46" s="1"/>
  <c r="BF107" i="46" s="1"/>
  <c r="BG107" i="46" s="1"/>
  <c r="BH107" i="46" s="1"/>
  <c r="BI107" i="46" s="1"/>
  <c r="BJ107" i="46" s="1"/>
  <c r="BK107" i="46" s="1"/>
  <c r="BL107" i="46" s="1"/>
  <c r="BM107" i="46" s="1"/>
  <c r="BN107" i="46" s="1"/>
  <c r="BO107" i="46" s="1"/>
  <c r="BP107" i="46" s="1"/>
  <c r="BQ107" i="46" s="1"/>
  <c r="BR107" i="46" s="1"/>
  <c r="BS107" i="46" s="1"/>
  <c r="BT107" i="46" s="1"/>
  <c r="D107" i="46"/>
  <c r="AM106" i="46"/>
  <c r="AN106" i="46" s="1"/>
  <c r="AL106" i="46"/>
  <c r="D106" i="46"/>
  <c r="P105" i="46"/>
  <c r="O105" i="46"/>
  <c r="N105" i="46"/>
  <c r="D105" i="46"/>
  <c r="AF104" i="46"/>
  <c r="AG104" i="46" s="1"/>
  <c r="AH104" i="46" s="1"/>
  <c r="AI104" i="46" s="1"/>
  <c r="AJ104" i="46" s="1"/>
  <c r="AK104" i="46" s="1"/>
  <c r="AL104" i="46" s="1"/>
  <c r="AM104" i="46" s="1"/>
  <c r="AN104" i="46" s="1"/>
  <c r="AO104" i="46" s="1"/>
  <c r="AP104" i="46" s="1"/>
  <c r="AQ104" i="46" s="1"/>
  <c r="AR104" i="46" s="1"/>
  <c r="AS104" i="46" s="1"/>
  <c r="AT104" i="46" s="1"/>
  <c r="AU104" i="46" s="1"/>
  <c r="AV104" i="46" s="1"/>
  <c r="D104" i="46"/>
  <c r="AG103" i="46"/>
  <c r="AH103" i="46" s="1"/>
  <c r="AI103" i="46" s="1"/>
  <c r="AJ103" i="46" s="1"/>
  <c r="AK103" i="46" s="1"/>
  <c r="AL103" i="46" s="1"/>
  <c r="AM103" i="46" s="1"/>
  <c r="AN103" i="46" s="1"/>
  <c r="AO103" i="46" s="1"/>
  <c r="AP103" i="46" s="1"/>
  <c r="AQ103" i="46" s="1"/>
  <c r="AR103" i="46" s="1"/>
  <c r="AS103" i="46" s="1"/>
  <c r="AF103" i="46"/>
  <c r="D103" i="46"/>
  <c r="D102" i="46"/>
  <c r="AL101" i="46"/>
  <c r="D101" i="46"/>
  <c r="AL100" i="46"/>
  <c r="D100" i="46"/>
  <c r="O99" i="46"/>
  <c r="P99" i="46" s="1"/>
  <c r="Q99" i="46" s="1"/>
  <c r="R99" i="46" s="1"/>
  <c r="S99" i="46" s="1"/>
  <c r="T99" i="46" s="1"/>
  <c r="U99" i="46" s="1"/>
  <c r="V99" i="46" s="1"/>
  <c r="W99" i="46" s="1"/>
  <c r="X99" i="46" s="1"/>
  <c r="Y99" i="46" s="1"/>
  <c r="Z99" i="46" s="1"/>
  <c r="AA99" i="46" s="1"/>
  <c r="AB99" i="46" s="1"/>
  <c r="AC99" i="46" s="1"/>
  <c r="AE99" i="46" s="1"/>
  <c r="AF99" i="46" s="1"/>
  <c r="AG99" i="46" s="1"/>
  <c r="AH99" i="46" s="1"/>
  <c r="AI99" i="46" s="1"/>
  <c r="AJ99" i="46" s="1"/>
  <c r="AK99" i="46" s="1"/>
  <c r="AL99" i="46" s="1"/>
  <c r="AM99" i="46" s="1"/>
  <c r="AN99" i="46" s="1"/>
  <c r="AO99" i="46" s="1"/>
  <c r="AP99" i="46" s="1"/>
  <c r="AQ99" i="46" s="1"/>
  <c r="AR99" i="46" s="1"/>
  <c r="AS99" i="46" s="1"/>
  <c r="AT99" i="46" s="1"/>
  <c r="AU99" i="46" s="1"/>
  <c r="AV99" i="46" s="1"/>
  <c r="AW99" i="46" s="1"/>
  <c r="N99" i="46"/>
  <c r="D99" i="46"/>
  <c r="AG98" i="46"/>
  <c r="AH98" i="46" s="1"/>
  <c r="AI98" i="46" s="1"/>
  <c r="AJ98" i="46" s="1"/>
  <c r="AK98" i="46" s="1"/>
  <c r="AL98" i="46" s="1"/>
  <c r="AM98" i="46" s="1"/>
  <c r="AN98" i="46" s="1"/>
  <c r="AO98" i="46" s="1"/>
  <c r="AP98" i="46" s="1"/>
  <c r="AQ98" i="46" s="1"/>
  <c r="AR98" i="46" s="1"/>
  <c r="AS98" i="46" s="1"/>
  <c r="AF98" i="46"/>
  <c r="D98" i="46"/>
  <c r="AF97" i="46"/>
  <c r="D97" i="46"/>
  <c r="D96" i="46"/>
  <c r="AM95" i="46"/>
  <c r="AL95" i="46"/>
  <c r="D95" i="46"/>
  <c r="AL94" i="46"/>
  <c r="D94" i="46"/>
  <c r="O93" i="46"/>
  <c r="P93" i="46" s="1"/>
  <c r="Q93" i="46" s="1"/>
  <c r="R93" i="46" s="1"/>
  <c r="S93" i="46" s="1"/>
  <c r="T93" i="46" s="1"/>
  <c r="U93" i="46" s="1"/>
  <c r="V93" i="46" s="1"/>
  <c r="W93" i="46" s="1"/>
  <c r="X93" i="46" s="1"/>
  <c r="Y93" i="46" s="1"/>
  <c r="Z93" i="46" s="1"/>
  <c r="AA93" i="46" s="1"/>
  <c r="AB93" i="46" s="1"/>
  <c r="AC93" i="46" s="1"/>
  <c r="AE93" i="46" s="1"/>
  <c r="AF93" i="46" s="1"/>
  <c r="AG93" i="46" s="1"/>
  <c r="AH93" i="46" s="1"/>
  <c r="AI93" i="46" s="1"/>
  <c r="AJ93" i="46" s="1"/>
  <c r="AK93" i="46" s="1"/>
  <c r="AL93" i="46" s="1"/>
  <c r="AM93" i="46" s="1"/>
  <c r="AN93" i="46" s="1"/>
  <c r="AO93" i="46" s="1"/>
  <c r="AP93" i="46" s="1"/>
  <c r="AQ93" i="46" s="1"/>
  <c r="AR93" i="46" s="1"/>
  <c r="AS93" i="46" s="1"/>
  <c r="AT93" i="46" s="1"/>
  <c r="N93" i="46"/>
  <c r="D93" i="46"/>
  <c r="AF92" i="46"/>
  <c r="AG92" i="46" s="1"/>
  <c r="AH92" i="46" s="1"/>
  <c r="AI92" i="46" s="1"/>
  <c r="AJ92" i="46" s="1"/>
  <c r="AK92" i="46" s="1"/>
  <c r="AL92" i="46" s="1"/>
  <c r="AM92" i="46" s="1"/>
  <c r="AN92" i="46" s="1"/>
  <c r="AO92" i="46" s="1"/>
  <c r="AP92" i="46" s="1"/>
  <c r="AQ92" i="46" s="1"/>
  <c r="D92" i="46"/>
  <c r="AG91" i="46"/>
  <c r="AH91" i="46" s="1"/>
  <c r="AI91" i="46" s="1"/>
  <c r="AJ91" i="46" s="1"/>
  <c r="AK91" i="46" s="1"/>
  <c r="AL91" i="46" s="1"/>
  <c r="AM91" i="46" s="1"/>
  <c r="AN91" i="46" s="1"/>
  <c r="AO91" i="46" s="1"/>
  <c r="AF91" i="46"/>
  <c r="D91" i="46"/>
  <c r="D90" i="46"/>
  <c r="AM89" i="46"/>
  <c r="AN89" i="46" s="1"/>
  <c r="AL89" i="46"/>
  <c r="D89" i="46"/>
  <c r="AL88" i="46"/>
  <c r="AM88" i="46" s="1"/>
  <c r="AN88" i="46" s="1"/>
  <c r="AO88" i="46" s="1"/>
  <c r="AP88" i="46" s="1"/>
  <c r="AQ88" i="46" s="1"/>
  <c r="AR88" i="46" s="1"/>
  <c r="AS88" i="46" s="1"/>
  <c r="AT88" i="46" s="1"/>
  <c r="D88" i="46"/>
  <c r="O87" i="46"/>
  <c r="P87" i="46" s="1"/>
  <c r="Q87" i="46" s="1"/>
  <c r="R87" i="46" s="1"/>
  <c r="S87" i="46" s="1"/>
  <c r="T87" i="46" s="1"/>
  <c r="U87" i="46" s="1"/>
  <c r="V87" i="46" s="1"/>
  <c r="W87" i="46" s="1"/>
  <c r="X87" i="46" s="1"/>
  <c r="Y87" i="46" s="1"/>
  <c r="Z87" i="46" s="1"/>
  <c r="AA87" i="46" s="1"/>
  <c r="AB87" i="46" s="1"/>
  <c r="AC87" i="46" s="1"/>
  <c r="AE87" i="46" s="1"/>
  <c r="AF87" i="46" s="1"/>
  <c r="AG87" i="46" s="1"/>
  <c r="AH87" i="46" s="1"/>
  <c r="AI87" i="46" s="1"/>
  <c r="AJ87" i="46" s="1"/>
  <c r="AK87" i="46" s="1"/>
  <c r="AL87" i="46" s="1"/>
  <c r="AM87" i="46" s="1"/>
  <c r="AN87" i="46" s="1"/>
  <c r="AO87" i="46" s="1"/>
  <c r="AP87" i="46" s="1"/>
  <c r="AQ87" i="46" s="1"/>
  <c r="AR87" i="46" s="1"/>
  <c r="N87" i="46"/>
  <c r="D87" i="46"/>
  <c r="AF86" i="46"/>
  <c r="D86" i="46"/>
  <c r="AG85" i="46"/>
  <c r="AH85" i="46" s="1"/>
  <c r="AI85" i="46" s="1"/>
  <c r="AJ85" i="46" s="1"/>
  <c r="AK85" i="46" s="1"/>
  <c r="AL85" i="46" s="1"/>
  <c r="AM85" i="46" s="1"/>
  <c r="AF85" i="46"/>
  <c r="D85" i="46"/>
  <c r="D84" i="46"/>
  <c r="AL83" i="46"/>
  <c r="D83" i="46"/>
  <c r="AL82" i="46"/>
  <c r="D82" i="46"/>
  <c r="O81" i="46"/>
  <c r="P81" i="46" s="1"/>
  <c r="N81" i="46"/>
  <c r="D81" i="46"/>
  <c r="AG80" i="46"/>
  <c r="AH80" i="46" s="1"/>
  <c r="AI80" i="46" s="1"/>
  <c r="AJ80" i="46" s="1"/>
  <c r="AK80" i="46" s="1"/>
  <c r="AL80" i="46" s="1"/>
  <c r="AM80" i="46" s="1"/>
  <c r="AF80" i="46"/>
  <c r="D80" i="46"/>
  <c r="AF79" i="46"/>
  <c r="AG79" i="46" s="1"/>
  <c r="AH79" i="46" s="1"/>
  <c r="AI79" i="46" s="1"/>
  <c r="D79" i="46"/>
  <c r="D78" i="46"/>
  <c r="AL77" i="46"/>
  <c r="AM77" i="46" s="1"/>
  <c r="AN77" i="46" s="1"/>
  <c r="AO77" i="46" s="1"/>
  <c r="AP77" i="46" s="1"/>
  <c r="AQ77" i="46" s="1"/>
  <c r="AR77" i="46" s="1"/>
  <c r="AS77" i="46" s="1"/>
  <c r="AT77" i="46" s="1"/>
  <c r="AU77" i="46" s="1"/>
  <c r="AV77" i="46" s="1"/>
  <c r="AW77" i="46" s="1"/>
  <c r="AX77" i="46" s="1"/>
  <c r="AY77" i="46" s="1"/>
  <c r="AZ77" i="46" s="1"/>
  <c r="BA77" i="46" s="1"/>
  <c r="BC77" i="46" s="1"/>
  <c r="BD77" i="46" s="1"/>
  <c r="BE77" i="46" s="1"/>
  <c r="BF77" i="46" s="1"/>
  <c r="BG77" i="46" s="1"/>
  <c r="D77" i="46"/>
  <c r="AM76" i="46"/>
  <c r="AL76" i="46"/>
  <c r="D76" i="46"/>
  <c r="N75" i="46"/>
  <c r="O75" i="46" s="1"/>
  <c r="P75" i="46" s="1"/>
  <c r="Q75" i="46" s="1"/>
  <c r="R75" i="46" s="1"/>
  <c r="S75" i="46" s="1"/>
  <c r="T75" i="46" s="1"/>
  <c r="U75" i="46" s="1"/>
  <c r="V75" i="46" s="1"/>
  <c r="W75" i="46" s="1"/>
  <c r="X75" i="46" s="1"/>
  <c r="Y75" i="46" s="1"/>
  <c r="Z75" i="46" s="1"/>
  <c r="AA75" i="46" s="1"/>
  <c r="AB75" i="46" s="1"/>
  <c r="AC75" i="46" s="1"/>
  <c r="AE75" i="46" s="1"/>
  <c r="AF75" i="46" s="1"/>
  <c r="AG75" i="46" s="1"/>
  <c r="AH75" i="46" s="1"/>
  <c r="AI75" i="46" s="1"/>
  <c r="AJ75" i="46" s="1"/>
  <c r="AK75" i="46" s="1"/>
  <c r="AL75" i="46" s="1"/>
  <c r="D75" i="46"/>
  <c r="AF74" i="46"/>
  <c r="D74" i="46"/>
  <c r="AF73" i="46"/>
  <c r="K73" i="46" s="1"/>
  <c r="D73" i="46"/>
  <c r="D72" i="46"/>
  <c r="AL71" i="46"/>
  <c r="AM71" i="46" s="1"/>
  <c r="D71" i="46"/>
  <c r="K70" i="46"/>
  <c r="D70" i="46"/>
  <c r="N69" i="46"/>
  <c r="D69" i="46"/>
  <c r="AF68" i="46"/>
  <c r="K68" i="46"/>
  <c r="D68" i="46"/>
  <c r="K67" i="46"/>
  <c r="D67" i="46"/>
  <c r="D66" i="46"/>
  <c r="AL65" i="46"/>
  <c r="D65" i="46"/>
  <c r="AL64" i="46"/>
  <c r="D64" i="46"/>
  <c r="N63" i="46"/>
  <c r="O63" i="46" s="1"/>
  <c r="P63" i="46" s="1"/>
  <c r="Q63" i="46" s="1"/>
  <c r="R63" i="46" s="1"/>
  <c r="S63" i="46" s="1"/>
  <c r="T63" i="46" s="1"/>
  <c r="D63" i="46"/>
  <c r="AH62" i="46"/>
  <c r="AI62" i="46" s="1"/>
  <c r="AJ62" i="46" s="1"/>
  <c r="AK62" i="46" s="1"/>
  <c r="AL62" i="46" s="1"/>
  <c r="AM62" i="46" s="1"/>
  <c r="AN62" i="46" s="1"/>
  <c r="AO62" i="46" s="1"/>
  <c r="AP62" i="46" s="1"/>
  <c r="AQ62" i="46" s="1"/>
  <c r="AR62" i="46" s="1"/>
  <c r="AS62" i="46" s="1"/>
  <c r="AT62" i="46" s="1"/>
  <c r="AU62" i="46" s="1"/>
  <c r="AV62" i="46" s="1"/>
  <c r="AW62" i="46" s="1"/>
  <c r="AX62" i="46" s="1"/>
  <c r="AY62" i="46" s="1"/>
  <c r="AZ62" i="46" s="1"/>
  <c r="BA62" i="46" s="1"/>
  <c r="AF62" i="46"/>
  <c r="AG62" i="46" s="1"/>
  <c r="D62" i="46"/>
  <c r="AF61" i="46"/>
  <c r="AG61" i="46" s="1"/>
  <c r="AH61" i="46" s="1"/>
  <c r="AI61" i="46" s="1"/>
  <c r="AJ61" i="46" s="1"/>
  <c r="AK61" i="46" s="1"/>
  <c r="AL61" i="46" s="1"/>
  <c r="AM61" i="46" s="1"/>
  <c r="AN61" i="46" s="1"/>
  <c r="AO61" i="46" s="1"/>
  <c r="AP61" i="46" s="1"/>
  <c r="AQ61" i="46" s="1"/>
  <c r="AR61" i="46" s="1"/>
  <c r="AS61" i="46" s="1"/>
  <c r="AT61" i="46" s="1"/>
  <c r="AU61" i="46" s="1"/>
  <c r="AV61" i="46" s="1"/>
  <c r="AW61" i="46" s="1"/>
  <c r="AX61" i="46" s="1"/>
  <c r="D61" i="46"/>
  <c r="D60" i="46"/>
  <c r="AL59" i="46"/>
  <c r="D59" i="46"/>
  <c r="AL58" i="46"/>
  <c r="AM58" i="46" s="1"/>
  <c r="AN58" i="46" s="1"/>
  <c r="AO58" i="46" s="1"/>
  <c r="AP58" i="46" s="1"/>
  <c r="AQ58" i="46" s="1"/>
  <c r="AR58" i="46" s="1"/>
  <c r="AS58" i="46" s="1"/>
  <c r="AT58" i="46" s="1"/>
  <c r="AU58" i="46" s="1"/>
  <c r="AV58" i="46" s="1"/>
  <c r="AW58" i="46" s="1"/>
  <c r="AX58" i="46" s="1"/>
  <c r="AY58" i="46" s="1"/>
  <c r="AZ58" i="46" s="1"/>
  <c r="BA58" i="46" s="1"/>
  <c r="BC58" i="46" s="1"/>
  <c r="D58" i="46"/>
  <c r="O57" i="46"/>
  <c r="P57" i="46" s="1"/>
  <c r="Q57" i="46" s="1"/>
  <c r="R57" i="46" s="1"/>
  <c r="S57" i="46" s="1"/>
  <c r="T57" i="46" s="1"/>
  <c r="U57" i="46" s="1"/>
  <c r="V57" i="46" s="1"/>
  <c r="W57" i="46" s="1"/>
  <c r="X57" i="46" s="1"/>
  <c r="Y57" i="46" s="1"/>
  <c r="Z57" i="46" s="1"/>
  <c r="AA57" i="46" s="1"/>
  <c r="AB57" i="46" s="1"/>
  <c r="AC57" i="46" s="1"/>
  <c r="AE57" i="46" s="1"/>
  <c r="AF57" i="46" s="1"/>
  <c r="AG57" i="46" s="1"/>
  <c r="AH57" i="46" s="1"/>
  <c r="AI57" i="46" s="1"/>
  <c r="AJ57" i="46" s="1"/>
  <c r="AK57" i="46" s="1"/>
  <c r="AL57" i="46" s="1"/>
  <c r="AM57" i="46" s="1"/>
  <c r="AN57" i="46" s="1"/>
  <c r="AO57" i="46" s="1"/>
  <c r="AP57" i="46" s="1"/>
  <c r="AQ57" i="46" s="1"/>
  <c r="AR57" i="46" s="1"/>
  <c r="AS57" i="46" s="1"/>
  <c r="AT57" i="46" s="1"/>
  <c r="AU57" i="46" s="1"/>
  <c r="AV57" i="46" s="1"/>
  <c r="AW57" i="46" s="1"/>
  <c r="AX57" i="46" s="1"/>
  <c r="AY57" i="46" s="1"/>
  <c r="AZ57" i="46" s="1"/>
  <c r="N57" i="46"/>
  <c r="D57" i="46"/>
  <c r="AF56" i="46"/>
  <c r="AG56" i="46" s="1"/>
  <c r="AH56" i="46" s="1"/>
  <c r="AI56" i="46" s="1"/>
  <c r="AJ56" i="46" s="1"/>
  <c r="AK56" i="46" s="1"/>
  <c r="AL56" i="46" s="1"/>
  <c r="AM56" i="46" s="1"/>
  <c r="AN56" i="46" s="1"/>
  <c r="AO56" i="46" s="1"/>
  <c r="AP56" i="46" s="1"/>
  <c r="AQ56" i="46" s="1"/>
  <c r="AR56" i="46" s="1"/>
  <c r="AS56" i="46" s="1"/>
  <c r="AT56" i="46" s="1"/>
  <c r="AU56" i="46" s="1"/>
  <c r="AV56" i="46" s="1"/>
  <c r="AW56" i="46" s="1"/>
  <c r="AX56" i="46" s="1"/>
  <c r="D56" i="46"/>
  <c r="AF55" i="46"/>
  <c r="D55" i="46"/>
  <c r="D54" i="46"/>
  <c r="AL53" i="46"/>
  <c r="D53" i="46"/>
  <c r="AM52" i="46"/>
  <c r="AN52" i="46" s="1"/>
  <c r="AO52" i="46" s="1"/>
  <c r="AP52" i="46" s="1"/>
  <c r="AQ52" i="46" s="1"/>
  <c r="AR52" i="46" s="1"/>
  <c r="AS52" i="46" s="1"/>
  <c r="AT52" i="46" s="1"/>
  <c r="AU52" i="46" s="1"/>
  <c r="AV52" i="46" s="1"/>
  <c r="AW52" i="46" s="1"/>
  <c r="AX52" i="46" s="1"/>
  <c r="AY52" i="46" s="1"/>
  <c r="AZ52" i="46" s="1"/>
  <c r="AL52" i="46"/>
  <c r="D52" i="46"/>
  <c r="N51" i="46"/>
  <c r="O51" i="46" s="1"/>
  <c r="P51" i="46" s="1"/>
  <c r="Q51" i="46" s="1"/>
  <c r="R51" i="46" s="1"/>
  <c r="S51" i="46" s="1"/>
  <c r="T51" i="46" s="1"/>
  <c r="U51" i="46" s="1"/>
  <c r="V51" i="46" s="1"/>
  <c r="W51" i="46" s="1"/>
  <c r="X51" i="46" s="1"/>
  <c r="Y51" i="46" s="1"/>
  <c r="Z51" i="46" s="1"/>
  <c r="AA51" i="46" s="1"/>
  <c r="AB51" i="46" s="1"/>
  <c r="AC51" i="46" s="1"/>
  <c r="AE51" i="46" s="1"/>
  <c r="AF51" i="46" s="1"/>
  <c r="AG51" i="46" s="1"/>
  <c r="AH51" i="46" s="1"/>
  <c r="AI51" i="46" s="1"/>
  <c r="AJ51" i="46" s="1"/>
  <c r="AK51" i="46" s="1"/>
  <c r="AL51" i="46" s="1"/>
  <c r="AM51" i="46" s="1"/>
  <c r="AN51" i="46" s="1"/>
  <c r="AO51" i="46" s="1"/>
  <c r="AP51" i="46" s="1"/>
  <c r="AQ51" i="46" s="1"/>
  <c r="AR51" i="46" s="1"/>
  <c r="AS51" i="46" s="1"/>
  <c r="AT51" i="46" s="1"/>
  <c r="AU51" i="46" s="1"/>
  <c r="AV51" i="46" s="1"/>
  <c r="AW51" i="46" s="1"/>
  <c r="AX51" i="46" s="1"/>
  <c r="D51" i="46"/>
  <c r="AF50" i="46"/>
  <c r="AG50" i="46" s="1"/>
  <c r="AH50" i="46" s="1"/>
  <c r="AI50" i="46" s="1"/>
  <c r="AJ50" i="46" s="1"/>
  <c r="AK50" i="46" s="1"/>
  <c r="AL50" i="46" s="1"/>
  <c r="AM50" i="46" s="1"/>
  <c r="AN50" i="46" s="1"/>
  <c r="AO50" i="46" s="1"/>
  <c r="AP50" i="46" s="1"/>
  <c r="AQ50" i="46" s="1"/>
  <c r="AR50" i="46" s="1"/>
  <c r="AS50" i="46" s="1"/>
  <c r="AT50" i="46" s="1"/>
  <c r="AU50" i="46" s="1"/>
  <c r="D50" i="46"/>
  <c r="AF49" i="46"/>
  <c r="D49" i="46"/>
  <c r="D48" i="46"/>
  <c r="AL47" i="46"/>
  <c r="AM47" i="46" s="1"/>
  <c r="AN47" i="46" s="1"/>
  <c r="AO47" i="46" s="1"/>
  <c r="AP47" i="46" s="1"/>
  <c r="AQ47" i="46" s="1"/>
  <c r="AR47" i="46" s="1"/>
  <c r="AS47" i="46" s="1"/>
  <c r="AT47" i="46" s="1"/>
  <c r="AU47" i="46" s="1"/>
  <c r="AV47" i="46" s="1"/>
  <c r="AW47" i="46" s="1"/>
  <c r="AX47" i="46" s="1"/>
  <c r="AY47" i="46" s="1"/>
  <c r="AZ47" i="46" s="1"/>
  <c r="BA47" i="46" s="1"/>
  <c r="BC47" i="46" s="1"/>
  <c r="BD47" i="46" s="1"/>
  <c r="BE47" i="46" s="1"/>
  <c r="BF47" i="46" s="1"/>
  <c r="BG47" i="46" s="1"/>
  <c r="BH47" i="46" s="1"/>
  <c r="BI47" i="46" s="1"/>
  <c r="BJ47" i="46" s="1"/>
  <c r="BK47" i="46" s="1"/>
  <c r="BL47" i="46" s="1"/>
  <c r="BM47" i="46" s="1"/>
  <c r="BN47" i="46" s="1"/>
  <c r="BO47" i="46" s="1"/>
  <c r="BP47" i="46" s="1"/>
  <c r="D47" i="46"/>
  <c r="AM46" i="46"/>
  <c r="AN46" i="46" s="1"/>
  <c r="AL46" i="46"/>
  <c r="D46" i="46"/>
  <c r="O45" i="46"/>
  <c r="N45" i="46"/>
  <c r="D45" i="46"/>
  <c r="AF44" i="46"/>
  <c r="AG44" i="46" s="1"/>
  <c r="AH44" i="46" s="1"/>
  <c r="AI44" i="46" s="1"/>
  <c r="AJ44" i="46" s="1"/>
  <c r="AK44" i="46" s="1"/>
  <c r="AL44" i="46" s="1"/>
  <c r="AM44" i="46" s="1"/>
  <c r="AN44" i="46" s="1"/>
  <c r="AO44" i="46" s="1"/>
  <c r="AP44" i="46" s="1"/>
  <c r="AQ44" i="46" s="1"/>
  <c r="AR44" i="46" s="1"/>
  <c r="AS44" i="46" s="1"/>
  <c r="D44" i="46"/>
  <c r="AF43" i="46"/>
  <c r="AG43" i="46" s="1"/>
  <c r="AH43" i="46" s="1"/>
  <c r="AI43" i="46" s="1"/>
  <c r="AJ43" i="46" s="1"/>
  <c r="AK43" i="46" s="1"/>
  <c r="AL43" i="46" s="1"/>
  <c r="AM43" i="46" s="1"/>
  <c r="AN43" i="46" s="1"/>
  <c r="AO43" i="46" s="1"/>
  <c r="AP43" i="46" s="1"/>
  <c r="AQ43" i="46" s="1"/>
  <c r="D43" i="46"/>
  <c r="D42" i="46"/>
  <c r="AM41" i="46"/>
  <c r="AL41" i="46"/>
  <c r="D41" i="46"/>
  <c r="AL40" i="46"/>
  <c r="D40" i="46"/>
  <c r="N39" i="46"/>
  <c r="O39" i="46" s="1"/>
  <c r="P39" i="46" s="1"/>
  <c r="Q39" i="46" s="1"/>
  <c r="R39" i="46" s="1"/>
  <c r="S39" i="46" s="1"/>
  <c r="T39" i="46" s="1"/>
  <c r="U39" i="46" s="1"/>
  <c r="V39" i="46" s="1"/>
  <c r="W39" i="46" s="1"/>
  <c r="X39" i="46" s="1"/>
  <c r="Y39" i="46" s="1"/>
  <c r="Z39" i="46" s="1"/>
  <c r="AA39" i="46" s="1"/>
  <c r="AB39" i="46" s="1"/>
  <c r="AC39" i="46" s="1"/>
  <c r="AE39" i="46" s="1"/>
  <c r="AF39" i="46" s="1"/>
  <c r="AG39" i="46" s="1"/>
  <c r="AH39" i="46" s="1"/>
  <c r="AI39" i="46" s="1"/>
  <c r="AJ39" i="46" s="1"/>
  <c r="AK39" i="46" s="1"/>
  <c r="AL39" i="46" s="1"/>
  <c r="AM39" i="46" s="1"/>
  <c r="AN39" i="46" s="1"/>
  <c r="AO39" i="46" s="1"/>
  <c r="AP39" i="46" s="1"/>
  <c r="AQ39" i="46" s="1"/>
  <c r="AR39" i="46" s="1"/>
  <c r="D39" i="46"/>
  <c r="AF38" i="46"/>
  <c r="D38" i="46"/>
  <c r="AF37" i="46"/>
  <c r="D37" i="46"/>
  <c r="D36" i="46"/>
  <c r="AM35" i="46"/>
  <c r="AN35" i="46" s="1"/>
  <c r="AO35" i="46" s="1"/>
  <c r="AP35" i="46" s="1"/>
  <c r="AQ35" i="46" s="1"/>
  <c r="AR35" i="46" s="1"/>
  <c r="AS35" i="46" s="1"/>
  <c r="AT35" i="46" s="1"/>
  <c r="AU35" i="46" s="1"/>
  <c r="AV35" i="46" s="1"/>
  <c r="AW35" i="46" s="1"/>
  <c r="AX35" i="46" s="1"/>
  <c r="AY35" i="46" s="1"/>
  <c r="AZ35" i="46" s="1"/>
  <c r="BA35" i="46" s="1"/>
  <c r="BC35" i="46" s="1"/>
  <c r="BD35" i="46" s="1"/>
  <c r="BE35" i="46" s="1"/>
  <c r="BF35" i="46" s="1"/>
  <c r="BG35" i="46" s="1"/>
  <c r="BH35" i="46" s="1"/>
  <c r="BI35" i="46" s="1"/>
  <c r="BJ35" i="46" s="1"/>
  <c r="BK35" i="46" s="1"/>
  <c r="BL35" i="46" s="1"/>
  <c r="AL35" i="46"/>
  <c r="D35" i="46"/>
  <c r="AL34" i="46"/>
  <c r="D34" i="46"/>
  <c r="N33" i="46"/>
  <c r="O33" i="46" s="1"/>
  <c r="P33" i="46" s="1"/>
  <c r="Q33" i="46" s="1"/>
  <c r="R33" i="46" s="1"/>
  <c r="S33" i="46" s="1"/>
  <c r="T33" i="46" s="1"/>
  <c r="U33" i="46" s="1"/>
  <c r="V33" i="46" s="1"/>
  <c r="W33" i="46" s="1"/>
  <c r="X33" i="46" s="1"/>
  <c r="Y33" i="46" s="1"/>
  <c r="Z33" i="46" s="1"/>
  <c r="AA33" i="46" s="1"/>
  <c r="AB33" i="46" s="1"/>
  <c r="AC33" i="46" s="1"/>
  <c r="AE33" i="46" s="1"/>
  <c r="AF33" i="46" s="1"/>
  <c r="AG33" i="46" s="1"/>
  <c r="AH33" i="46" s="1"/>
  <c r="AI33" i="46" s="1"/>
  <c r="AJ33" i="46" s="1"/>
  <c r="AK33" i="46" s="1"/>
  <c r="AL33" i="46" s="1"/>
  <c r="AM33" i="46" s="1"/>
  <c r="AN33" i="46" s="1"/>
  <c r="AO33" i="46" s="1"/>
  <c r="AP33" i="46" s="1"/>
  <c r="D33" i="46"/>
  <c r="AF32" i="46"/>
  <c r="AG32" i="46" s="1"/>
  <c r="AH32" i="46" s="1"/>
  <c r="AI32" i="46" s="1"/>
  <c r="AJ32" i="46" s="1"/>
  <c r="AK32" i="46" s="1"/>
  <c r="AL32" i="46" s="1"/>
  <c r="AM32" i="46" s="1"/>
  <c r="AN32" i="46" s="1"/>
  <c r="AO32" i="46" s="1"/>
  <c r="D32" i="46"/>
  <c r="AF31" i="46"/>
  <c r="AG31" i="46" s="1"/>
  <c r="AH31" i="46" s="1"/>
  <c r="AI31" i="46" s="1"/>
  <c r="AJ31" i="46" s="1"/>
  <c r="AK31" i="46" s="1"/>
  <c r="AL31" i="46" s="1"/>
  <c r="AM31" i="46" s="1"/>
  <c r="D31" i="46"/>
  <c r="D30" i="46"/>
  <c r="AR29" i="46"/>
  <c r="AS29" i="46" s="1"/>
  <c r="AT29" i="46" s="1"/>
  <c r="AU29" i="46" s="1"/>
  <c r="AV29" i="46" s="1"/>
  <c r="AW29" i="46" s="1"/>
  <c r="AX29" i="46" s="1"/>
  <c r="AY29" i="46" s="1"/>
  <c r="AZ29" i="46" s="1"/>
  <c r="BA29" i="46" s="1"/>
  <c r="BC29" i="46" s="1"/>
  <c r="BD29" i="46" s="1"/>
  <c r="BE29" i="46" s="1"/>
  <c r="BF29" i="46" s="1"/>
  <c r="BG29" i="46" s="1"/>
  <c r="BH29" i="46" s="1"/>
  <c r="BI29" i="46" s="1"/>
  <c r="AL29" i="46"/>
  <c r="AM29" i="46" s="1"/>
  <c r="AN29" i="46" s="1"/>
  <c r="AO29" i="46" s="1"/>
  <c r="AP29" i="46" s="1"/>
  <c r="AQ29" i="46" s="1"/>
  <c r="D29" i="46"/>
  <c r="AM28" i="46"/>
  <c r="AL28" i="46"/>
  <c r="D28" i="46"/>
  <c r="O27" i="46"/>
  <c r="P27" i="46" s="1"/>
  <c r="N27" i="46"/>
  <c r="D27" i="46"/>
  <c r="AG26" i="46"/>
  <c r="AH26" i="46" s="1"/>
  <c r="AI26" i="46" s="1"/>
  <c r="AJ26" i="46" s="1"/>
  <c r="AK26" i="46" s="1"/>
  <c r="AL26" i="46" s="1"/>
  <c r="AM26" i="46" s="1"/>
  <c r="AF26" i="46"/>
  <c r="D26" i="46"/>
  <c r="AG25" i="46"/>
  <c r="AH25" i="46" s="1"/>
  <c r="AI25" i="46" s="1"/>
  <c r="AF25" i="46"/>
  <c r="K25" i="46" s="1"/>
  <c r="D25" i="46"/>
  <c r="D24" i="46"/>
  <c r="AM23" i="46"/>
  <c r="AN23" i="46" s="1"/>
  <c r="AO23" i="46" s="1"/>
  <c r="AP23" i="46" s="1"/>
  <c r="AQ23" i="46" s="1"/>
  <c r="AR23" i="46" s="1"/>
  <c r="AS23" i="46" s="1"/>
  <c r="AT23" i="46" s="1"/>
  <c r="AU23" i="46" s="1"/>
  <c r="AV23" i="46" s="1"/>
  <c r="AW23" i="46" s="1"/>
  <c r="AX23" i="46" s="1"/>
  <c r="AY23" i="46" s="1"/>
  <c r="AZ23" i="46" s="1"/>
  <c r="BA23" i="46" s="1"/>
  <c r="BC23" i="46" s="1"/>
  <c r="BD23" i="46" s="1"/>
  <c r="BE23" i="46" s="1"/>
  <c r="BF23" i="46" s="1"/>
  <c r="BG23" i="46" s="1"/>
  <c r="AL23" i="46"/>
  <c r="D23" i="46"/>
  <c r="AM22" i="46"/>
  <c r="AN22" i="46" s="1"/>
  <c r="AO22" i="46" s="1"/>
  <c r="AL22" i="46"/>
  <c r="D22" i="46"/>
  <c r="N21" i="46"/>
  <c r="O21" i="46" s="1"/>
  <c r="P21" i="46" s="1"/>
  <c r="Q21" i="46" s="1"/>
  <c r="R21" i="46" s="1"/>
  <c r="S21" i="46" s="1"/>
  <c r="T21" i="46" s="1"/>
  <c r="U21" i="46" s="1"/>
  <c r="V21" i="46" s="1"/>
  <c r="W21" i="46" s="1"/>
  <c r="X21" i="46" s="1"/>
  <c r="Y21" i="46" s="1"/>
  <c r="Z21" i="46" s="1"/>
  <c r="AA21" i="46" s="1"/>
  <c r="AB21" i="46" s="1"/>
  <c r="AC21" i="46" s="1"/>
  <c r="AE21" i="46" s="1"/>
  <c r="AF21" i="46" s="1"/>
  <c r="AG21" i="46" s="1"/>
  <c r="AH21" i="46" s="1"/>
  <c r="AI21" i="46" s="1"/>
  <c r="AJ21" i="46" s="1"/>
  <c r="AK21" i="46" s="1"/>
  <c r="D21" i="46"/>
  <c r="AF20" i="46"/>
  <c r="D20" i="46"/>
  <c r="AG19" i="46"/>
  <c r="AH19" i="46" s="1"/>
  <c r="AF19" i="46"/>
  <c r="D19" i="46"/>
  <c r="D18" i="46"/>
  <c r="AL17" i="46"/>
  <c r="AM17" i="46" s="1"/>
  <c r="AN17" i="46" s="1"/>
  <c r="AO17" i="46" s="1"/>
  <c r="AP17" i="46" s="1"/>
  <c r="AQ17" i="46" s="1"/>
  <c r="AR17" i="46" s="1"/>
  <c r="AS17" i="46" s="1"/>
  <c r="AT17" i="46" s="1"/>
  <c r="AU17" i="46" s="1"/>
  <c r="AV17" i="46" s="1"/>
  <c r="AW17" i="46" s="1"/>
  <c r="AX17" i="46" s="1"/>
  <c r="AY17" i="46" s="1"/>
  <c r="AZ17" i="46" s="1"/>
  <c r="BA17" i="46" s="1"/>
  <c r="BC17" i="46" s="1"/>
  <c r="BD17" i="46" s="1"/>
  <c r="BE17" i="46" s="1"/>
  <c r="BF17" i="46" s="1"/>
  <c r="D17" i="46"/>
  <c r="AM16" i="46"/>
  <c r="AN16" i="46" s="1"/>
  <c r="AL16" i="46"/>
  <c r="D16" i="46"/>
  <c r="N15" i="46"/>
  <c r="O15" i="46" s="1"/>
  <c r="P15" i="46" s="1"/>
  <c r="Q15" i="46" s="1"/>
  <c r="R15" i="46" s="1"/>
  <c r="S15" i="46" s="1"/>
  <c r="T15" i="46" s="1"/>
  <c r="U15" i="46" s="1"/>
  <c r="V15" i="46" s="1"/>
  <c r="W15" i="46" s="1"/>
  <c r="X15" i="46" s="1"/>
  <c r="Y15" i="46" s="1"/>
  <c r="Z15" i="46" s="1"/>
  <c r="AA15" i="46" s="1"/>
  <c r="AB15" i="46" s="1"/>
  <c r="AC15" i="46" s="1"/>
  <c r="AE15" i="46" s="1"/>
  <c r="AF15" i="46" s="1"/>
  <c r="AG15" i="46" s="1"/>
  <c r="AH15" i="46" s="1"/>
  <c r="AI15" i="46" s="1"/>
  <c r="AJ15" i="46" s="1"/>
  <c r="AK15" i="46" s="1"/>
  <c r="D15" i="46"/>
  <c r="AF14" i="46"/>
  <c r="AG14" i="46" s="1"/>
  <c r="D14" i="46"/>
  <c r="AF13" i="46"/>
  <c r="K13" i="46" s="1"/>
  <c r="D13" i="46"/>
  <c r="D12" i="46"/>
  <c r="AM11" i="46"/>
  <c r="AL11" i="46"/>
  <c r="D11" i="46"/>
  <c r="K10" i="46"/>
  <c r="D10" i="46"/>
  <c r="O9" i="46"/>
  <c r="N9" i="46"/>
  <c r="D9" i="46"/>
  <c r="K8" i="46"/>
  <c r="D8" i="46"/>
  <c r="D7" i="46"/>
  <c r="AO8" i="47" l="1"/>
  <c r="AO20" i="47"/>
  <c r="AO32" i="47"/>
  <c r="AO44" i="47"/>
  <c r="AO56" i="47"/>
  <c r="AO68" i="47"/>
  <c r="AO80" i="47"/>
  <c r="AO92" i="47"/>
  <c r="AO9" i="47"/>
  <c r="AO21" i="47"/>
  <c r="AO33" i="47"/>
  <c r="AO45" i="47"/>
  <c r="AO57" i="47"/>
  <c r="AO69" i="47"/>
  <c r="AO81" i="47"/>
  <c r="AO93" i="47"/>
  <c r="AO10" i="47"/>
  <c r="AO22" i="47"/>
  <c r="AO34" i="47"/>
  <c r="AO46" i="47"/>
  <c r="AO58" i="47"/>
  <c r="AO70" i="47"/>
  <c r="AO82" i="47"/>
  <c r="AO94" i="47"/>
  <c r="AO14" i="47"/>
  <c r="AO26" i="47"/>
  <c r="AO38" i="47"/>
  <c r="AO50" i="47"/>
  <c r="AO62" i="47"/>
  <c r="AO74" i="47"/>
  <c r="AO86" i="47"/>
  <c r="AO3" i="47"/>
  <c r="AO15" i="47"/>
  <c r="AO27" i="47"/>
  <c r="AO39" i="47"/>
  <c r="AO51" i="47"/>
  <c r="AO63" i="47"/>
  <c r="AO75" i="47"/>
  <c r="AO87" i="47"/>
  <c r="AO4" i="47"/>
  <c r="AO16" i="47"/>
  <c r="AO28" i="47"/>
  <c r="AO40" i="47"/>
  <c r="AO52" i="47"/>
  <c r="AO64" i="47"/>
  <c r="AO76" i="47"/>
  <c r="AO88" i="47"/>
  <c r="AO5" i="47"/>
  <c r="AO17" i="47"/>
  <c r="AO29" i="47"/>
  <c r="AO41" i="47"/>
  <c r="AO53" i="47"/>
  <c r="AO65" i="47"/>
  <c r="AO77" i="47"/>
  <c r="AO89" i="47"/>
  <c r="AO6" i="47"/>
  <c r="AO18" i="47"/>
  <c r="AO30" i="47"/>
  <c r="AO42" i="47"/>
  <c r="AO54" i="47"/>
  <c r="AO66" i="47"/>
  <c r="AO78" i="47"/>
  <c r="AO90" i="47"/>
  <c r="AO7" i="47"/>
  <c r="AO19" i="47"/>
  <c r="AO31" i="47"/>
  <c r="AO43" i="47"/>
  <c r="AO55" i="47"/>
  <c r="AO67" i="47"/>
  <c r="AO79" i="47"/>
  <c r="AO91" i="47"/>
  <c r="AO11" i="47"/>
  <c r="AO23" i="47"/>
  <c r="AO35" i="47"/>
  <c r="AO47" i="47"/>
  <c r="AO59" i="47"/>
  <c r="AO71" i="47"/>
  <c r="AO83" i="47"/>
  <c r="AO95" i="47"/>
  <c r="AO12" i="47"/>
  <c r="AO24" i="47"/>
  <c r="AO36" i="47"/>
  <c r="AO48" i="47"/>
  <c r="AO60" i="47"/>
  <c r="AO72" i="47"/>
  <c r="AO84" i="47"/>
  <c r="AO96" i="47"/>
  <c r="AO13" i="47"/>
  <c r="AO25" i="47"/>
  <c r="AO37" i="47"/>
  <c r="AO49" i="47"/>
  <c r="AO61" i="47"/>
  <c r="AO73" i="47"/>
  <c r="AO85" i="47"/>
  <c r="AO2" i="47"/>
  <c r="Q27" i="46"/>
  <c r="R27" i="46" s="1"/>
  <c r="S27" i="46" s="1"/>
  <c r="T27" i="46" s="1"/>
  <c r="U27" i="46" s="1"/>
  <c r="V27" i="46" s="1"/>
  <c r="W27" i="46" s="1"/>
  <c r="X27" i="46" s="1"/>
  <c r="Y27" i="46" s="1"/>
  <c r="Z27" i="46" s="1"/>
  <c r="AA27" i="46" s="1"/>
  <c r="AB27" i="46" s="1"/>
  <c r="AC27" i="46" s="1"/>
  <c r="AE27" i="46" s="1"/>
  <c r="AF27" i="46" s="1"/>
  <c r="AG27" i="46" s="1"/>
  <c r="AH27" i="46" s="1"/>
  <c r="AI27" i="46" s="1"/>
  <c r="AJ27" i="46" s="1"/>
  <c r="AK27" i="46" s="1"/>
  <c r="AL27" i="46" s="1"/>
  <c r="AM27" i="46" s="1"/>
  <c r="AN27" i="46" s="1"/>
  <c r="AN11" i="46"/>
  <c r="AO11" i="46" s="1"/>
  <c r="AP11" i="46" s="1"/>
  <c r="AQ11" i="46" s="1"/>
  <c r="AR11" i="46" s="1"/>
  <c r="AS11" i="46" s="1"/>
  <c r="AT11" i="46" s="1"/>
  <c r="AU11" i="46" s="1"/>
  <c r="AV11" i="46" s="1"/>
  <c r="AW11" i="46" s="1"/>
  <c r="AX11" i="46" s="1"/>
  <c r="AY11" i="46" s="1"/>
  <c r="AZ11" i="46" s="1"/>
  <c r="BA11" i="46" s="1"/>
  <c r="BC11" i="46" s="1"/>
  <c r="BD11" i="46" s="1"/>
  <c r="P45" i="46"/>
  <c r="Q45" i="46" s="1"/>
  <c r="R45" i="46" s="1"/>
  <c r="S45" i="46" s="1"/>
  <c r="T45" i="46" s="1"/>
  <c r="U45" i="46" s="1"/>
  <c r="V45" i="46" s="1"/>
  <c r="W45" i="46" s="1"/>
  <c r="X45" i="46" s="1"/>
  <c r="Y45" i="46" s="1"/>
  <c r="Z45" i="46" s="1"/>
  <c r="AA45" i="46" s="1"/>
  <c r="AB45" i="46" s="1"/>
  <c r="AC45" i="46" s="1"/>
  <c r="AE45" i="46" s="1"/>
  <c r="AF45" i="46" s="1"/>
  <c r="AG45" i="46" s="1"/>
  <c r="AH45" i="46" s="1"/>
  <c r="AI45" i="46" s="1"/>
  <c r="AJ45" i="46" s="1"/>
  <c r="AK45" i="46" s="1"/>
  <c r="AL45" i="46" s="1"/>
  <c r="AM45" i="46" s="1"/>
  <c r="AN45" i="46" s="1"/>
  <c r="AO45" i="46" s="1"/>
  <c r="AP45" i="46" s="1"/>
  <c r="AQ45" i="46" s="1"/>
  <c r="AR45" i="46" s="1"/>
  <c r="AS45" i="46" s="1"/>
  <c r="AT45" i="46" s="1"/>
  <c r="AU45" i="46" s="1"/>
  <c r="AM65" i="46"/>
  <c r="AN65" i="46" s="1"/>
  <c r="AO65" i="46" s="1"/>
  <c r="AP65" i="46" s="1"/>
  <c r="AQ65" i="46" s="1"/>
  <c r="AR65" i="46" s="1"/>
  <c r="AS65" i="46" s="1"/>
  <c r="AT65" i="46" s="1"/>
  <c r="AU65" i="46" s="1"/>
  <c r="AV65" i="46" s="1"/>
  <c r="AW65" i="46" s="1"/>
  <c r="AX65" i="46" s="1"/>
  <c r="AY65" i="46" s="1"/>
  <c r="AZ65" i="46" s="1"/>
  <c r="BA65" i="46" s="1"/>
  <c r="BC65" i="46" s="1"/>
  <c r="BD65" i="46" s="1"/>
  <c r="BE65" i="46" s="1"/>
  <c r="BF65" i="46" s="1"/>
  <c r="BG65" i="46" s="1"/>
  <c r="BH65" i="46" s="1"/>
  <c r="BI65" i="46" s="1"/>
  <c r="BJ65" i="46" s="1"/>
  <c r="BK65" i="46" s="1"/>
  <c r="BL65" i="46" s="1"/>
  <c r="BM65" i="46" s="1"/>
  <c r="BN65" i="46" s="1"/>
  <c r="BO65" i="46" s="1"/>
  <c r="BP65" i="46" s="1"/>
  <c r="BQ65" i="46" s="1"/>
  <c r="BR65" i="46" s="1"/>
  <c r="BS65" i="46" s="1"/>
  <c r="BT65" i="46" s="1"/>
  <c r="BU65" i="46" s="1"/>
  <c r="BV65" i="46" s="1"/>
  <c r="BW65" i="46" s="1"/>
  <c r="BX65" i="46" s="1"/>
  <c r="AG37" i="46"/>
  <c r="AH37" i="46" s="1"/>
  <c r="AI37" i="46" s="1"/>
  <c r="AJ37" i="46" s="1"/>
  <c r="AK37" i="46" s="1"/>
  <c r="AL37" i="46" s="1"/>
  <c r="AM37" i="46" s="1"/>
  <c r="AN37" i="46" s="1"/>
  <c r="AO37" i="46" s="1"/>
  <c r="AG49" i="46"/>
  <c r="AH49" i="46" s="1"/>
  <c r="AI49" i="46" s="1"/>
  <c r="AJ49" i="46" s="1"/>
  <c r="AK49" i="46" s="1"/>
  <c r="AL49" i="46" s="1"/>
  <c r="AM49" i="46" s="1"/>
  <c r="AN49" i="46" s="1"/>
  <c r="AO49" i="46" s="1"/>
  <c r="AP49" i="46" s="1"/>
  <c r="AQ49" i="46" s="1"/>
  <c r="AR49" i="46" s="1"/>
  <c r="AS49" i="46" s="1"/>
  <c r="P9" i="46"/>
  <c r="Q9" i="46" s="1"/>
  <c r="R9" i="46" s="1"/>
  <c r="S9" i="46" s="1"/>
  <c r="T9" i="46" s="1"/>
  <c r="U9" i="46" s="1"/>
  <c r="V9" i="46" s="1"/>
  <c r="W9" i="46" s="1"/>
  <c r="X9" i="46" s="1"/>
  <c r="Y9" i="46" s="1"/>
  <c r="Z9" i="46" s="1"/>
  <c r="AA9" i="46" s="1"/>
  <c r="AB9" i="46" s="1"/>
  <c r="AC9" i="46" s="1"/>
  <c r="AM40" i="46"/>
  <c r="AN40" i="46" s="1"/>
  <c r="AO40" i="46" s="1"/>
  <c r="AP40" i="46" s="1"/>
  <c r="AQ40" i="46" s="1"/>
  <c r="AR40" i="46" s="1"/>
  <c r="AS40" i="46" s="1"/>
  <c r="AT40" i="46" s="1"/>
  <c r="AG20" i="46"/>
  <c r="AH20" i="46" s="1"/>
  <c r="AI20" i="46" s="1"/>
  <c r="K23" i="46"/>
  <c r="AN28" i="46"/>
  <c r="AO28" i="46" s="1"/>
  <c r="AP28" i="46" s="1"/>
  <c r="AM34" i="46"/>
  <c r="AN34" i="46" s="1"/>
  <c r="AO34" i="46" s="1"/>
  <c r="AP34" i="46" s="1"/>
  <c r="AQ34" i="46" s="1"/>
  <c r="AR34" i="46" s="1"/>
  <c r="K34" i="46"/>
  <c r="AG38" i="46"/>
  <c r="AH38" i="46" s="1"/>
  <c r="AI38" i="46" s="1"/>
  <c r="AJ38" i="46" s="1"/>
  <c r="AK38" i="46" s="1"/>
  <c r="AL38" i="46" s="1"/>
  <c r="AM38" i="46" s="1"/>
  <c r="AN38" i="46" s="1"/>
  <c r="AO38" i="46" s="1"/>
  <c r="AP38" i="46" s="1"/>
  <c r="AQ38" i="46" s="1"/>
  <c r="AN41" i="46"/>
  <c r="AO41" i="46" s="1"/>
  <c r="AP41" i="46" s="1"/>
  <c r="AQ41" i="46" s="1"/>
  <c r="AR41" i="46" s="1"/>
  <c r="AS41" i="46" s="1"/>
  <c r="AT41" i="46" s="1"/>
  <c r="AU41" i="46" s="1"/>
  <c r="AV41" i="46" s="1"/>
  <c r="AW41" i="46" s="1"/>
  <c r="AX41" i="46" s="1"/>
  <c r="AY41" i="46" s="1"/>
  <c r="AZ41" i="46" s="1"/>
  <c r="BA41" i="46" s="1"/>
  <c r="BC41" i="46" s="1"/>
  <c r="BD41" i="46" s="1"/>
  <c r="BE41" i="46" s="1"/>
  <c r="BF41" i="46" s="1"/>
  <c r="BG41" i="46" s="1"/>
  <c r="BH41" i="46" s="1"/>
  <c r="BI41" i="46" s="1"/>
  <c r="BJ41" i="46" s="1"/>
  <c r="BK41" i="46" s="1"/>
  <c r="BL41" i="46" s="1"/>
  <c r="BM41" i="46" s="1"/>
  <c r="BN41" i="46" s="1"/>
  <c r="K41" i="46"/>
  <c r="AH14" i="46"/>
  <c r="K14" i="46"/>
  <c r="AO46" i="46"/>
  <c r="AP46" i="46" s="1"/>
  <c r="AQ46" i="46" s="1"/>
  <c r="AR46" i="46" s="1"/>
  <c r="AS46" i="46" s="1"/>
  <c r="AT46" i="46" s="1"/>
  <c r="AU46" i="46" s="1"/>
  <c r="AV46" i="46" s="1"/>
  <c r="AW46" i="46" s="1"/>
  <c r="K46" i="46"/>
  <c r="U63" i="46"/>
  <c r="V63" i="46" s="1"/>
  <c r="W63" i="46" s="1"/>
  <c r="X63" i="46" s="1"/>
  <c r="Y63" i="46" s="1"/>
  <c r="Z63" i="46" s="1"/>
  <c r="AA63" i="46" s="1"/>
  <c r="AB63" i="46" s="1"/>
  <c r="AC63" i="46" s="1"/>
  <c r="AE63" i="46" s="1"/>
  <c r="AF63" i="46" s="1"/>
  <c r="AG63" i="46" s="1"/>
  <c r="AH63" i="46" s="1"/>
  <c r="AI63" i="46" s="1"/>
  <c r="AJ63" i="46" s="1"/>
  <c r="AK63" i="46" s="1"/>
  <c r="AL63" i="46" s="1"/>
  <c r="AM63" i="46" s="1"/>
  <c r="AN63" i="46" s="1"/>
  <c r="AO63" i="46" s="1"/>
  <c r="AP63" i="46" s="1"/>
  <c r="AQ63" i="46" s="1"/>
  <c r="AR63" i="46" s="1"/>
  <c r="AS63" i="46" s="1"/>
  <c r="AT63" i="46" s="1"/>
  <c r="AU63" i="46" s="1"/>
  <c r="AV63" i="46" s="1"/>
  <c r="AW63" i="46" s="1"/>
  <c r="AX63" i="46" s="1"/>
  <c r="AY63" i="46" s="1"/>
  <c r="AZ63" i="46" s="1"/>
  <c r="BA63" i="46" s="1"/>
  <c r="BC63" i="46" s="1"/>
  <c r="BD63" i="46" s="1"/>
  <c r="K15" i="46"/>
  <c r="K39" i="46"/>
  <c r="AM64" i="46"/>
  <c r="AN64" i="46" s="1"/>
  <c r="AO64" i="46" s="1"/>
  <c r="AP64" i="46" s="1"/>
  <c r="AQ64" i="46" s="1"/>
  <c r="AR64" i="46" s="1"/>
  <c r="AS64" i="46" s="1"/>
  <c r="AT64" i="46" s="1"/>
  <c r="AU64" i="46" s="1"/>
  <c r="AV64" i="46" s="1"/>
  <c r="AW64" i="46" s="1"/>
  <c r="AX64" i="46" s="1"/>
  <c r="AY64" i="46" s="1"/>
  <c r="AZ64" i="46" s="1"/>
  <c r="BA64" i="46" s="1"/>
  <c r="BC64" i="46" s="1"/>
  <c r="BD64" i="46" s="1"/>
  <c r="BE64" i="46" s="1"/>
  <c r="BF64" i="46" s="1"/>
  <c r="K77" i="46"/>
  <c r="AH110" i="46"/>
  <c r="AI110" i="46" s="1"/>
  <c r="AJ110" i="46" s="1"/>
  <c r="AK110" i="46" s="1"/>
  <c r="AL110" i="46" s="1"/>
  <c r="AM110" i="46" s="1"/>
  <c r="AN110" i="46" s="1"/>
  <c r="AO110" i="46" s="1"/>
  <c r="AP110" i="46" s="1"/>
  <c r="AQ110" i="46" s="1"/>
  <c r="AR110" i="46" s="1"/>
  <c r="AS110" i="46" s="1"/>
  <c r="AT110" i="46" s="1"/>
  <c r="AU110" i="46" s="1"/>
  <c r="AV110" i="46" s="1"/>
  <c r="AW110" i="46" s="1"/>
  <c r="AX110" i="46" s="1"/>
  <c r="K50" i="46"/>
  <c r="K57" i="46"/>
  <c r="K85" i="46"/>
  <c r="AN112" i="46"/>
  <c r="AO112" i="46" s="1"/>
  <c r="AP112" i="46" s="1"/>
  <c r="AQ112" i="46" s="1"/>
  <c r="AR112" i="46" s="1"/>
  <c r="AS112" i="46" s="1"/>
  <c r="AT112" i="46" s="1"/>
  <c r="AU112" i="46" s="1"/>
  <c r="AV112" i="46" s="1"/>
  <c r="AW112" i="46" s="1"/>
  <c r="AX112" i="46" s="1"/>
  <c r="AY112" i="46" s="1"/>
  <c r="AZ112" i="46" s="1"/>
  <c r="BA112" i="46" s="1"/>
  <c r="BC112" i="46" s="1"/>
  <c r="AM118" i="46"/>
  <c r="AN118" i="46" s="1"/>
  <c r="AO118" i="46" s="1"/>
  <c r="AP118" i="46" s="1"/>
  <c r="AQ118" i="46" s="1"/>
  <c r="AR118" i="46" s="1"/>
  <c r="AS118" i="46" s="1"/>
  <c r="AT118" i="46" s="1"/>
  <c r="AU118" i="46" s="1"/>
  <c r="AV118" i="46" s="1"/>
  <c r="AW118" i="46" s="1"/>
  <c r="AX118" i="46" s="1"/>
  <c r="AY118" i="46" s="1"/>
  <c r="AZ118" i="46" s="1"/>
  <c r="BA118" i="46" s="1"/>
  <c r="BC118" i="46" s="1"/>
  <c r="BD118" i="46" s="1"/>
  <c r="BE118" i="46" s="1"/>
  <c r="BF118" i="46" s="1"/>
  <c r="K16" i="46"/>
  <c r="K29" i="46"/>
  <c r="K32" i="46"/>
  <c r="K33" i="46"/>
  <c r="K43" i="46"/>
  <c r="AM82" i="46"/>
  <c r="AN82" i="46" s="1"/>
  <c r="AO82" i="46" s="1"/>
  <c r="AP82" i="46" s="1"/>
  <c r="AQ82" i="46" s="1"/>
  <c r="AR82" i="46" s="1"/>
  <c r="K21" i="46"/>
  <c r="K31" i="46"/>
  <c r="K44" i="46"/>
  <c r="K47" i="46"/>
  <c r="K61" i="46"/>
  <c r="K94" i="46"/>
  <c r="AM94" i="46"/>
  <c r="AN94" i="46" s="1"/>
  <c r="AO94" i="46" s="1"/>
  <c r="AP94" i="46" s="1"/>
  <c r="AQ94" i="46" s="1"/>
  <c r="AR94" i="46" s="1"/>
  <c r="AS94" i="46" s="1"/>
  <c r="AT94" i="46" s="1"/>
  <c r="AU94" i="46" s="1"/>
  <c r="AV94" i="46" s="1"/>
  <c r="AW94" i="46" s="1"/>
  <c r="AG97" i="46"/>
  <c r="AH97" i="46" s="1"/>
  <c r="AI97" i="46" s="1"/>
  <c r="AJ97" i="46" s="1"/>
  <c r="AK97" i="46" s="1"/>
  <c r="AL97" i="46" s="1"/>
  <c r="AM97" i="46" s="1"/>
  <c r="AN97" i="46" s="1"/>
  <c r="AO97" i="46" s="1"/>
  <c r="AP97" i="46" s="1"/>
  <c r="AQ97" i="46" s="1"/>
  <c r="K97" i="46"/>
  <c r="K19" i="46"/>
  <c r="K22" i="46"/>
  <c r="K26" i="46"/>
  <c r="K35" i="46"/>
  <c r="K52" i="46"/>
  <c r="AG86" i="46"/>
  <c r="AH86" i="46" s="1"/>
  <c r="AI86" i="46" s="1"/>
  <c r="AJ86" i="46" s="1"/>
  <c r="AK86" i="46" s="1"/>
  <c r="AL86" i="46" s="1"/>
  <c r="AM86" i="46" s="1"/>
  <c r="AN86" i="46" s="1"/>
  <c r="AO86" i="46" s="1"/>
  <c r="AM119" i="46"/>
  <c r="AN119" i="46" s="1"/>
  <c r="AO119" i="46" s="1"/>
  <c r="AP119" i="46" s="1"/>
  <c r="AQ119" i="46" s="1"/>
  <c r="AR119" i="46" s="1"/>
  <c r="AS119" i="46" s="1"/>
  <c r="AT119" i="46" s="1"/>
  <c r="AU119" i="46" s="1"/>
  <c r="AV119" i="46" s="1"/>
  <c r="AW119" i="46" s="1"/>
  <c r="AX119" i="46" s="1"/>
  <c r="AY119" i="46" s="1"/>
  <c r="AZ119" i="46" s="1"/>
  <c r="BA119" i="46" s="1"/>
  <c r="BC119" i="46" s="1"/>
  <c r="BD119" i="46" s="1"/>
  <c r="BE119" i="46" s="1"/>
  <c r="BF119" i="46" s="1"/>
  <c r="BG119" i="46" s="1"/>
  <c r="BH119" i="46" s="1"/>
  <c r="BI119" i="46" s="1"/>
  <c r="BJ119" i="46" s="1"/>
  <c r="BK119" i="46" s="1"/>
  <c r="BL119" i="46" s="1"/>
  <c r="BM119" i="46" s="1"/>
  <c r="BN119" i="46" s="1"/>
  <c r="BO119" i="46" s="1"/>
  <c r="BP119" i="46" s="1"/>
  <c r="BQ119" i="46" s="1"/>
  <c r="BR119" i="46" s="1"/>
  <c r="BS119" i="46" s="1"/>
  <c r="BT119" i="46" s="1"/>
  <c r="BU119" i="46" s="1"/>
  <c r="BV119" i="46" s="1"/>
  <c r="BW119" i="46" s="1"/>
  <c r="BX119" i="46" s="1"/>
  <c r="BY119" i="46" s="1"/>
  <c r="K92" i="46"/>
  <c r="AH115" i="46"/>
  <c r="AI115" i="46" s="1"/>
  <c r="AJ115" i="46" s="1"/>
  <c r="AK115" i="46" s="1"/>
  <c r="AL115" i="46" s="1"/>
  <c r="AM115" i="46" s="1"/>
  <c r="AN115" i="46" s="1"/>
  <c r="AO115" i="46" s="1"/>
  <c r="AP115" i="46" s="1"/>
  <c r="AQ115" i="46" s="1"/>
  <c r="AR115" i="46" s="1"/>
  <c r="AS115" i="46" s="1"/>
  <c r="AT115" i="46" s="1"/>
  <c r="AU115" i="46" s="1"/>
  <c r="AV115" i="46" s="1"/>
  <c r="AW115" i="46" s="1"/>
  <c r="AX115" i="46" s="1"/>
  <c r="K17" i="46"/>
  <c r="K51" i="46"/>
  <c r="AG55" i="46"/>
  <c r="AH55" i="46" s="1"/>
  <c r="AI55" i="46" s="1"/>
  <c r="AJ55" i="46" s="1"/>
  <c r="AK55" i="46" s="1"/>
  <c r="AL55" i="46" s="1"/>
  <c r="AM55" i="46" s="1"/>
  <c r="AN55" i="46" s="1"/>
  <c r="AO55" i="46" s="1"/>
  <c r="AP55" i="46" s="1"/>
  <c r="AQ55" i="46" s="1"/>
  <c r="AR55" i="46" s="1"/>
  <c r="AS55" i="46" s="1"/>
  <c r="AT55" i="46" s="1"/>
  <c r="AU55" i="46" s="1"/>
  <c r="K98" i="46"/>
  <c r="AO106" i="46"/>
  <c r="AP106" i="46" s="1"/>
  <c r="AQ106" i="46" s="1"/>
  <c r="AR106" i="46" s="1"/>
  <c r="AS106" i="46" s="1"/>
  <c r="AT106" i="46" s="1"/>
  <c r="AU106" i="46" s="1"/>
  <c r="AV106" i="46" s="1"/>
  <c r="AW106" i="46" s="1"/>
  <c r="AX106" i="46" s="1"/>
  <c r="AY106" i="46" s="1"/>
  <c r="AZ106" i="46" s="1"/>
  <c r="BA106" i="46" s="1"/>
  <c r="K56" i="46"/>
  <c r="K58" i="46"/>
  <c r="AM59" i="46"/>
  <c r="AN59" i="46" s="1"/>
  <c r="AO59" i="46" s="1"/>
  <c r="AP59" i="46" s="1"/>
  <c r="AQ59" i="46" s="1"/>
  <c r="AR59" i="46" s="1"/>
  <c r="AS59" i="46" s="1"/>
  <c r="AT59" i="46" s="1"/>
  <c r="AU59" i="46" s="1"/>
  <c r="AV59" i="46" s="1"/>
  <c r="AW59" i="46" s="1"/>
  <c r="AX59" i="46" s="1"/>
  <c r="AY59" i="46" s="1"/>
  <c r="AZ59" i="46" s="1"/>
  <c r="BA59" i="46" s="1"/>
  <c r="BC59" i="46" s="1"/>
  <c r="BD59" i="46" s="1"/>
  <c r="BE59" i="46" s="1"/>
  <c r="BF59" i="46" s="1"/>
  <c r="BG59" i="46" s="1"/>
  <c r="BH59" i="46" s="1"/>
  <c r="BI59" i="46" s="1"/>
  <c r="BJ59" i="46" s="1"/>
  <c r="BK59" i="46" s="1"/>
  <c r="BL59" i="46" s="1"/>
  <c r="BM59" i="46" s="1"/>
  <c r="BN59" i="46" s="1"/>
  <c r="BO59" i="46" s="1"/>
  <c r="BP59" i="46" s="1"/>
  <c r="BQ59" i="46" s="1"/>
  <c r="BR59" i="46" s="1"/>
  <c r="BS59" i="46" s="1"/>
  <c r="BT59" i="46" s="1"/>
  <c r="BU59" i="46" s="1"/>
  <c r="AG74" i="46"/>
  <c r="AH74" i="46" s="1"/>
  <c r="AI74" i="46" s="1"/>
  <c r="K79" i="46"/>
  <c r="K87" i="46"/>
  <c r="K93" i="46"/>
  <c r="K53" i="46"/>
  <c r="AN76" i="46"/>
  <c r="AO76" i="46" s="1"/>
  <c r="AN95" i="46"/>
  <c r="AO95" i="46" s="1"/>
  <c r="AP95" i="46" s="1"/>
  <c r="AQ95" i="46" s="1"/>
  <c r="AR95" i="46" s="1"/>
  <c r="AS95" i="46" s="1"/>
  <c r="AT95" i="46" s="1"/>
  <c r="AU95" i="46" s="1"/>
  <c r="AV95" i="46" s="1"/>
  <c r="AW95" i="46" s="1"/>
  <c r="AX95" i="46" s="1"/>
  <c r="AY95" i="46" s="1"/>
  <c r="AZ95" i="46" s="1"/>
  <c r="BA95" i="46" s="1"/>
  <c r="BC95" i="46" s="1"/>
  <c r="BD95" i="46" s="1"/>
  <c r="BE95" i="46" s="1"/>
  <c r="BF95" i="46" s="1"/>
  <c r="BG95" i="46" s="1"/>
  <c r="BH95" i="46" s="1"/>
  <c r="BI95" i="46" s="1"/>
  <c r="BJ95" i="46" s="1"/>
  <c r="BK95" i="46" s="1"/>
  <c r="BL95" i="46" s="1"/>
  <c r="BM95" i="46" s="1"/>
  <c r="BN95" i="46" s="1"/>
  <c r="BO95" i="46" s="1"/>
  <c r="AM53" i="46"/>
  <c r="AN53" i="46" s="1"/>
  <c r="AO53" i="46" s="1"/>
  <c r="AP53" i="46" s="1"/>
  <c r="AQ53" i="46" s="1"/>
  <c r="AR53" i="46" s="1"/>
  <c r="AS53" i="46" s="1"/>
  <c r="AT53" i="46" s="1"/>
  <c r="AU53" i="46" s="1"/>
  <c r="AV53" i="46" s="1"/>
  <c r="AW53" i="46" s="1"/>
  <c r="AX53" i="46" s="1"/>
  <c r="AY53" i="46" s="1"/>
  <c r="AZ53" i="46" s="1"/>
  <c r="BA53" i="46" s="1"/>
  <c r="BC53" i="46" s="1"/>
  <c r="BD53" i="46" s="1"/>
  <c r="BE53" i="46" s="1"/>
  <c r="BF53" i="46" s="1"/>
  <c r="BG53" i="46" s="1"/>
  <c r="BH53" i="46" s="1"/>
  <c r="BI53" i="46" s="1"/>
  <c r="BJ53" i="46" s="1"/>
  <c r="BK53" i="46" s="1"/>
  <c r="BL53" i="46" s="1"/>
  <c r="BM53" i="46" s="1"/>
  <c r="BN53" i="46" s="1"/>
  <c r="BO53" i="46" s="1"/>
  <c r="BP53" i="46" s="1"/>
  <c r="BQ53" i="46" s="1"/>
  <c r="BR53" i="46" s="1"/>
  <c r="BS53" i="46" s="1"/>
  <c r="O69" i="46"/>
  <c r="P69" i="46" s="1"/>
  <c r="Q69" i="46" s="1"/>
  <c r="R69" i="46" s="1"/>
  <c r="S69" i="46" s="1"/>
  <c r="T69" i="46" s="1"/>
  <c r="U69" i="46" s="1"/>
  <c r="V69" i="46" s="1"/>
  <c r="W69" i="46" s="1"/>
  <c r="X69" i="46" s="1"/>
  <c r="Y69" i="46" s="1"/>
  <c r="Z69" i="46" s="1"/>
  <c r="AA69" i="46" s="1"/>
  <c r="AB69" i="46" s="1"/>
  <c r="AC69" i="46" s="1"/>
  <c r="AE69" i="46" s="1"/>
  <c r="AF69" i="46" s="1"/>
  <c r="AG69" i="46" s="1"/>
  <c r="AH69" i="46" s="1"/>
  <c r="AI69" i="46" s="1"/>
  <c r="AN71" i="46"/>
  <c r="AO71" i="46" s="1"/>
  <c r="AP71" i="46" s="1"/>
  <c r="AQ71" i="46" s="1"/>
  <c r="AR71" i="46" s="1"/>
  <c r="AS71" i="46" s="1"/>
  <c r="AT71" i="46" s="1"/>
  <c r="AU71" i="46" s="1"/>
  <c r="AV71" i="46" s="1"/>
  <c r="AW71" i="46" s="1"/>
  <c r="AX71" i="46" s="1"/>
  <c r="AY71" i="46" s="1"/>
  <c r="AZ71" i="46" s="1"/>
  <c r="BA71" i="46" s="1"/>
  <c r="BC71" i="46" s="1"/>
  <c r="BD71" i="46" s="1"/>
  <c r="BE71" i="46" s="1"/>
  <c r="K91" i="46"/>
  <c r="K117" i="46"/>
  <c r="K104" i="46"/>
  <c r="K109" i="46"/>
  <c r="K113" i="46"/>
  <c r="K62" i="46"/>
  <c r="K103" i="46"/>
  <c r="K107" i="46"/>
  <c r="O111" i="46"/>
  <c r="P111" i="46" s="1"/>
  <c r="Q111" i="46" s="1"/>
  <c r="R111" i="46" s="1"/>
  <c r="S111" i="46" s="1"/>
  <c r="T111" i="46" s="1"/>
  <c r="U111" i="46" s="1"/>
  <c r="V111" i="46" s="1"/>
  <c r="W111" i="46" s="1"/>
  <c r="X111" i="46" s="1"/>
  <c r="Y111" i="46" s="1"/>
  <c r="Z111" i="46" s="1"/>
  <c r="AA111" i="46" s="1"/>
  <c r="AB111" i="46" s="1"/>
  <c r="AC111" i="46" s="1"/>
  <c r="AE111" i="46" s="1"/>
  <c r="AF111" i="46" s="1"/>
  <c r="AG111" i="46" s="1"/>
  <c r="AH111" i="46" s="1"/>
  <c r="AI111" i="46" s="1"/>
  <c r="AJ111" i="46" s="1"/>
  <c r="AK111" i="46" s="1"/>
  <c r="AL111" i="46" s="1"/>
  <c r="AM111" i="46" s="1"/>
  <c r="AN111" i="46" s="1"/>
  <c r="AO111" i="46" s="1"/>
  <c r="AP111" i="46" s="1"/>
  <c r="AQ111" i="46" s="1"/>
  <c r="AR111" i="46" s="1"/>
  <c r="AS111" i="46" s="1"/>
  <c r="AT111" i="46" s="1"/>
  <c r="AU111" i="46" s="1"/>
  <c r="AV111" i="46" s="1"/>
  <c r="AW111" i="46" s="1"/>
  <c r="AX111" i="46" s="1"/>
  <c r="AY111" i="46" s="1"/>
  <c r="AZ111" i="46" s="1"/>
  <c r="AM83" i="46"/>
  <c r="AN83" i="46" s="1"/>
  <c r="AO83" i="46" s="1"/>
  <c r="AP83" i="46" s="1"/>
  <c r="AQ83" i="46" s="1"/>
  <c r="AR83" i="46" s="1"/>
  <c r="AS83" i="46" s="1"/>
  <c r="AT83" i="46" s="1"/>
  <c r="AU83" i="46" s="1"/>
  <c r="AV83" i="46" s="1"/>
  <c r="AW83" i="46" s="1"/>
  <c r="AX83" i="46" s="1"/>
  <c r="AY83" i="46" s="1"/>
  <c r="AZ83" i="46" s="1"/>
  <c r="BA83" i="46" s="1"/>
  <c r="BC83" i="46" s="1"/>
  <c r="BD83" i="46" s="1"/>
  <c r="BE83" i="46" s="1"/>
  <c r="BF83" i="46" s="1"/>
  <c r="BG83" i="46" s="1"/>
  <c r="BH83" i="46" s="1"/>
  <c r="BI83" i="46" s="1"/>
  <c r="BJ83" i="46" s="1"/>
  <c r="BK83" i="46" s="1"/>
  <c r="AO89" i="46"/>
  <c r="AP89" i="46" s="1"/>
  <c r="AQ89" i="46" s="1"/>
  <c r="AR89" i="46" s="1"/>
  <c r="AS89" i="46" s="1"/>
  <c r="AT89" i="46" s="1"/>
  <c r="AU89" i="46" s="1"/>
  <c r="AV89" i="46" s="1"/>
  <c r="AW89" i="46" s="1"/>
  <c r="AX89" i="46" s="1"/>
  <c r="AY89" i="46" s="1"/>
  <c r="AZ89" i="46" s="1"/>
  <c r="BA89" i="46" s="1"/>
  <c r="BC89" i="46" s="1"/>
  <c r="BD89" i="46" s="1"/>
  <c r="BE89" i="46" s="1"/>
  <c r="BF89" i="46" s="1"/>
  <c r="BG89" i="46" s="1"/>
  <c r="BH89" i="46" s="1"/>
  <c r="BI89" i="46" s="1"/>
  <c r="BJ89" i="46" s="1"/>
  <c r="BK89" i="46" s="1"/>
  <c r="BL89" i="46" s="1"/>
  <c r="BM89" i="46" s="1"/>
  <c r="Q81" i="46"/>
  <c r="R81" i="46" s="1"/>
  <c r="S81" i="46" s="1"/>
  <c r="T81" i="46" s="1"/>
  <c r="U81" i="46" s="1"/>
  <c r="V81" i="46" s="1"/>
  <c r="W81" i="46" s="1"/>
  <c r="X81" i="46" s="1"/>
  <c r="Y81" i="46" s="1"/>
  <c r="Z81" i="46" s="1"/>
  <c r="AA81" i="46" s="1"/>
  <c r="AB81" i="46" s="1"/>
  <c r="AC81" i="46" s="1"/>
  <c r="AE81" i="46" s="1"/>
  <c r="AF81" i="46" s="1"/>
  <c r="AG81" i="46" s="1"/>
  <c r="AH81" i="46" s="1"/>
  <c r="AI81" i="46" s="1"/>
  <c r="AJ81" i="46" s="1"/>
  <c r="AK81" i="46" s="1"/>
  <c r="AL81" i="46" s="1"/>
  <c r="AM81" i="46" s="1"/>
  <c r="AN81" i="46" s="1"/>
  <c r="AO81" i="46" s="1"/>
  <c r="AP81" i="46" s="1"/>
  <c r="AM101" i="46"/>
  <c r="AN101" i="46" s="1"/>
  <c r="AO101" i="46" s="1"/>
  <c r="AP101" i="46" s="1"/>
  <c r="AQ101" i="46" s="1"/>
  <c r="AR101" i="46" s="1"/>
  <c r="AS101" i="46" s="1"/>
  <c r="AT101" i="46" s="1"/>
  <c r="AU101" i="46" s="1"/>
  <c r="AV101" i="46" s="1"/>
  <c r="AW101" i="46" s="1"/>
  <c r="AX101" i="46" s="1"/>
  <c r="AY101" i="46" s="1"/>
  <c r="AZ101" i="46" s="1"/>
  <c r="BA101" i="46" s="1"/>
  <c r="BC101" i="46" s="1"/>
  <c r="BD101" i="46" s="1"/>
  <c r="BE101" i="46" s="1"/>
  <c r="BF101" i="46" s="1"/>
  <c r="BG101" i="46" s="1"/>
  <c r="BH101" i="46" s="1"/>
  <c r="BI101" i="46" s="1"/>
  <c r="BJ101" i="46" s="1"/>
  <c r="BK101" i="46" s="1"/>
  <c r="BL101" i="46" s="1"/>
  <c r="BM101" i="46" s="1"/>
  <c r="BN101" i="46" s="1"/>
  <c r="BO101" i="46" s="1"/>
  <c r="BP101" i="46" s="1"/>
  <c r="BQ101" i="46" s="1"/>
  <c r="BR101" i="46" s="1"/>
  <c r="Q105" i="46"/>
  <c r="R105" i="46" s="1"/>
  <c r="S105" i="46" s="1"/>
  <c r="T105" i="46" s="1"/>
  <c r="U105" i="46" s="1"/>
  <c r="V105" i="46" s="1"/>
  <c r="W105" i="46" s="1"/>
  <c r="X105" i="46" s="1"/>
  <c r="Y105" i="46" s="1"/>
  <c r="Z105" i="46" s="1"/>
  <c r="AA105" i="46" s="1"/>
  <c r="AB105" i="46" s="1"/>
  <c r="AC105" i="46" s="1"/>
  <c r="AE105" i="46" s="1"/>
  <c r="AF105" i="46" s="1"/>
  <c r="AG105" i="46" s="1"/>
  <c r="AH105" i="46" s="1"/>
  <c r="AI105" i="46" s="1"/>
  <c r="AJ105" i="46" s="1"/>
  <c r="AK105" i="46" s="1"/>
  <c r="AL105" i="46" s="1"/>
  <c r="AM105" i="46" s="1"/>
  <c r="AN105" i="46" s="1"/>
  <c r="AO105" i="46" s="1"/>
  <c r="AP105" i="46" s="1"/>
  <c r="AQ105" i="46" s="1"/>
  <c r="AR105" i="46" s="1"/>
  <c r="AS105" i="46" s="1"/>
  <c r="AT105" i="46" s="1"/>
  <c r="AU105" i="46" s="1"/>
  <c r="AV105" i="46" s="1"/>
  <c r="AW105" i="46" s="1"/>
  <c r="AX105" i="46" s="1"/>
  <c r="AY105" i="46" s="1"/>
  <c r="K116" i="46"/>
  <c r="K80" i="46"/>
  <c r="K99" i="46"/>
  <c r="K75" i="46"/>
  <c r="K88" i="46"/>
  <c r="AM100" i="46"/>
  <c r="AN100" i="46" s="1"/>
  <c r="AO100" i="46" s="1"/>
  <c r="AP100" i="46" s="1"/>
  <c r="AQ100" i="46" s="1"/>
  <c r="AR100" i="46" s="1"/>
  <c r="AS100" i="46" s="1"/>
  <c r="AT100" i="46" s="1"/>
  <c r="AU100" i="46" s="1"/>
  <c r="AV100" i="46" s="1"/>
  <c r="AW100" i="46" s="1"/>
  <c r="AX100" i="46" s="1"/>
  <c r="AY100" i="46" s="1"/>
  <c r="B101" i="36"/>
  <c r="B100" i="36"/>
  <c r="B99" i="36"/>
  <c r="B98" i="36"/>
  <c r="B97" i="36"/>
  <c r="B96" i="36"/>
  <c r="B95" i="36"/>
  <c r="B94" i="36"/>
  <c r="B93" i="36"/>
  <c r="B92" i="36"/>
  <c r="B91" i="36"/>
  <c r="B90" i="36"/>
  <c r="B89" i="36"/>
  <c r="B88" i="36"/>
  <c r="B87" i="36"/>
  <c r="B86" i="36"/>
  <c r="B85" i="36"/>
  <c r="B84" i="36"/>
  <c r="B83" i="36"/>
  <c r="B82" i="36"/>
  <c r="B81" i="36"/>
  <c r="B80" i="36"/>
  <c r="B79" i="36"/>
  <c r="B78" i="36"/>
  <c r="B77" i="36"/>
  <c r="B76" i="36"/>
  <c r="B75" i="36"/>
  <c r="B74" i="36"/>
  <c r="B73" i="36"/>
  <c r="B72" i="36"/>
  <c r="B71" i="36"/>
  <c r="B70" i="36"/>
  <c r="B69" i="36"/>
  <c r="B68" i="36"/>
  <c r="B67" i="36"/>
  <c r="B66" i="36"/>
  <c r="B65" i="36"/>
  <c r="B64" i="36"/>
  <c r="B63" i="36"/>
  <c r="B62" i="36"/>
  <c r="B61" i="36"/>
  <c r="B60" i="36"/>
  <c r="B59" i="36"/>
  <c r="B58" i="36"/>
  <c r="B57" i="36"/>
  <c r="B56" i="36"/>
  <c r="B55" i="36"/>
  <c r="B54" i="36"/>
  <c r="B53" i="36"/>
  <c r="B52" i="36"/>
  <c r="B51" i="36"/>
  <c r="B50" i="36"/>
  <c r="B49" i="36"/>
  <c r="B48" i="36"/>
  <c r="B47" i="36"/>
  <c r="B46" i="36"/>
  <c r="B45" i="36"/>
  <c r="B44" i="36"/>
  <c r="B43" i="36"/>
  <c r="B42" i="36"/>
  <c r="B41" i="36"/>
  <c r="B40" i="36"/>
  <c r="B39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6" i="36"/>
  <c r="B15" i="36"/>
  <c r="B14" i="36"/>
  <c r="B13" i="36"/>
  <c r="B12" i="36"/>
  <c r="B11" i="36"/>
  <c r="B10" i="36"/>
  <c r="B9" i="36"/>
  <c r="B8" i="36"/>
  <c r="B7" i="36"/>
  <c r="B196" i="36"/>
  <c r="B195" i="36"/>
  <c r="B194" i="36"/>
  <c r="B193" i="36"/>
  <c r="B192" i="36"/>
  <c r="B191" i="36"/>
  <c r="B190" i="36"/>
  <c r="B189" i="36"/>
  <c r="B188" i="36"/>
  <c r="B187" i="36"/>
  <c r="B186" i="36"/>
  <c r="B185" i="36"/>
  <c r="B184" i="36"/>
  <c r="B183" i="36"/>
  <c r="B182" i="36"/>
  <c r="B181" i="36"/>
  <c r="B180" i="36"/>
  <c r="B179" i="36"/>
  <c r="B178" i="36"/>
  <c r="B177" i="36"/>
  <c r="B176" i="36"/>
  <c r="B175" i="36"/>
  <c r="B174" i="36"/>
  <c r="B173" i="36"/>
  <c r="B172" i="36"/>
  <c r="B171" i="36"/>
  <c r="B170" i="36"/>
  <c r="B169" i="36"/>
  <c r="B168" i="36"/>
  <c r="B167" i="36"/>
  <c r="B166" i="36"/>
  <c r="B165" i="36"/>
  <c r="B164" i="36"/>
  <c r="B163" i="36"/>
  <c r="B162" i="36"/>
  <c r="B161" i="36"/>
  <c r="B160" i="36"/>
  <c r="B159" i="36"/>
  <c r="B158" i="36"/>
  <c r="B157" i="36"/>
  <c r="B156" i="36"/>
  <c r="B155" i="36"/>
  <c r="B154" i="36"/>
  <c r="B153" i="36"/>
  <c r="B152" i="36"/>
  <c r="B151" i="36"/>
  <c r="B150" i="36"/>
  <c r="B149" i="36"/>
  <c r="B148" i="36"/>
  <c r="B147" i="36"/>
  <c r="B146" i="36"/>
  <c r="B145" i="36"/>
  <c r="B144" i="36"/>
  <c r="B143" i="36"/>
  <c r="B142" i="36"/>
  <c r="B141" i="36"/>
  <c r="B140" i="36"/>
  <c r="B139" i="36"/>
  <c r="B138" i="36"/>
  <c r="B137" i="36"/>
  <c r="B136" i="36"/>
  <c r="B135" i="36"/>
  <c r="B134" i="36"/>
  <c r="B133" i="36"/>
  <c r="B132" i="36"/>
  <c r="B131" i="36"/>
  <c r="B130" i="36"/>
  <c r="B129" i="36"/>
  <c r="B128" i="36"/>
  <c r="B127" i="36"/>
  <c r="B126" i="36"/>
  <c r="B125" i="36"/>
  <c r="B124" i="36"/>
  <c r="B123" i="36"/>
  <c r="B122" i="36"/>
  <c r="B121" i="36"/>
  <c r="B120" i="36"/>
  <c r="B119" i="36"/>
  <c r="B118" i="36"/>
  <c r="B117" i="36"/>
  <c r="B116" i="36"/>
  <c r="B115" i="36"/>
  <c r="B114" i="36"/>
  <c r="B113" i="36"/>
  <c r="B112" i="36"/>
  <c r="B111" i="36"/>
  <c r="B110" i="36"/>
  <c r="B109" i="36"/>
  <c r="B108" i="36"/>
  <c r="B107" i="36"/>
  <c r="B106" i="36"/>
  <c r="B105" i="36"/>
  <c r="B104" i="36"/>
  <c r="B103" i="36"/>
  <c r="B102" i="36"/>
  <c r="B1146" i="36"/>
  <c r="B1145" i="36"/>
  <c r="B1144" i="36"/>
  <c r="B1143" i="36"/>
  <c r="B1142" i="36"/>
  <c r="B1141" i="36"/>
  <c r="B1140" i="36"/>
  <c r="B1139" i="36"/>
  <c r="B1138" i="36"/>
  <c r="B1137" i="36"/>
  <c r="B1136" i="36"/>
  <c r="B1135" i="36"/>
  <c r="B1134" i="36"/>
  <c r="B1133" i="36"/>
  <c r="B1132" i="36"/>
  <c r="B1131" i="36"/>
  <c r="B1130" i="36"/>
  <c r="B1129" i="36"/>
  <c r="B1128" i="36"/>
  <c r="B1127" i="36"/>
  <c r="B1126" i="36"/>
  <c r="B1125" i="36"/>
  <c r="B1124" i="36"/>
  <c r="B1123" i="36"/>
  <c r="B1122" i="36"/>
  <c r="B1121" i="36"/>
  <c r="B1120" i="36"/>
  <c r="B1119" i="36"/>
  <c r="B1118" i="36"/>
  <c r="B1117" i="36"/>
  <c r="B1116" i="36"/>
  <c r="B1115" i="36"/>
  <c r="B1114" i="36"/>
  <c r="B1113" i="36"/>
  <c r="B1112" i="36"/>
  <c r="B1111" i="36"/>
  <c r="B1110" i="36"/>
  <c r="B1109" i="36"/>
  <c r="B1108" i="36"/>
  <c r="B1107" i="36"/>
  <c r="B1106" i="36"/>
  <c r="B1105" i="36"/>
  <c r="B1104" i="36"/>
  <c r="B1103" i="36"/>
  <c r="B1102" i="36"/>
  <c r="B1101" i="36"/>
  <c r="B1100" i="36"/>
  <c r="B1099" i="36"/>
  <c r="B1098" i="36"/>
  <c r="B1097" i="36"/>
  <c r="B1096" i="36"/>
  <c r="B1095" i="36"/>
  <c r="B1094" i="36"/>
  <c r="B1093" i="36"/>
  <c r="B1092" i="36"/>
  <c r="B1091" i="36"/>
  <c r="B1090" i="36"/>
  <c r="B1089" i="36"/>
  <c r="B1088" i="36"/>
  <c r="B1087" i="36"/>
  <c r="B1086" i="36"/>
  <c r="B1085" i="36"/>
  <c r="B1084" i="36"/>
  <c r="B1083" i="36"/>
  <c r="B1082" i="36"/>
  <c r="B1081" i="36"/>
  <c r="B1080" i="36"/>
  <c r="B1079" i="36"/>
  <c r="B1078" i="36"/>
  <c r="B1077" i="36"/>
  <c r="B1076" i="36"/>
  <c r="B1075" i="36"/>
  <c r="B1074" i="36"/>
  <c r="B1073" i="36"/>
  <c r="B1072" i="36"/>
  <c r="B1071" i="36"/>
  <c r="B1070" i="36"/>
  <c r="B1069" i="36"/>
  <c r="B1068" i="36"/>
  <c r="B1067" i="36"/>
  <c r="B1066" i="36"/>
  <c r="B1065" i="36"/>
  <c r="B1064" i="36"/>
  <c r="B1063" i="36"/>
  <c r="B1062" i="36"/>
  <c r="B1061" i="36"/>
  <c r="B1060" i="36"/>
  <c r="B1059" i="36"/>
  <c r="B1058" i="36"/>
  <c r="B1057" i="36"/>
  <c r="B1056" i="36"/>
  <c r="B1055" i="36"/>
  <c r="B1054" i="36"/>
  <c r="B1053" i="36"/>
  <c r="B1052" i="36"/>
  <c r="B1051" i="36"/>
  <c r="B1050" i="36"/>
  <c r="B1049" i="36"/>
  <c r="B1048" i="36"/>
  <c r="B1047" i="36"/>
  <c r="B1046" i="36"/>
  <c r="B1045" i="36"/>
  <c r="B1044" i="36"/>
  <c r="B1043" i="36"/>
  <c r="B1042" i="36"/>
  <c r="B1041" i="36"/>
  <c r="B1040" i="36"/>
  <c r="B1039" i="36"/>
  <c r="B1038" i="36"/>
  <c r="B1037" i="36"/>
  <c r="B1036" i="36"/>
  <c r="B1035" i="36"/>
  <c r="B1034" i="36"/>
  <c r="B1033" i="36"/>
  <c r="B1032" i="36"/>
  <c r="B1031" i="36"/>
  <c r="B1030" i="36"/>
  <c r="B1029" i="36"/>
  <c r="B1028" i="36"/>
  <c r="B1027" i="36"/>
  <c r="B1026" i="36"/>
  <c r="B1025" i="36"/>
  <c r="B1024" i="36"/>
  <c r="B1023" i="36"/>
  <c r="B1022" i="36"/>
  <c r="B1021" i="36"/>
  <c r="B1020" i="36"/>
  <c r="B1019" i="36"/>
  <c r="B1018" i="36"/>
  <c r="B1017" i="36"/>
  <c r="B1016" i="36"/>
  <c r="B1015" i="36"/>
  <c r="B1014" i="36"/>
  <c r="B1013" i="36"/>
  <c r="B1012" i="36"/>
  <c r="B1011" i="36"/>
  <c r="B1010" i="36"/>
  <c r="B1009" i="36"/>
  <c r="B1008" i="36"/>
  <c r="B1007" i="36"/>
  <c r="B1006" i="36"/>
  <c r="B1005" i="36"/>
  <c r="B1004" i="36"/>
  <c r="B1003" i="36"/>
  <c r="B1002" i="36"/>
  <c r="B1001" i="36"/>
  <c r="B1000" i="36"/>
  <c r="B999" i="36"/>
  <c r="B998" i="36"/>
  <c r="B997" i="36"/>
  <c r="B996" i="36"/>
  <c r="B995" i="36"/>
  <c r="B994" i="36"/>
  <c r="B993" i="36"/>
  <c r="B992" i="36"/>
  <c r="B991" i="36"/>
  <c r="B990" i="36"/>
  <c r="B989" i="36"/>
  <c r="B988" i="36"/>
  <c r="B987" i="36"/>
  <c r="B986" i="36"/>
  <c r="B985" i="36"/>
  <c r="B984" i="36"/>
  <c r="B983" i="36"/>
  <c r="B982" i="36"/>
  <c r="B981" i="36"/>
  <c r="B980" i="36"/>
  <c r="B979" i="36"/>
  <c r="B978" i="36"/>
  <c r="B977" i="36"/>
  <c r="B976" i="36"/>
  <c r="B975" i="36"/>
  <c r="B974" i="36"/>
  <c r="B973" i="36"/>
  <c r="B972" i="36"/>
  <c r="B971" i="36"/>
  <c r="B970" i="36"/>
  <c r="B969" i="36"/>
  <c r="B968" i="36"/>
  <c r="B967" i="36"/>
  <c r="B966" i="36"/>
  <c r="B965" i="36"/>
  <c r="B964" i="36"/>
  <c r="B963" i="36"/>
  <c r="B962" i="36"/>
  <c r="B961" i="36"/>
  <c r="B960" i="36"/>
  <c r="B959" i="36"/>
  <c r="B958" i="36"/>
  <c r="B957" i="36"/>
  <c r="B956" i="36"/>
  <c r="B955" i="36"/>
  <c r="B954" i="36"/>
  <c r="B953" i="36"/>
  <c r="B952" i="36"/>
  <c r="B951" i="36"/>
  <c r="B950" i="36"/>
  <c r="B949" i="36"/>
  <c r="B948" i="36"/>
  <c r="B947" i="36"/>
  <c r="B946" i="36"/>
  <c r="B945" i="36"/>
  <c r="B944" i="36"/>
  <c r="B943" i="36"/>
  <c r="B942" i="36"/>
  <c r="B941" i="36"/>
  <c r="B940" i="36"/>
  <c r="B939" i="36"/>
  <c r="B938" i="36"/>
  <c r="B937" i="36"/>
  <c r="B936" i="36"/>
  <c r="B935" i="36"/>
  <c r="B934" i="36"/>
  <c r="B933" i="36"/>
  <c r="B932" i="36"/>
  <c r="B931" i="36"/>
  <c r="B930" i="36"/>
  <c r="B929" i="36"/>
  <c r="B928" i="36"/>
  <c r="B927" i="36"/>
  <c r="B926" i="36"/>
  <c r="B925" i="36"/>
  <c r="B924" i="36"/>
  <c r="B923" i="36"/>
  <c r="B922" i="36"/>
  <c r="B921" i="36"/>
  <c r="B920" i="36"/>
  <c r="B919" i="36"/>
  <c r="B918" i="36"/>
  <c r="B917" i="36"/>
  <c r="B916" i="36"/>
  <c r="B915" i="36"/>
  <c r="B914" i="36"/>
  <c r="B913" i="36"/>
  <c r="B912" i="36"/>
  <c r="B911" i="36"/>
  <c r="B910" i="36"/>
  <c r="B909" i="36"/>
  <c r="B908" i="36"/>
  <c r="B907" i="36"/>
  <c r="B906" i="36"/>
  <c r="B905" i="36"/>
  <c r="B904" i="36"/>
  <c r="B903" i="36"/>
  <c r="B902" i="36"/>
  <c r="B901" i="36"/>
  <c r="B900" i="36"/>
  <c r="B899" i="36"/>
  <c r="B898" i="36"/>
  <c r="B897" i="36"/>
  <c r="B896" i="36"/>
  <c r="B895" i="36"/>
  <c r="B894" i="36"/>
  <c r="B893" i="36"/>
  <c r="B892" i="36"/>
  <c r="B891" i="36"/>
  <c r="B890" i="36"/>
  <c r="B889" i="36"/>
  <c r="B888" i="36"/>
  <c r="B887" i="36"/>
  <c r="B886" i="36"/>
  <c r="B885" i="36"/>
  <c r="B884" i="36"/>
  <c r="B883" i="36"/>
  <c r="B882" i="36"/>
  <c r="B881" i="36"/>
  <c r="B880" i="36"/>
  <c r="B879" i="36"/>
  <c r="B878" i="36"/>
  <c r="B877" i="36"/>
  <c r="B876" i="36"/>
  <c r="B875" i="36"/>
  <c r="B874" i="36"/>
  <c r="B873" i="36"/>
  <c r="B872" i="36"/>
  <c r="B871" i="36"/>
  <c r="B870" i="36"/>
  <c r="B869" i="36"/>
  <c r="B868" i="36"/>
  <c r="B867" i="36"/>
  <c r="B866" i="36"/>
  <c r="B865" i="36"/>
  <c r="B864" i="36"/>
  <c r="B863" i="36"/>
  <c r="B862" i="36"/>
  <c r="B861" i="36"/>
  <c r="B860" i="36"/>
  <c r="B859" i="36"/>
  <c r="B858" i="36"/>
  <c r="B857" i="36"/>
  <c r="B856" i="36"/>
  <c r="B855" i="36"/>
  <c r="B854" i="36"/>
  <c r="B853" i="36"/>
  <c r="B852" i="36"/>
  <c r="B851" i="36"/>
  <c r="B850" i="36"/>
  <c r="B849" i="36"/>
  <c r="B848" i="36"/>
  <c r="B847" i="36"/>
  <c r="B846" i="36"/>
  <c r="B845" i="36"/>
  <c r="B844" i="36"/>
  <c r="B843" i="36"/>
  <c r="B842" i="36"/>
  <c r="B841" i="36"/>
  <c r="B840" i="36"/>
  <c r="B839" i="36"/>
  <c r="B838" i="36"/>
  <c r="B837" i="36"/>
  <c r="B836" i="36"/>
  <c r="B835" i="36"/>
  <c r="B834" i="36"/>
  <c r="B833" i="36"/>
  <c r="B832" i="36"/>
  <c r="B831" i="36"/>
  <c r="B830" i="36"/>
  <c r="B829" i="36"/>
  <c r="B828" i="36"/>
  <c r="B827" i="36"/>
  <c r="B826" i="36"/>
  <c r="B825" i="36"/>
  <c r="B824" i="36"/>
  <c r="B823" i="36"/>
  <c r="B822" i="36"/>
  <c r="B821" i="36"/>
  <c r="B820" i="36"/>
  <c r="B819" i="36"/>
  <c r="B818" i="36"/>
  <c r="B817" i="36"/>
  <c r="B816" i="36"/>
  <c r="B815" i="36"/>
  <c r="B814" i="36"/>
  <c r="B813" i="36"/>
  <c r="B812" i="36"/>
  <c r="B811" i="36"/>
  <c r="B810" i="36"/>
  <c r="B809" i="36"/>
  <c r="B808" i="36"/>
  <c r="B807" i="36"/>
  <c r="B806" i="36"/>
  <c r="B805" i="36"/>
  <c r="B804" i="36"/>
  <c r="B803" i="36"/>
  <c r="B802" i="36"/>
  <c r="B801" i="36"/>
  <c r="B800" i="36"/>
  <c r="B799" i="36"/>
  <c r="B798" i="36"/>
  <c r="B797" i="36"/>
  <c r="B796" i="36"/>
  <c r="B795" i="36"/>
  <c r="B794" i="36"/>
  <c r="B793" i="36"/>
  <c r="B792" i="36"/>
  <c r="B791" i="36"/>
  <c r="B790" i="36"/>
  <c r="B789" i="36"/>
  <c r="B788" i="36"/>
  <c r="B787" i="36"/>
  <c r="B786" i="36"/>
  <c r="B785" i="36"/>
  <c r="B784" i="36"/>
  <c r="B783" i="36"/>
  <c r="B782" i="36"/>
  <c r="B781" i="36"/>
  <c r="B780" i="36"/>
  <c r="B779" i="36"/>
  <c r="B778" i="36"/>
  <c r="B777" i="36"/>
  <c r="B776" i="36"/>
  <c r="B775" i="36"/>
  <c r="B774" i="36"/>
  <c r="B773" i="36"/>
  <c r="B772" i="36"/>
  <c r="B771" i="36"/>
  <c r="B770" i="36"/>
  <c r="B769" i="36"/>
  <c r="B768" i="36"/>
  <c r="B767" i="36"/>
  <c r="B766" i="36"/>
  <c r="B765" i="36"/>
  <c r="B764" i="36"/>
  <c r="B763" i="36"/>
  <c r="B762" i="36"/>
  <c r="B761" i="36"/>
  <c r="B760" i="36"/>
  <c r="B759" i="36"/>
  <c r="B758" i="36"/>
  <c r="B757" i="36"/>
  <c r="B756" i="36"/>
  <c r="B755" i="36"/>
  <c r="B754" i="36"/>
  <c r="B753" i="36"/>
  <c r="B752" i="36"/>
  <c r="B751" i="36"/>
  <c r="B750" i="36"/>
  <c r="B749" i="36"/>
  <c r="B748" i="36"/>
  <c r="B747" i="36"/>
  <c r="B746" i="36"/>
  <c r="B745" i="36"/>
  <c r="B744" i="36"/>
  <c r="B743" i="36"/>
  <c r="B742" i="36"/>
  <c r="B741" i="36"/>
  <c r="B740" i="36"/>
  <c r="B739" i="36"/>
  <c r="B738" i="36"/>
  <c r="B737" i="36"/>
  <c r="B736" i="36"/>
  <c r="B735" i="36"/>
  <c r="B734" i="36"/>
  <c r="B733" i="36"/>
  <c r="B732" i="36"/>
  <c r="B731" i="36"/>
  <c r="B730" i="36"/>
  <c r="B729" i="36"/>
  <c r="B728" i="36"/>
  <c r="B727" i="36"/>
  <c r="B726" i="36"/>
  <c r="B725" i="36"/>
  <c r="B724" i="36"/>
  <c r="B723" i="36"/>
  <c r="B722" i="36"/>
  <c r="B721" i="36"/>
  <c r="B720" i="36"/>
  <c r="B719" i="36"/>
  <c r="B718" i="36"/>
  <c r="B717" i="36"/>
  <c r="B716" i="36"/>
  <c r="B715" i="36"/>
  <c r="B714" i="36"/>
  <c r="B713" i="36"/>
  <c r="B712" i="36"/>
  <c r="B711" i="36"/>
  <c r="B710" i="36"/>
  <c r="B709" i="36"/>
  <c r="B708" i="36"/>
  <c r="B707" i="36"/>
  <c r="B706" i="36"/>
  <c r="B705" i="36"/>
  <c r="B704" i="36"/>
  <c r="B703" i="36"/>
  <c r="B702" i="36"/>
  <c r="B701" i="36"/>
  <c r="B700" i="36"/>
  <c r="B699" i="36"/>
  <c r="B698" i="36"/>
  <c r="B697" i="36"/>
  <c r="B696" i="36"/>
  <c r="B695" i="36"/>
  <c r="B694" i="36"/>
  <c r="B693" i="36"/>
  <c r="B692" i="36"/>
  <c r="B691" i="36"/>
  <c r="B690" i="36"/>
  <c r="B689" i="36"/>
  <c r="B688" i="36"/>
  <c r="B687" i="36"/>
  <c r="B686" i="36"/>
  <c r="B685" i="36"/>
  <c r="B684" i="36"/>
  <c r="B683" i="36"/>
  <c r="B682" i="36"/>
  <c r="B681" i="36"/>
  <c r="B680" i="36"/>
  <c r="B679" i="36"/>
  <c r="B678" i="36"/>
  <c r="B677" i="36"/>
  <c r="B676" i="36"/>
  <c r="B675" i="36"/>
  <c r="B674" i="36"/>
  <c r="B673" i="36"/>
  <c r="B672" i="36"/>
  <c r="B671" i="36"/>
  <c r="B670" i="36"/>
  <c r="B669" i="36"/>
  <c r="B668" i="36"/>
  <c r="B667" i="36"/>
  <c r="B666" i="36"/>
  <c r="B665" i="36"/>
  <c r="B664" i="36"/>
  <c r="B663" i="36"/>
  <c r="B662" i="36"/>
  <c r="B661" i="36"/>
  <c r="B660" i="36"/>
  <c r="B659" i="36"/>
  <c r="B658" i="36"/>
  <c r="B657" i="36"/>
  <c r="B656" i="36"/>
  <c r="B655" i="36"/>
  <c r="B654" i="36"/>
  <c r="B653" i="36"/>
  <c r="B652" i="36"/>
  <c r="B651" i="36"/>
  <c r="B650" i="36"/>
  <c r="B649" i="36"/>
  <c r="B648" i="36"/>
  <c r="B647" i="36"/>
  <c r="B646" i="36"/>
  <c r="B645" i="36"/>
  <c r="B644" i="36"/>
  <c r="B643" i="36"/>
  <c r="B642" i="36"/>
  <c r="B641" i="36"/>
  <c r="B640" i="36"/>
  <c r="B639" i="36"/>
  <c r="B638" i="36"/>
  <c r="B637" i="36"/>
  <c r="B636" i="36"/>
  <c r="B635" i="36"/>
  <c r="B634" i="36"/>
  <c r="B633" i="36"/>
  <c r="B632" i="36"/>
  <c r="B631" i="36"/>
  <c r="B630" i="36"/>
  <c r="B629" i="36"/>
  <c r="B628" i="36"/>
  <c r="B627" i="36"/>
  <c r="B626" i="36"/>
  <c r="B625" i="36"/>
  <c r="B624" i="36"/>
  <c r="B623" i="36"/>
  <c r="B622" i="36"/>
  <c r="B621" i="36"/>
  <c r="B620" i="36"/>
  <c r="B619" i="36"/>
  <c r="B618" i="36"/>
  <c r="B617" i="36"/>
  <c r="B616" i="36"/>
  <c r="B615" i="36"/>
  <c r="B614" i="36"/>
  <c r="B613" i="36"/>
  <c r="B612" i="36"/>
  <c r="B611" i="36"/>
  <c r="B610" i="36"/>
  <c r="B609" i="36"/>
  <c r="B608" i="36"/>
  <c r="B607" i="36"/>
  <c r="B606" i="36"/>
  <c r="B605" i="36"/>
  <c r="B604" i="36"/>
  <c r="B603" i="36"/>
  <c r="B602" i="36"/>
  <c r="B601" i="36"/>
  <c r="B600" i="36"/>
  <c r="B599" i="36"/>
  <c r="B598" i="36"/>
  <c r="B597" i="36"/>
  <c r="B596" i="36"/>
  <c r="B595" i="36"/>
  <c r="B594" i="36"/>
  <c r="B593" i="36"/>
  <c r="B592" i="36"/>
  <c r="B591" i="36"/>
  <c r="B590" i="36"/>
  <c r="B589" i="36"/>
  <c r="B588" i="36"/>
  <c r="B587" i="36"/>
  <c r="B586" i="36"/>
  <c r="B585" i="36"/>
  <c r="B584" i="36"/>
  <c r="B583" i="36"/>
  <c r="B582" i="36"/>
  <c r="B581" i="36"/>
  <c r="B580" i="36"/>
  <c r="B579" i="36"/>
  <c r="B578" i="36"/>
  <c r="B577" i="36"/>
  <c r="B576" i="36"/>
  <c r="B575" i="36"/>
  <c r="B574" i="36"/>
  <c r="B573" i="36"/>
  <c r="B572" i="36"/>
  <c r="B571" i="36"/>
  <c r="B570" i="36"/>
  <c r="B569" i="36"/>
  <c r="B568" i="36"/>
  <c r="B567" i="36"/>
  <c r="B566" i="36"/>
  <c r="B565" i="36"/>
  <c r="B564" i="36"/>
  <c r="B563" i="36"/>
  <c r="B562" i="36"/>
  <c r="B561" i="36"/>
  <c r="B560" i="36"/>
  <c r="B559" i="36"/>
  <c r="B558" i="36"/>
  <c r="B557" i="36"/>
  <c r="B556" i="36"/>
  <c r="B555" i="36"/>
  <c r="B554" i="36"/>
  <c r="B553" i="36"/>
  <c r="B552" i="36"/>
  <c r="B551" i="36"/>
  <c r="B550" i="36"/>
  <c r="B549" i="36"/>
  <c r="B548" i="36"/>
  <c r="B547" i="36"/>
  <c r="B546" i="36"/>
  <c r="B545" i="36"/>
  <c r="B544" i="36"/>
  <c r="B543" i="36"/>
  <c r="B542" i="36"/>
  <c r="B541" i="36"/>
  <c r="B540" i="36"/>
  <c r="B539" i="36"/>
  <c r="B538" i="36"/>
  <c r="B537" i="36"/>
  <c r="B536" i="36"/>
  <c r="B535" i="36"/>
  <c r="B534" i="36"/>
  <c r="B533" i="36"/>
  <c r="B532" i="36"/>
  <c r="B531" i="36"/>
  <c r="B530" i="36"/>
  <c r="B529" i="36"/>
  <c r="B528" i="36"/>
  <c r="B527" i="36"/>
  <c r="B526" i="36"/>
  <c r="B525" i="36"/>
  <c r="B524" i="36"/>
  <c r="B523" i="36"/>
  <c r="B522" i="36"/>
  <c r="B521" i="36"/>
  <c r="B520" i="36"/>
  <c r="B519" i="36"/>
  <c r="B518" i="36"/>
  <c r="B517" i="36"/>
  <c r="B516" i="36"/>
  <c r="B515" i="36"/>
  <c r="B514" i="36"/>
  <c r="B513" i="36"/>
  <c r="B512" i="36"/>
  <c r="B511" i="36"/>
  <c r="B510" i="36"/>
  <c r="B509" i="36"/>
  <c r="B508" i="36"/>
  <c r="B507" i="36"/>
  <c r="B506" i="36"/>
  <c r="B505" i="36"/>
  <c r="B504" i="36"/>
  <c r="B503" i="36"/>
  <c r="B502" i="36"/>
  <c r="B501" i="36"/>
  <c r="B500" i="36"/>
  <c r="B499" i="36"/>
  <c r="B498" i="36"/>
  <c r="B497" i="36"/>
  <c r="B496" i="36"/>
  <c r="B495" i="36"/>
  <c r="B494" i="36"/>
  <c r="B493" i="36"/>
  <c r="B492" i="36"/>
  <c r="B491" i="36"/>
  <c r="B490" i="36"/>
  <c r="B489" i="36"/>
  <c r="B488" i="36"/>
  <c r="B487" i="36"/>
  <c r="B486" i="36"/>
  <c r="B485" i="36"/>
  <c r="B484" i="36"/>
  <c r="B483" i="36"/>
  <c r="B482" i="36"/>
  <c r="B481" i="36"/>
  <c r="B480" i="36"/>
  <c r="B479" i="36"/>
  <c r="B478" i="36"/>
  <c r="B477" i="36"/>
  <c r="B476" i="36"/>
  <c r="B475" i="36"/>
  <c r="B474" i="36"/>
  <c r="B473" i="36"/>
  <c r="B472" i="36"/>
  <c r="B471" i="36"/>
  <c r="B470" i="36"/>
  <c r="B469" i="36"/>
  <c r="B468" i="36"/>
  <c r="B467" i="36"/>
  <c r="B466" i="36"/>
  <c r="B465" i="36"/>
  <c r="B464" i="36"/>
  <c r="B463" i="36"/>
  <c r="B462" i="36"/>
  <c r="B461" i="36"/>
  <c r="B460" i="36"/>
  <c r="B459" i="36"/>
  <c r="B458" i="36"/>
  <c r="B457" i="36"/>
  <c r="B456" i="36"/>
  <c r="B455" i="36"/>
  <c r="B454" i="36"/>
  <c r="B453" i="36"/>
  <c r="B452" i="36"/>
  <c r="B451" i="36"/>
  <c r="B450" i="36"/>
  <c r="B449" i="36"/>
  <c r="B448" i="36"/>
  <c r="B447" i="36"/>
  <c r="B446" i="36"/>
  <c r="B445" i="36"/>
  <c r="B444" i="36"/>
  <c r="B443" i="36"/>
  <c r="B442" i="36"/>
  <c r="B441" i="36"/>
  <c r="B440" i="36"/>
  <c r="B439" i="36"/>
  <c r="B438" i="36"/>
  <c r="B437" i="36"/>
  <c r="B436" i="36"/>
  <c r="B435" i="36"/>
  <c r="B434" i="36"/>
  <c r="B433" i="36"/>
  <c r="B432" i="36"/>
  <c r="B431" i="36"/>
  <c r="B430" i="36"/>
  <c r="B429" i="36"/>
  <c r="B428" i="36"/>
  <c r="B427" i="36"/>
  <c r="B426" i="36"/>
  <c r="B425" i="36"/>
  <c r="B424" i="36"/>
  <c r="B423" i="36"/>
  <c r="B422" i="36"/>
  <c r="B421" i="36"/>
  <c r="B420" i="36"/>
  <c r="B419" i="36"/>
  <c r="B418" i="36"/>
  <c r="B417" i="36"/>
  <c r="B416" i="36"/>
  <c r="B415" i="36"/>
  <c r="B414" i="36"/>
  <c r="B413" i="36"/>
  <c r="B412" i="36"/>
  <c r="B411" i="36"/>
  <c r="B410" i="36"/>
  <c r="B409" i="36"/>
  <c r="B408" i="36"/>
  <c r="B407" i="36"/>
  <c r="B406" i="36"/>
  <c r="B405" i="36"/>
  <c r="B404" i="36"/>
  <c r="B403" i="36"/>
  <c r="B402" i="36"/>
  <c r="B401" i="36"/>
  <c r="B400" i="36"/>
  <c r="B399" i="36"/>
  <c r="B398" i="36"/>
  <c r="B397" i="36"/>
  <c r="B396" i="36"/>
  <c r="B395" i="36"/>
  <c r="B394" i="36"/>
  <c r="B393" i="36"/>
  <c r="B392" i="36"/>
  <c r="B391" i="36"/>
  <c r="B390" i="36"/>
  <c r="B389" i="36"/>
  <c r="B388" i="36"/>
  <c r="B387" i="36"/>
  <c r="B386" i="36"/>
  <c r="B385" i="36"/>
  <c r="B384" i="36"/>
  <c r="B383" i="36"/>
  <c r="B382" i="36"/>
  <c r="B381" i="36"/>
  <c r="B380" i="36"/>
  <c r="B379" i="36"/>
  <c r="B378" i="36"/>
  <c r="B377" i="36"/>
  <c r="B376" i="36"/>
  <c r="B375" i="36"/>
  <c r="B374" i="36"/>
  <c r="B373" i="36"/>
  <c r="B372" i="36"/>
  <c r="B371" i="36"/>
  <c r="B370" i="36"/>
  <c r="B369" i="36"/>
  <c r="B368" i="36"/>
  <c r="B367" i="36"/>
  <c r="B366" i="36"/>
  <c r="B365" i="36"/>
  <c r="B364" i="36"/>
  <c r="B363" i="36"/>
  <c r="B362" i="36"/>
  <c r="B361" i="36"/>
  <c r="B360" i="36"/>
  <c r="B359" i="36"/>
  <c r="B358" i="36"/>
  <c r="B357" i="36"/>
  <c r="B356" i="36"/>
  <c r="B355" i="36"/>
  <c r="B354" i="36"/>
  <c r="B353" i="36"/>
  <c r="B352" i="36"/>
  <c r="B351" i="36"/>
  <c r="B350" i="36"/>
  <c r="B349" i="36"/>
  <c r="B348" i="36"/>
  <c r="B347" i="36"/>
  <c r="B346" i="36"/>
  <c r="B345" i="36"/>
  <c r="B344" i="36"/>
  <c r="B343" i="36"/>
  <c r="B342" i="36"/>
  <c r="B341" i="36"/>
  <c r="B340" i="36"/>
  <c r="B339" i="36"/>
  <c r="B338" i="36"/>
  <c r="B337" i="36"/>
  <c r="B336" i="36"/>
  <c r="B335" i="36"/>
  <c r="B334" i="36"/>
  <c r="B333" i="36"/>
  <c r="B332" i="36"/>
  <c r="B331" i="36"/>
  <c r="B330" i="36"/>
  <c r="B329" i="36"/>
  <c r="B328" i="36"/>
  <c r="B327" i="36"/>
  <c r="B326" i="36"/>
  <c r="B325" i="36"/>
  <c r="B324" i="36"/>
  <c r="B323" i="36"/>
  <c r="B322" i="36"/>
  <c r="B321" i="36"/>
  <c r="B320" i="36"/>
  <c r="B319" i="36"/>
  <c r="B318" i="36"/>
  <c r="B317" i="36"/>
  <c r="B316" i="36"/>
  <c r="B315" i="36"/>
  <c r="B314" i="36"/>
  <c r="B313" i="36"/>
  <c r="B312" i="36"/>
  <c r="B311" i="36"/>
  <c r="B310" i="36"/>
  <c r="B309" i="36"/>
  <c r="B308" i="36"/>
  <c r="B307" i="36"/>
  <c r="B306" i="36"/>
  <c r="B305" i="36"/>
  <c r="B304" i="36"/>
  <c r="B303" i="36"/>
  <c r="B302" i="36"/>
  <c r="B301" i="36"/>
  <c r="B300" i="36"/>
  <c r="B299" i="36"/>
  <c r="B298" i="36"/>
  <c r="B297" i="36"/>
  <c r="B296" i="36"/>
  <c r="B295" i="36"/>
  <c r="B294" i="36"/>
  <c r="B293" i="36"/>
  <c r="B292" i="36"/>
  <c r="B275" i="36"/>
  <c r="B256" i="36"/>
  <c r="B237" i="36"/>
  <c r="B218" i="36"/>
  <c r="B199" i="36"/>
  <c r="AK23" i="41"/>
  <c r="AK22" i="41"/>
  <c r="AL22" i="41" s="1"/>
  <c r="AM22" i="41" s="1"/>
  <c r="AN22" i="41" s="1"/>
  <c r="N21" i="41"/>
  <c r="O21" i="41" s="1"/>
  <c r="AE20" i="41"/>
  <c r="AF20" i="41" s="1"/>
  <c r="AE19" i="41"/>
  <c r="AF19" i="41" s="1"/>
  <c r="AG19" i="41" s="1"/>
  <c r="K19" i="41" s="1"/>
  <c r="D24" i="41"/>
  <c r="D23" i="41"/>
  <c r="D22" i="41"/>
  <c r="D21" i="41"/>
  <c r="D20" i="41"/>
  <c r="D19" i="41"/>
  <c r="AJ23" i="40"/>
  <c r="AJ22" i="40"/>
  <c r="N21" i="40"/>
  <c r="O21" i="40" s="1"/>
  <c r="P21" i="40" s="1"/>
  <c r="Q21" i="40" s="1"/>
  <c r="R21" i="40" s="1"/>
  <c r="S21" i="40" s="1"/>
  <c r="T21" i="40" s="1"/>
  <c r="U21" i="40" s="1"/>
  <c r="V21" i="40" s="1"/>
  <c r="W21" i="40" s="1"/>
  <c r="X21" i="40" s="1"/>
  <c r="Y21" i="40" s="1"/>
  <c r="Z21" i="40" s="1"/>
  <c r="AA21" i="40" s="1"/>
  <c r="AB21" i="40" s="1"/>
  <c r="AC21" i="40" s="1"/>
  <c r="AD21" i="40" s="1"/>
  <c r="AE21" i="40" s="1"/>
  <c r="AF21" i="40" s="1"/>
  <c r="AG21" i="40" s="1"/>
  <c r="AH21" i="40" s="1"/>
  <c r="AD20" i="40"/>
  <c r="AD19" i="40"/>
  <c r="D24" i="40"/>
  <c r="D23" i="40"/>
  <c r="D22" i="40"/>
  <c r="D21" i="40"/>
  <c r="D20" i="40"/>
  <c r="D19" i="40"/>
  <c r="AI23" i="33"/>
  <c r="AJ23" i="33" s="1"/>
  <c r="AI22" i="33"/>
  <c r="AJ22" i="33" s="1"/>
  <c r="K22" i="33" s="1"/>
  <c r="N21" i="33"/>
  <c r="O21" i="33" s="1"/>
  <c r="AC20" i="33"/>
  <c r="AD20" i="33" s="1"/>
  <c r="AE20" i="33" s="1"/>
  <c r="AF20" i="33" s="1"/>
  <c r="AC19" i="33"/>
  <c r="AD19" i="33" s="1"/>
  <c r="AE19" i="33" s="1"/>
  <c r="D24" i="33"/>
  <c r="D23" i="33"/>
  <c r="D22" i="33"/>
  <c r="D21" i="33"/>
  <c r="D20" i="33"/>
  <c r="D19" i="33"/>
  <c r="AH23" i="39"/>
  <c r="AI23" i="39" s="1"/>
  <c r="AH22" i="39"/>
  <c r="AI22" i="39" s="1"/>
  <c r="K22" i="39" s="1"/>
  <c r="N21" i="39"/>
  <c r="O21" i="39" s="1"/>
  <c r="AB20" i="39"/>
  <c r="AC20" i="39" s="1"/>
  <c r="AB19" i="39"/>
  <c r="AC19" i="39" s="1"/>
  <c r="K19" i="39" s="1"/>
  <c r="D24" i="39"/>
  <c r="D23" i="39"/>
  <c r="D22" i="39"/>
  <c r="D21" i="39"/>
  <c r="D20" i="39"/>
  <c r="D19" i="39"/>
  <c r="AG21" i="37"/>
  <c r="K21" i="37" s="1"/>
  <c r="AG22" i="37"/>
  <c r="AH22" i="37" s="1"/>
  <c r="N20" i="37"/>
  <c r="O20" i="37" s="1"/>
  <c r="P20" i="37" s="1"/>
  <c r="Q20" i="37" s="1"/>
  <c r="R20" i="37" s="1"/>
  <c r="S20" i="37" s="1"/>
  <c r="T20" i="37" s="1"/>
  <c r="U20" i="37" s="1"/>
  <c r="V20" i="37" s="1"/>
  <c r="W20" i="37" s="1"/>
  <c r="X20" i="37" s="1"/>
  <c r="Y20" i="37" s="1"/>
  <c r="Z20" i="37" s="1"/>
  <c r="AA20" i="37" s="1"/>
  <c r="AB20" i="37" s="1"/>
  <c r="AC20" i="37" s="1"/>
  <c r="AD20" i="37" s="1"/>
  <c r="AE20" i="37" s="1"/>
  <c r="AA19" i="37"/>
  <c r="AB19" i="37" s="1"/>
  <c r="AC19" i="37" s="1"/>
  <c r="AA18" i="37"/>
  <c r="D23" i="37"/>
  <c r="D22" i="37"/>
  <c r="D21" i="37"/>
  <c r="D20" i="37"/>
  <c r="D19" i="37"/>
  <c r="D18" i="37"/>
  <c r="AF22" i="38"/>
  <c r="K22" i="38" s="1"/>
  <c r="AF23" i="38"/>
  <c r="AG23" i="38" s="1"/>
  <c r="N21" i="38"/>
  <c r="O21" i="38" s="1"/>
  <c r="P21" i="38" s="1"/>
  <c r="Q21" i="38" s="1"/>
  <c r="R21" i="38" s="1"/>
  <c r="S21" i="38" s="1"/>
  <c r="T21" i="38" s="1"/>
  <c r="U21" i="38" s="1"/>
  <c r="V21" i="38" s="1"/>
  <c r="W21" i="38" s="1"/>
  <c r="X21" i="38" s="1"/>
  <c r="Y21" i="38" s="1"/>
  <c r="Z21" i="38" s="1"/>
  <c r="AA21" i="38" s="1"/>
  <c r="AB21" i="38" s="1"/>
  <c r="AC21" i="38" s="1"/>
  <c r="AD21" i="38" s="1"/>
  <c r="Z20" i="38"/>
  <c r="AA20" i="38" s="1"/>
  <c r="AB20" i="38" s="1"/>
  <c r="Z19" i="38"/>
  <c r="D24" i="38"/>
  <c r="D23" i="38"/>
  <c r="D22" i="38"/>
  <c r="D21" i="38"/>
  <c r="D20" i="38"/>
  <c r="D19" i="38"/>
  <c r="K20" i="46" l="1"/>
  <c r="K76" i="46"/>
  <c r="K38" i="46"/>
  <c r="K111" i="46"/>
  <c r="K105" i="46"/>
  <c r="K69" i="46"/>
  <c r="K86" i="46"/>
  <c r="K118" i="46"/>
  <c r="K49" i="46"/>
  <c r="K101" i="46"/>
  <c r="K71" i="46"/>
  <c r="K55" i="46"/>
  <c r="K112" i="46"/>
  <c r="K63" i="46"/>
  <c r="K28" i="46"/>
  <c r="K37" i="46"/>
  <c r="K106" i="46"/>
  <c r="K65" i="46"/>
  <c r="K81" i="46"/>
  <c r="K82" i="46"/>
  <c r="K45" i="46"/>
  <c r="K100" i="46"/>
  <c r="K74" i="46"/>
  <c r="K115" i="46"/>
  <c r="K110" i="46"/>
  <c r="K40" i="46"/>
  <c r="K11" i="46"/>
  <c r="K89" i="46"/>
  <c r="K9" i="46"/>
  <c r="K27" i="46"/>
  <c r="K83" i="46"/>
  <c r="K95" i="46"/>
  <c r="K59" i="46"/>
  <c r="K119" i="46"/>
  <c r="K64" i="46"/>
  <c r="AG20" i="41"/>
  <c r="AH20" i="41" s="1"/>
  <c r="P21" i="41"/>
  <c r="Q21" i="41" s="1"/>
  <c r="R21" i="41" s="1"/>
  <c r="S21" i="41" s="1"/>
  <c r="T21" i="41" s="1"/>
  <c r="U21" i="41" s="1"/>
  <c r="V21" i="41" s="1"/>
  <c r="W21" i="41" s="1"/>
  <c r="X21" i="41" s="1"/>
  <c r="Y21" i="41" s="1"/>
  <c r="Z21" i="41" s="1"/>
  <c r="AA21" i="41" s="1"/>
  <c r="AB21" i="41" s="1"/>
  <c r="AC21" i="41" s="1"/>
  <c r="AD21" i="41" s="1"/>
  <c r="AE21" i="41" s="1"/>
  <c r="AF21" i="41" s="1"/>
  <c r="AG21" i="41" s="1"/>
  <c r="AH21" i="41" s="1"/>
  <c r="AI21" i="41" s="1"/>
  <c r="AJ21" i="41" s="1"/>
  <c r="K22" i="41"/>
  <c r="AL23" i="41"/>
  <c r="AM23" i="41" s="1"/>
  <c r="AN23" i="41" s="1"/>
  <c r="AO23" i="41" s="1"/>
  <c r="AP23" i="41" s="1"/>
  <c r="AQ23" i="41" s="1"/>
  <c r="AR23" i="41" s="1"/>
  <c r="AS23" i="41" s="1"/>
  <c r="AT23" i="41" s="1"/>
  <c r="AU23" i="41" s="1"/>
  <c r="AV23" i="41" s="1"/>
  <c r="AW23" i="41" s="1"/>
  <c r="AX23" i="41" s="1"/>
  <c r="AY23" i="41" s="1"/>
  <c r="AZ23" i="41" s="1"/>
  <c r="BA23" i="41" s="1"/>
  <c r="BB23" i="41" s="1"/>
  <c r="BC23" i="41" s="1"/>
  <c r="BD23" i="41" s="1"/>
  <c r="BE23" i="41" s="1"/>
  <c r="AE19" i="40"/>
  <c r="AF19" i="40" s="1"/>
  <c r="AK22" i="40"/>
  <c r="AE20" i="40"/>
  <c r="AF20" i="40" s="1"/>
  <c r="AG20" i="40" s="1"/>
  <c r="K21" i="40"/>
  <c r="AK23" i="40"/>
  <c r="AL23" i="40" s="1"/>
  <c r="AM23" i="40" s="1"/>
  <c r="AN23" i="40" s="1"/>
  <c r="AO23" i="40" s="1"/>
  <c r="AP23" i="40" s="1"/>
  <c r="AQ23" i="40" s="1"/>
  <c r="AR23" i="40" s="1"/>
  <c r="AS23" i="40" s="1"/>
  <c r="AT23" i="40" s="1"/>
  <c r="AU23" i="40" s="1"/>
  <c r="AV23" i="40" s="1"/>
  <c r="AW23" i="40" s="1"/>
  <c r="AX23" i="40" s="1"/>
  <c r="AY23" i="40" s="1"/>
  <c r="AZ23" i="40" s="1"/>
  <c r="BA23" i="40" s="1"/>
  <c r="BB23" i="40" s="1"/>
  <c r="BC23" i="40" s="1"/>
  <c r="K19" i="33"/>
  <c r="P21" i="33"/>
  <c r="Q21" i="33" s="1"/>
  <c r="R21" i="33" s="1"/>
  <c r="S21" i="33" s="1"/>
  <c r="T21" i="33" s="1"/>
  <c r="U21" i="33" s="1"/>
  <c r="V21" i="33" s="1"/>
  <c r="W21" i="33" s="1"/>
  <c r="X21" i="33" s="1"/>
  <c r="Y21" i="33" s="1"/>
  <c r="Z21" i="33" s="1"/>
  <c r="AA21" i="33" s="1"/>
  <c r="AB21" i="33" s="1"/>
  <c r="AC21" i="33" s="1"/>
  <c r="AD21" i="33" s="1"/>
  <c r="AE21" i="33" s="1"/>
  <c r="AF21" i="33" s="1"/>
  <c r="AG21" i="33" s="1"/>
  <c r="AK23" i="33"/>
  <c r="AL23" i="33" s="1"/>
  <c r="AM23" i="33" s="1"/>
  <c r="AN23" i="33" s="1"/>
  <c r="AO23" i="33" s="1"/>
  <c r="AP23" i="33" s="1"/>
  <c r="AQ23" i="33" s="1"/>
  <c r="AR23" i="33" s="1"/>
  <c r="AS23" i="33" s="1"/>
  <c r="AT23" i="33" s="1"/>
  <c r="AU23" i="33" s="1"/>
  <c r="AV23" i="33" s="1"/>
  <c r="AW23" i="33" s="1"/>
  <c r="AX23" i="33" s="1"/>
  <c r="AY23" i="33" s="1"/>
  <c r="AZ23" i="33" s="1"/>
  <c r="BA23" i="33" s="1"/>
  <c r="K20" i="33"/>
  <c r="AD20" i="39"/>
  <c r="K20" i="39" s="1"/>
  <c r="AJ23" i="39"/>
  <c r="AK23" i="39" s="1"/>
  <c r="AL23" i="39" s="1"/>
  <c r="AM23" i="39" s="1"/>
  <c r="AN23" i="39" s="1"/>
  <c r="AO23" i="39" s="1"/>
  <c r="AP23" i="39" s="1"/>
  <c r="AQ23" i="39" s="1"/>
  <c r="AR23" i="39" s="1"/>
  <c r="AS23" i="39" s="1"/>
  <c r="AT23" i="39" s="1"/>
  <c r="AU23" i="39" s="1"/>
  <c r="AV23" i="39" s="1"/>
  <c r="AW23" i="39" s="1"/>
  <c r="AX23" i="39" s="1"/>
  <c r="AY23" i="39" s="1"/>
  <c r="P21" i="39"/>
  <c r="Q21" i="39" s="1"/>
  <c r="R21" i="39" s="1"/>
  <c r="S21" i="39" s="1"/>
  <c r="T21" i="39" s="1"/>
  <c r="U21" i="39" s="1"/>
  <c r="V21" i="39" s="1"/>
  <c r="W21" i="39" s="1"/>
  <c r="X21" i="39" s="1"/>
  <c r="Y21" i="39" s="1"/>
  <c r="Z21" i="39" s="1"/>
  <c r="AA21" i="39" s="1"/>
  <c r="AB21" i="39" s="1"/>
  <c r="AC21" i="39" s="1"/>
  <c r="AD21" i="39" s="1"/>
  <c r="AE21" i="39" s="1"/>
  <c r="AF21" i="39" s="1"/>
  <c r="AB18" i="37"/>
  <c r="K18" i="37" s="1"/>
  <c r="AI22" i="37"/>
  <c r="AJ22" i="37" s="1"/>
  <c r="AK22" i="37" s="1"/>
  <c r="AL22" i="37" s="1"/>
  <c r="AM22" i="37" s="1"/>
  <c r="AN22" i="37" s="1"/>
  <c r="AO22" i="37" s="1"/>
  <c r="AP22" i="37" s="1"/>
  <c r="AQ22" i="37" s="1"/>
  <c r="AR22" i="37" s="1"/>
  <c r="AS22" i="37" s="1"/>
  <c r="AT22" i="37" s="1"/>
  <c r="AU22" i="37" s="1"/>
  <c r="AV22" i="37" s="1"/>
  <c r="K19" i="37"/>
  <c r="K20" i="37"/>
  <c r="AA19" i="38"/>
  <c r="K19" i="38" s="1"/>
  <c r="AH23" i="38"/>
  <c r="AI23" i="38" s="1"/>
  <c r="AJ23" i="38" s="1"/>
  <c r="AK23" i="38" s="1"/>
  <c r="AL23" i="38" s="1"/>
  <c r="AM23" i="38" s="1"/>
  <c r="AN23" i="38" s="1"/>
  <c r="AO23" i="38" s="1"/>
  <c r="AP23" i="38" s="1"/>
  <c r="AQ23" i="38" s="1"/>
  <c r="AR23" i="38" s="1"/>
  <c r="AS23" i="38" s="1"/>
  <c r="AT23" i="38" s="1"/>
  <c r="AU23" i="38" s="1"/>
  <c r="K20" i="38"/>
  <c r="K21" i="38"/>
  <c r="AE22" i="42"/>
  <c r="K22" i="42" s="1"/>
  <c r="Y19" i="42"/>
  <c r="K19" i="42" s="1"/>
  <c r="AE23" i="42"/>
  <c r="AF23" i="42" s="1"/>
  <c r="N21" i="42"/>
  <c r="O21" i="42" s="1"/>
  <c r="Y20" i="42"/>
  <c r="Z20" i="42" s="1"/>
  <c r="D24" i="42"/>
  <c r="D23" i="42"/>
  <c r="D22" i="42"/>
  <c r="D21" i="42"/>
  <c r="D20" i="42"/>
  <c r="D19" i="42"/>
  <c r="K21" i="41" l="1"/>
  <c r="K23" i="41"/>
  <c r="K20" i="41"/>
  <c r="AL22" i="40"/>
  <c r="K22" i="40" s="1"/>
  <c r="K19" i="40"/>
  <c r="K23" i="40"/>
  <c r="K20" i="40"/>
  <c r="K21" i="33"/>
  <c r="K23" i="33"/>
  <c r="K23" i="39"/>
  <c r="K21" i="39"/>
  <c r="K22" i="37"/>
  <c r="K23" i="38"/>
  <c r="P21" i="42"/>
  <c r="Q21" i="42" s="1"/>
  <c r="R21" i="42" s="1"/>
  <c r="S21" i="42" s="1"/>
  <c r="T21" i="42" s="1"/>
  <c r="U21" i="42" s="1"/>
  <c r="V21" i="42" s="1"/>
  <c r="W21" i="42" s="1"/>
  <c r="X21" i="42" s="1"/>
  <c r="Y21" i="42" s="1"/>
  <c r="Z21" i="42" s="1"/>
  <c r="AA21" i="42" s="1"/>
  <c r="AB21" i="42" s="1"/>
  <c r="AG23" i="42"/>
  <c r="AH23" i="42" s="1"/>
  <c r="AI23" i="42" s="1"/>
  <c r="AJ23" i="42" s="1"/>
  <c r="AK23" i="42" s="1"/>
  <c r="AL23" i="42" s="1"/>
  <c r="AM23" i="42" s="1"/>
  <c r="AN23" i="42" s="1"/>
  <c r="AO23" i="42" s="1"/>
  <c r="AP23" i="42" s="1"/>
  <c r="AQ23" i="42" s="1"/>
  <c r="AR23" i="42" s="1"/>
  <c r="K20" i="42"/>
  <c r="X18" i="43"/>
  <c r="Y18" i="43" s="1"/>
  <c r="K18" i="43" s="1"/>
  <c r="N22" i="43"/>
  <c r="O22" i="43" s="1"/>
  <c r="N21" i="43"/>
  <c r="O21" i="43" s="1"/>
  <c r="X19" i="43"/>
  <c r="Y19" i="43" s="1"/>
  <c r="K20" i="43"/>
  <c r="D23" i="43"/>
  <c r="D22" i="43"/>
  <c r="D21" i="43"/>
  <c r="D20" i="43"/>
  <c r="D19" i="43"/>
  <c r="D18" i="43"/>
  <c r="X18" i="44"/>
  <c r="L18" i="44" s="1"/>
  <c r="AD20" i="44"/>
  <c r="L20" i="44" s="1"/>
  <c r="O22" i="44"/>
  <c r="P22" i="44" s="1"/>
  <c r="Q22" i="44" s="1"/>
  <c r="R22" i="44" s="1"/>
  <c r="S22" i="44" s="1"/>
  <c r="T22" i="44" s="1"/>
  <c r="U22" i="44" s="1"/>
  <c r="V22" i="44" s="1"/>
  <c r="W22" i="44" s="1"/>
  <c r="X22" i="44" s="1"/>
  <c r="Y22" i="44" s="1"/>
  <c r="Z22" i="44" s="1"/>
  <c r="AA22" i="44" s="1"/>
  <c r="O21" i="44"/>
  <c r="X19" i="44"/>
  <c r="D23" i="44"/>
  <c r="D22" i="44"/>
  <c r="D21" i="44"/>
  <c r="D20" i="44"/>
  <c r="D19" i="44"/>
  <c r="D18" i="44"/>
  <c r="AC20" i="45"/>
  <c r="L20" i="45" s="1"/>
  <c r="W18" i="45"/>
  <c r="L18" i="45" s="1"/>
  <c r="D46" i="45"/>
  <c r="O22" i="45"/>
  <c r="P22" i="45" s="1"/>
  <c r="O21" i="45"/>
  <c r="W19" i="45"/>
  <c r="X19" i="45" s="1"/>
  <c r="L19" i="45" s="1"/>
  <c r="D29" i="45"/>
  <c r="D23" i="45"/>
  <c r="D22" i="45"/>
  <c r="D21" i="45"/>
  <c r="D20" i="45"/>
  <c r="D19" i="45"/>
  <c r="D18" i="45"/>
  <c r="K21" i="42" l="1"/>
  <c r="K23" i="42"/>
  <c r="Z19" i="43"/>
  <c r="K19" i="43" s="1"/>
  <c r="P21" i="43"/>
  <c r="Q21" i="43" s="1"/>
  <c r="R21" i="43" s="1"/>
  <c r="S21" i="43" s="1"/>
  <c r="T21" i="43" s="1"/>
  <c r="U21" i="43" s="1"/>
  <c r="V21" i="43" s="1"/>
  <c r="W21" i="43" s="1"/>
  <c r="X21" i="43" s="1"/>
  <c r="Y21" i="43" s="1"/>
  <c r="Z21" i="43" s="1"/>
  <c r="P22" i="43"/>
  <c r="Q22" i="43" s="1"/>
  <c r="R22" i="43" s="1"/>
  <c r="S22" i="43" s="1"/>
  <c r="T22" i="43" s="1"/>
  <c r="U22" i="43" s="1"/>
  <c r="V22" i="43" s="1"/>
  <c r="W22" i="43" s="1"/>
  <c r="X22" i="43" s="1"/>
  <c r="Y22" i="43" s="1"/>
  <c r="Z22" i="43" s="1"/>
  <c r="AA22" i="43" s="1"/>
  <c r="AB22" i="43" s="1"/>
  <c r="Y19" i="44"/>
  <c r="L19" i="44" s="1"/>
  <c r="P21" i="44"/>
  <c r="Q21" i="44" s="1"/>
  <c r="R21" i="44" s="1"/>
  <c r="S21" i="44" s="1"/>
  <c r="T21" i="44" s="1"/>
  <c r="U21" i="44" s="1"/>
  <c r="V21" i="44" s="1"/>
  <c r="W21" i="44" s="1"/>
  <c r="X21" i="44" s="1"/>
  <c r="Y21" i="44" s="1"/>
  <c r="Z21" i="44" s="1"/>
  <c r="L22" i="44"/>
  <c r="Q22" i="45"/>
  <c r="R22" i="45" s="1"/>
  <c r="S22" i="45" s="1"/>
  <c r="T22" i="45" s="1"/>
  <c r="U22" i="45" s="1"/>
  <c r="V22" i="45" s="1"/>
  <c r="W22" i="45" s="1"/>
  <c r="X22" i="45" s="1"/>
  <c r="Y22" i="45" s="1"/>
  <c r="Z22" i="45" s="1"/>
  <c r="AA22" i="45" s="1"/>
  <c r="P21" i="45"/>
  <c r="Q21" i="45" s="1"/>
  <c r="R21" i="45" s="1"/>
  <c r="S21" i="45" s="1"/>
  <c r="T21" i="45" s="1"/>
  <c r="U21" i="45" s="1"/>
  <c r="V21" i="45" s="1"/>
  <c r="W21" i="45" s="1"/>
  <c r="X21" i="45" s="1"/>
  <c r="Y21" i="45" s="1"/>
  <c r="Z21" i="45" s="1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18" i="40"/>
  <c r="D17" i="40"/>
  <c r="D16" i="40"/>
  <c r="D15" i="40"/>
  <c r="D14" i="40"/>
  <c r="D13" i="40"/>
  <c r="D12" i="40"/>
  <c r="D10" i="40"/>
  <c r="D9" i="40"/>
  <c r="D8" i="40"/>
  <c r="D7" i="40"/>
  <c r="D11" i="40"/>
  <c r="H1016" i="36" l="1"/>
  <c r="H1035" i="36"/>
  <c r="H959" i="36"/>
  <c r="H978" i="36"/>
  <c r="H997" i="36"/>
  <c r="K22" i="43"/>
  <c r="K21" i="43"/>
  <c r="L21" i="44"/>
  <c r="L21" i="45"/>
  <c r="L22" i="45"/>
  <c r="D120" i="41"/>
  <c r="D119" i="41"/>
  <c r="D118" i="41"/>
  <c r="D117" i="41"/>
  <c r="D116" i="41"/>
  <c r="D115" i="41"/>
  <c r="D114" i="41"/>
  <c r="D113" i="41"/>
  <c r="D112" i="41"/>
  <c r="D111" i="41"/>
  <c r="D110" i="41"/>
  <c r="D109" i="41"/>
  <c r="D108" i="41"/>
  <c r="D107" i="41"/>
  <c r="D106" i="41"/>
  <c r="D105" i="41"/>
  <c r="D104" i="41"/>
  <c r="D103" i="41"/>
  <c r="D102" i="41"/>
  <c r="D101" i="41"/>
  <c r="D100" i="41"/>
  <c r="D99" i="41"/>
  <c r="D98" i="41"/>
  <c r="D97" i="41"/>
  <c r="D96" i="41"/>
  <c r="D95" i="41"/>
  <c r="D94" i="41"/>
  <c r="D93" i="41"/>
  <c r="D92" i="41"/>
  <c r="D91" i="41"/>
  <c r="D90" i="41"/>
  <c r="D89" i="41"/>
  <c r="D88" i="41"/>
  <c r="D87" i="41"/>
  <c r="D86" i="41"/>
  <c r="D85" i="41"/>
  <c r="D84" i="41"/>
  <c r="D83" i="41"/>
  <c r="D82" i="41"/>
  <c r="D81" i="41"/>
  <c r="D80" i="41"/>
  <c r="D79" i="41"/>
  <c r="D78" i="41"/>
  <c r="D77" i="41"/>
  <c r="D76" i="41"/>
  <c r="D75" i="41"/>
  <c r="D74" i="41"/>
  <c r="D73" i="41"/>
  <c r="D72" i="41"/>
  <c r="D71" i="41"/>
  <c r="D70" i="41"/>
  <c r="D69" i="41"/>
  <c r="D68" i="41"/>
  <c r="D6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D54" i="41"/>
  <c r="D53" i="41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120" i="33"/>
  <c r="D119" i="33"/>
  <c r="D118" i="33"/>
  <c r="D117" i="33"/>
  <c r="D116" i="33"/>
  <c r="D115" i="33"/>
  <c r="D114" i="33"/>
  <c r="D113" i="33"/>
  <c r="D112" i="33"/>
  <c r="D111" i="33"/>
  <c r="D110" i="33"/>
  <c r="D109" i="33"/>
  <c r="D108" i="33"/>
  <c r="D107" i="33"/>
  <c r="D106" i="33"/>
  <c r="D105" i="33"/>
  <c r="D104" i="33"/>
  <c r="D103" i="33"/>
  <c r="D102" i="33"/>
  <c r="D101" i="33"/>
  <c r="D100" i="33"/>
  <c r="D99" i="33"/>
  <c r="D98" i="33"/>
  <c r="D97" i="33"/>
  <c r="D96" i="33"/>
  <c r="D95" i="33"/>
  <c r="D94" i="33"/>
  <c r="D93" i="33"/>
  <c r="D92" i="33"/>
  <c r="D91" i="33"/>
  <c r="D90" i="33"/>
  <c r="D89" i="33"/>
  <c r="D88" i="33"/>
  <c r="D87" i="33"/>
  <c r="D86" i="33"/>
  <c r="D85" i="33"/>
  <c r="D84" i="33"/>
  <c r="D83" i="33"/>
  <c r="D82" i="33"/>
  <c r="D81" i="33"/>
  <c r="D80" i="33"/>
  <c r="D79" i="33"/>
  <c r="D78" i="33"/>
  <c r="D77" i="33"/>
  <c r="D76" i="33"/>
  <c r="D75" i="33"/>
  <c r="D74" i="33"/>
  <c r="D73" i="33"/>
  <c r="D72" i="33"/>
  <c r="D71" i="33"/>
  <c r="D70" i="33"/>
  <c r="D69" i="33"/>
  <c r="D68" i="33"/>
  <c r="D67" i="33"/>
  <c r="D66" i="33"/>
  <c r="D65" i="33"/>
  <c r="D64" i="33"/>
  <c r="D63" i="33"/>
  <c r="D62" i="33"/>
  <c r="D61" i="33"/>
  <c r="D60" i="33"/>
  <c r="D59" i="33"/>
  <c r="D58" i="33"/>
  <c r="D57" i="33"/>
  <c r="D56" i="33"/>
  <c r="D55" i="33"/>
  <c r="D54" i="33"/>
  <c r="D53" i="33"/>
  <c r="D52" i="33"/>
  <c r="D51" i="33"/>
  <c r="D50" i="33"/>
  <c r="D49" i="33"/>
  <c r="D48" i="33"/>
  <c r="D47" i="33"/>
  <c r="D46" i="33"/>
  <c r="D45" i="33"/>
  <c r="D44" i="33"/>
  <c r="D43" i="33"/>
  <c r="D42" i="33"/>
  <c r="D41" i="33"/>
  <c r="D40" i="33"/>
  <c r="D39" i="33"/>
  <c r="D38" i="33"/>
  <c r="D37" i="33"/>
  <c r="D36" i="33"/>
  <c r="D35" i="33"/>
  <c r="D34" i="33"/>
  <c r="D33" i="33"/>
  <c r="D32" i="33"/>
  <c r="D31" i="33"/>
  <c r="D30" i="33"/>
  <c r="D29" i="33"/>
  <c r="D28" i="33"/>
  <c r="D27" i="33"/>
  <c r="D26" i="33"/>
  <c r="D25" i="33"/>
  <c r="D18" i="33"/>
  <c r="D17" i="33"/>
  <c r="D16" i="33"/>
  <c r="D15" i="33"/>
  <c r="D14" i="33"/>
  <c r="D13" i="33"/>
  <c r="D12" i="33"/>
  <c r="D11" i="33"/>
  <c r="D10" i="33"/>
  <c r="D9" i="33"/>
  <c r="D8" i="33"/>
  <c r="D7" i="33"/>
  <c r="D120" i="39"/>
  <c r="D119" i="39"/>
  <c r="D118" i="39"/>
  <c r="D117" i="39"/>
  <c r="D116" i="39"/>
  <c r="D115" i="39"/>
  <c r="D114" i="39"/>
  <c r="D113" i="39"/>
  <c r="D112" i="39"/>
  <c r="D111" i="39"/>
  <c r="D110" i="39"/>
  <c r="D109" i="39"/>
  <c r="D108" i="39"/>
  <c r="D107" i="39"/>
  <c r="D106" i="39"/>
  <c r="D105" i="39"/>
  <c r="D104" i="39"/>
  <c r="D103" i="39"/>
  <c r="D102" i="39"/>
  <c r="D101" i="39"/>
  <c r="D100" i="39"/>
  <c r="D99" i="39"/>
  <c r="D98" i="39"/>
  <c r="D97" i="39"/>
  <c r="D96" i="39"/>
  <c r="D95" i="39"/>
  <c r="D94" i="39"/>
  <c r="D93" i="39"/>
  <c r="D92" i="39"/>
  <c r="D91" i="39"/>
  <c r="D90" i="39"/>
  <c r="D89" i="39"/>
  <c r="D88" i="39"/>
  <c r="D87" i="39"/>
  <c r="D86" i="39"/>
  <c r="D85" i="39"/>
  <c r="D84" i="39"/>
  <c r="D83" i="39"/>
  <c r="D82" i="39"/>
  <c r="D81" i="39"/>
  <c r="D80" i="39"/>
  <c r="D79" i="39"/>
  <c r="D78" i="39"/>
  <c r="D77" i="39"/>
  <c r="D76" i="39"/>
  <c r="D75" i="39"/>
  <c r="D74" i="39"/>
  <c r="D73" i="39"/>
  <c r="D72" i="39"/>
  <c r="D71" i="39"/>
  <c r="D70" i="39"/>
  <c r="D69" i="39"/>
  <c r="D68" i="39"/>
  <c r="D67" i="39"/>
  <c r="D66" i="39"/>
  <c r="D65" i="39"/>
  <c r="D64" i="39"/>
  <c r="D63" i="39"/>
  <c r="D62" i="39"/>
  <c r="D61" i="39"/>
  <c r="D60" i="39"/>
  <c r="D59" i="39"/>
  <c r="D58" i="39"/>
  <c r="D57" i="39"/>
  <c r="D56" i="39"/>
  <c r="D55" i="39"/>
  <c r="D54" i="39"/>
  <c r="D53" i="39"/>
  <c r="D52" i="39"/>
  <c r="D51" i="39"/>
  <c r="D50" i="39"/>
  <c r="D49" i="39"/>
  <c r="D48" i="39"/>
  <c r="D47" i="39"/>
  <c r="D46" i="39"/>
  <c r="D45" i="39"/>
  <c r="D44" i="39"/>
  <c r="D43" i="39"/>
  <c r="D42" i="39"/>
  <c r="D41" i="39"/>
  <c r="D40" i="39"/>
  <c r="D39" i="39"/>
  <c r="D38" i="39"/>
  <c r="D37" i="39"/>
  <c r="D36" i="39"/>
  <c r="D35" i="39"/>
  <c r="D34" i="39"/>
  <c r="D33" i="39"/>
  <c r="D32" i="39"/>
  <c r="D31" i="39"/>
  <c r="D30" i="39"/>
  <c r="D29" i="39"/>
  <c r="D28" i="39"/>
  <c r="D27" i="39"/>
  <c r="D26" i="39"/>
  <c r="D25" i="39"/>
  <c r="D18" i="39"/>
  <c r="D17" i="39"/>
  <c r="D16" i="39"/>
  <c r="D15" i="39"/>
  <c r="D14" i="39"/>
  <c r="D13" i="39"/>
  <c r="D12" i="39"/>
  <c r="D11" i="39"/>
  <c r="D10" i="39"/>
  <c r="D9" i="39"/>
  <c r="D8" i="39"/>
  <c r="D7" i="39"/>
  <c r="D119" i="37"/>
  <c r="D118" i="37"/>
  <c r="D117" i="37"/>
  <c r="D116" i="37"/>
  <c r="D115" i="37"/>
  <c r="D114" i="37"/>
  <c r="D113" i="37"/>
  <c r="D112" i="37"/>
  <c r="D111" i="37"/>
  <c r="D110" i="37"/>
  <c r="D109" i="37"/>
  <c r="D108" i="37"/>
  <c r="D107" i="37"/>
  <c r="D106" i="37"/>
  <c r="D105" i="37"/>
  <c r="D104" i="37"/>
  <c r="D103" i="37"/>
  <c r="D102" i="37"/>
  <c r="D101" i="37"/>
  <c r="D100" i="37"/>
  <c r="D99" i="37"/>
  <c r="D98" i="37"/>
  <c r="D97" i="37"/>
  <c r="D96" i="37"/>
  <c r="D95" i="37"/>
  <c r="D94" i="37"/>
  <c r="D93" i="37"/>
  <c r="D92" i="37"/>
  <c r="D91" i="37"/>
  <c r="D90" i="37"/>
  <c r="D89" i="37"/>
  <c r="D88" i="37"/>
  <c r="D87" i="37"/>
  <c r="D86" i="37"/>
  <c r="D85" i="37"/>
  <c r="D84" i="37"/>
  <c r="D83" i="37"/>
  <c r="D82" i="37"/>
  <c r="D81" i="37"/>
  <c r="D80" i="37"/>
  <c r="D79" i="37"/>
  <c r="D78" i="37"/>
  <c r="D77" i="37"/>
  <c r="D76" i="37"/>
  <c r="D75" i="37"/>
  <c r="D74" i="37"/>
  <c r="D73" i="37"/>
  <c r="D72" i="37"/>
  <c r="D71" i="37"/>
  <c r="D70" i="37"/>
  <c r="D69" i="37"/>
  <c r="D68" i="37"/>
  <c r="D67" i="37"/>
  <c r="D66" i="37"/>
  <c r="D65" i="37"/>
  <c r="D64" i="37"/>
  <c r="D63" i="37"/>
  <c r="D62" i="37"/>
  <c r="D61" i="37"/>
  <c r="D60" i="37"/>
  <c r="D59" i="37"/>
  <c r="D58" i="37"/>
  <c r="D57" i="37"/>
  <c r="D56" i="37"/>
  <c r="D55" i="37"/>
  <c r="D54" i="37"/>
  <c r="D53" i="37"/>
  <c r="D52" i="37"/>
  <c r="D51" i="37"/>
  <c r="D50" i="37"/>
  <c r="D49" i="37"/>
  <c r="D48" i="37"/>
  <c r="D47" i="37"/>
  <c r="D46" i="37"/>
  <c r="D45" i="37"/>
  <c r="D44" i="37"/>
  <c r="D43" i="37"/>
  <c r="D42" i="37"/>
  <c r="D41" i="37"/>
  <c r="D40" i="37"/>
  <c r="D39" i="37"/>
  <c r="D38" i="37"/>
  <c r="D37" i="37"/>
  <c r="D36" i="37"/>
  <c r="D35" i="37"/>
  <c r="D34" i="37"/>
  <c r="D33" i="37"/>
  <c r="D32" i="37"/>
  <c r="D31" i="37"/>
  <c r="D30" i="37"/>
  <c r="D29" i="37"/>
  <c r="D28" i="37"/>
  <c r="D27" i="37"/>
  <c r="D26" i="37"/>
  <c r="D25" i="37"/>
  <c r="D24" i="37"/>
  <c r="D17" i="37"/>
  <c r="D16" i="37"/>
  <c r="D15" i="37"/>
  <c r="D14" i="37"/>
  <c r="D13" i="37"/>
  <c r="D12" i="37"/>
  <c r="D11" i="37"/>
  <c r="D10" i="37"/>
  <c r="D9" i="37"/>
  <c r="D8" i="37"/>
  <c r="D7" i="37"/>
  <c r="D6" i="37"/>
  <c r="D120" i="38"/>
  <c r="D119" i="38"/>
  <c r="D118" i="38"/>
  <c r="D117" i="38"/>
  <c r="D116" i="38"/>
  <c r="D115" i="38"/>
  <c r="D114" i="38"/>
  <c r="D113" i="38"/>
  <c r="D112" i="38"/>
  <c r="D111" i="38"/>
  <c r="D110" i="38"/>
  <c r="D109" i="38"/>
  <c r="D108" i="38"/>
  <c r="D107" i="38"/>
  <c r="D106" i="38"/>
  <c r="D105" i="38"/>
  <c r="D104" i="38"/>
  <c r="D103" i="38"/>
  <c r="D102" i="38"/>
  <c r="D101" i="38"/>
  <c r="D100" i="38"/>
  <c r="D99" i="38"/>
  <c r="D98" i="38"/>
  <c r="D97" i="38"/>
  <c r="D96" i="38"/>
  <c r="D95" i="38"/>
  <c r="D94" i="38"/>
  <c r="D93" i="38"/>
  <c r="D92" i="38"/>
  <c r="D91" i="38"/>
  <c r="D90" i="38"/>
  <c r="D89" i="38"/>
  <c r="D88" i="38"/>
  <c r="D87" i="38"/>
  <c r="D86" i="38"/>
  <c r="D85" i="38"/>
  <c r="D84" i="38"/>
  <c r="D83" i="38"/>
  <c r="D82" i="38"/>
  <c r="D81" i="38"/>
  <c r="D80" i="38"/>
  <c r="D79" i="38"/>
  <c r="D78" i="38"/>
  <c r="D77" i="38"/>
  <c r="D76" i="38"/>
  <c r="D75" i="38"/>
  <c r="D74" i="38"/>
  <c r="D73" i="38"/>
  <c r="D72" i="38"/>
  <c r="D71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D51" i="38"/>
  <c r="D50" i="38"/>
  <c r="D49" i="38"/>
  <c r="D48" i="38"/>
  <c r="D47" i="38"/>
  <c r="D46" i="38"/>
  <c r="D45" i="38"/>
  <c r="D44" i="38"/>
  <c r="D43" i="38"/>
  <c r="D42" i="38"/>
  <c r="D41" i="38"/>
  <c r="D40" i="38"/>
  <c r="D39" i="38"/>
  <c r="D38" i="38"/>
  <c r="D37" i="38"/>
  <c r="D36" i="38"/>
  <c r="D35" i="38"/>
  <c r="D34" i="38"/>
  <c r="D33" i="38"/>
  <c r="D32" i="38"/>
  <c r="D31" i="38"/>
  <c r="D30" i="38"/>
  <c r="D29" i="38"/>
  <c r="D28" i="38"/>
  <c r="D27" i="38"/>
  <c r="D26" i="38"/>
  <c r="D25" i="38"/>
  <c r="D18" i="38"/>
  <c r="D17" i="38"/>
  <c r="D16" i="38"/>
  <c r="D15" i="38"/>
  <c r="D14" i="38"/>
  <c r="D13" i="38"/>
  <c r="D12" i="38"/>
  <c r="D11" i="38"/>
  <c r="D10" i="38"/>
  <c r="D9" i="38"/>
  <c r="D8" i="38"/>
  <c r="D7" i="38"/>
  <c r="D120" i="42"/>
  <c r="D119" i="42"/>
  <c r="D118" i="42"/>
  <c r="D117" i="42"/>
  <c r="D116" i="42"/>
  <c r="D115" i="42"/>
  <c r="D114" i="42"/>
  <c r="D113" i="42"/>
  <c r="D112" i="42"/>
  <c r="D111" i="42"/>
  <c r="D110" i="42"/>
  <c r="D109" i="42"/>
  <c r="D108" i="42"/>
  <c r="D107" i="42"/>
  <c r="D106" i="42"/>
  <c r="D105" i="42"/>
  <c r="D104" i="42"/>
  <c r="D103" i="42"/>
  <c r="D102" i="42"/>
  <c r="D101" i="42"/>
  <c r="D100" i="42"/>
  <c r="D99" i="42"/>
  <c r="D98" i="42"/>
  <c r="D97" i="42"/>
  <c r="D96" i="42"/>
  <c r="D95" i="42"/>
  <c r="D94" i="42"/>
  <c r="D93" i="42"/>
  <c r="D92" i="42"/>
  <c r="D91" i="42"/>
  <c r="D90" i="42"/>
  <c r="D89" i="42"/>
  <c r="D88" i="42"/>
  <c r="D87" i="42"/>
  <c r="D86" i="42"/>
  <c r="D85" i="42"/>
  <c r="D84" i="42"/>
  <c r="D83" i="42"/>
  <c r="D82" i="42"/>
  <c r="D81" i="42"/>
  <c r="D80" i="42"/>
  <c r="D79" i="42"/>
  <c r="D78" i="42"/>
  <c r="D77" i="42"/>
  <c r="D76" i="42"/>
  <c r="D75" i="42"/>
  <c r="D74" i="42"/>
  <c r="D73" i="42"/>
  <c r="D71" i="42"/>
  <c r="D70" i="42"/>
  <c r="D69" i="42"/>
  <c r="D68" i="42"/>
  <c r="D67" i="42"/>
  <c r="D66" i="42"/>
  <c r="D65" i="42"/>
  <c r="D64" i="42"/>
  <c r="D63" i="42"/>
  <c r="D62" i="42"/>
  <c r="D61" i="42"/>
  <c r="D60" i="42"/>
  <c r="D59" i="42"/>
  <c r="D58" i="42"/>
  <c r="D57" i="42"/>
  <c r="D56" i="42"/>
  <c r="D55" i="42"/>
  <c r="D54" i="42"/>
  <c r="D53" i="42"/>
  <c r="D52" i="42"/>
  <c r="D51" i="42"/>
  <c r="D50" i="42"/>
  <c r="D49" i="42"/>
  <c r="D48" i="42"/>
  <c r="D47" i="42"/>
  <c r="D46" i="42"/>
  <c r="D45" i="42"/>
  <c r="D44" i="42"/>
  <c r="D43" i="42"/>
  <c r="D42" i="42"/>
  <c r="D41" i="42"/>
  <c r="D40" i="42"/>
  <c r="D39" i="42"/>
  <c r="D38" i="42"/>
  <c r="D37" i="42"/>
  <c r="D36" i="42"/>
  <c r="D35" i="42"/>
  <c r="D34" i="42"/>
  <c r="D33" i="42"/>
  <c r="D32" i="42"/>
  <c r="D31" i="42"/>
  <c r="D30" i="42"/>
  <c r="D29" i="42"/>
  <c r="D28" i="42"/>
  <c r="D27" i="42"/>
  <c r="D26" i="42"/>
  <c r="D25" i="42"/>
  <c r="D18" i="42"/>
  <c r="D17" i="42"/>
  <c r="D16" i="42"/>
  <c r="D15" i="42"/>
  <c r="D14" i="42"/>
  <c r="D13" i="42"/>
  <c r="D12" i="42"/>
  <c r="D11" i="42"/>
  <c r="D10" i="42"/>
  <c r="D9" i="42"/>
  <c r="D8" i="42"/>
  <c r="D7" i="42"/>
  <c r="D119" i="43"/>
  <c r="D118" i="43"/>
  <c r="D117" i="43"/>
  <c r="D116" i="43"/>
  <c r="D115" i="43"/>
  <c r="D114" i="43"/>
  <c r="D113" i="43"/>
  <c r="D112" i="43"/>
  <c r="D111" i="43"/>
  <c r="D110" i="43"/>
  <c r="D109" i="43"/>
  <c r="D108" i="43"/>
  <c r="D107" i="43"/>
  <c r="D106" i="43"/>
  <c r="D105" i="43"/>
  <c r="D104" i="43"/>
  <c r="D103" i="43"/>
  <c r="D102" i="43"/>
  <c r="D101" i="43"/>
  <c r="D100" i="43"/>
  <c r="D99" i="43"/>
  <c r="D98" i="43"/>
  <c r="D97" i="43"/>
  <c r="D96" i="43"/>
  <c r="D95" i="43"/>
  <c r="D94" i="43"/>
  <c r="D93" i="43"/>
  <c r="D92" i="43"/>
  <c r="D91" i="43"/>
  <c r="D90" i="43"/>
  <c r="D89" i="43"/>
  <c r="D88" i="43"/>
  <c r="D87" i="43"/>
  <c r="D86" i="43"/>
  <c r="D85" i="43"/>
  <c r="D84" i="43"/>
  <c r="D83" i="43"/>
  <c r="D82" i="43"/>
  <c r="D81" i="43"/>
  <c r="D80" i="43"/>
  <c r="D79" i="43"/>
  <c r="D78" i="43"/>
  <c r="D77" i="43"/>
  <c r="D76" i="43"/>
  <c r="D75" i="43"/>
  <c r="D74" i="43"/>
  <c r="D73" i="43"/>
  <c r="D72" i="43"/>
  <c r="D71" i="43"/>
  <c r="D70" i="43"/>
  <c r="D69" i="43"/>
  <c r="D68" i="43"/>
  <c r="D67" i="43"/>
  <c r="D66" i="43"/>
  <c r="D65" i="43"/>
  <c r="D64" i="43"/>
  <c r="D63" i="43"/>
  <c r="D62" i="43"/>
  <c r="D61" i="43"/>
  <c r="D60" i="43"/>
  <c r="D59" i="43"/>
  <c r="D58" i="43"/>
  <c r="D57" i="43"/>
  <c r="D56" i="43"/>
  <c r="D55" i="43"/>
  <c r="D54" i="43"/>
  <c r="D53" i="43"/>
  <c r="D52" i="43"/>
  <c r="D51" i="43"/>
  <c r="D50" i="43"/>
  <c r="D49" i="43"/>
  <c r="D48" i="43"/>
  <c r="D47" i="43"/>
  <c r="D46" i="43"/>
  <c r="D45" i="43"/>
  <c r="D44" i="43"/>
  <c r="D43" i="43"/>
  <c r="D42" i="43"/>
  <c r="D41" i="43"/>
  <c r="D40" i="43"/>
  <c r="D39" i="43"/>
  <c r="D38" i="43"/>
  <c r="D37" i="43"/>
  <c r="D36" i="43"/>
  <c r="D35" i="43"/>
  <c r="D34" i="43"/>
  <c r="D33" i="43"/>
  <c r="D32" i="43"/>
  <c r="D31" i="43"/>
  <c r="D30" i="43"/>
  <c r="D29" i="43"/>
  <c r="D28" i="43"/>
  <c r="D27" i="43"/>
  <c r="D26" i="43"/>
  <c r="D25" i="43"/>
  <c r="D24" i="43"/>
  <c r="D17" i="43"/>
  <c r="D16" i="43"/>
  <c r="D15" i="43"/>
  <c r="D14" i="43"/>
  <c r="D13" i="43"/>
  <c r="D12" i="43"/>
  <c r="D11" i="43"/>
  <c r="D10" i="43"/>
  <c r="D9" i="43"/>
  <c r="D8" i="43"/>
  <c r="D7" i="43"/>
  <c r="D72" i="42"/>
  <c r="D119" i="44"/>
  <c r="D118" i="44"/>
  <c r="D117" i="44"/>
  <c r="D116" i="44"/>
  <c r="D115" i="44"/>
  <c r="D114" i="44"/>
  <c r="D113" i="44"/>
  <c r="D112" i="44"/>
  <c r="D111" i="44"/>
  <c r="D110" i="44"/>
  <c r="D109" i="44"/>
  <c r="D108" i="44"/>
  <c r="D107" i="44"/>
  <c r="D106" i="44"/>
  <c r="D105" i="44"/>
  <c r="D104" i="44"/>
  <c r="D103" i="44"/>
  <c r="D102" i="44"/>
  <c r="D101" i="44"/>
  <c r="D100" i="44"/>
  <c r="D99" i="44"/>
  <c r="D98" i="44"/>
  <c r="D97" i="44"/>
  <c r="D96" i="44"/>
  <c r="D95" i="44"/>
  <c r="D94" i="44"/>
  <c r="D93" i="44"/>
  <c r="D92" i="44"/>
  <c r="D91" i="44"/>
  <c r="D90" i="44"/>
  <c r="D89" i="44"/>
  <c r="D88" i="44"/>
  <c r="D87" i="44"/>
  <c r="D86" i="44"/>
  <c r="D85" i="44"/>
  <c r="D84" i="44"/>
  <c r="D83" i="44"/>
  <c r="D82" i="44"/>
  <c r="D81" i="44"/>
  <c r="D80" i="44"/>
  <c r="D79" i="44"/>
  <c r="D78" i="44"/>
  <c r="D77" i="44"/>
  <c r="D76" i="44"/>
  <c r="D75" i="44"/>
  <c r="D74" i="44"/>
  <c r="D73" i="44"/>
  <c r="D72" i="44"/>
  <c r="D71" i="44"/>
  <c r="D70" i="44"/>
  <c r="D69" i="44"/>
  <c r="D68" i="44"/>
  <c r="D67" i="44"/>
  <c r="D66" i="44"/>
  <c r="D65" i="44"/>
  <c r="D64" i="44"/>
  <c r="D63" i="44"/>
  <c r="D62" i="44"/>
  <c r="D61" i="44"/>
  <c r="D60" i="44"/>
  <c r="D59" i="44"/>
  <c r="D58" i="44"/>
  <c r="D57" i="44"/>
  <c r="D56" i="44"/>
  <c r="D55" i="44"/>
  <c r="D54" i="44"/>
  <c r="D53" i="44"/>
  <c r="D52" i="44"/>
  <c r="D51" i="44"/>
  <c r="D50" i="44"/>
  <c r="D49" i="44"/>
  <c r="D48" i="44"/>
  <c r="D47" i="44"/>
  <c r="D46" i="44"/>
  <c r="D45" i="44"/>
  <c r="D44" i="44"/>
  <c r="D43" i="44"/>
  <c r="D42" i="44"/>
  <c r="D41" i="44"/>
  <c r="D40" i="44"/>
  <c r="D39" i="44"/>
  <c r="D38" i="44"/>
  <c r="D37" i="44"/>
  <c r="D36" i="44"/>
  <c r="D35" i="44"/>
  <c r="D34" i="44"/>
  <c r="D33" i="44"/>
  <c r="D32" i="44"/>
  <c r="D31" i="44"/>
  <c r="D30" i="44"/>
  <c r="D29" i="44"/>
  <c r="D28" i="44"/>
  <c r="D27" i="44"/>
  <c r="D26" i="44"/>
  <c r="D25" i="44"/>
  <c r="D24" i="44"/>
  <c r="D17" i="44"/>
  <c r="D16" i="44"/>
  <c r="D15" i="44"/>
  <c r="D14" i="44"/>
  <c r="D13" i="44"/>
  <c r="D12" i="44"/>
  <c r="D11" i="44"/>
  <c r="D10" i="44"/>
  <c r="D9" i="44"/>
  <c r="D8" i="44"/>
  <c r="D7" i="44"/>
  <c r="D6" i="44"/>
  <c r="H902" i="36" l="1"/>
  <c r="H921" i="36"/>
  <c r="H883" i="36"/>
  <c r="H940" i="36"/>
  <c r="H864" i="36"/>
  <c r="H769" i="36"/>
  <c r="H788" i="36"/>
  <c r="H826" i="36"/>
  <c r="H845" i="36"/>
  <c r="H807" i="36"/>
  <c r="H674" i="36"/>
  <c r="H712" i="36"/>
  <c r="H750" i="36"/>
  <c r="H693" i="36"/>
  <c r="H731" i="36"/>
  <c r="H579" i="36"/>
  <c r="H598" i="36"/>
  <c r="H636" i="36"/>
  <c r="H617" i="36"/>
  <c r="H655" i="36"/>
  <c r="H503" i="36"/>
  <c r="H522" i="36"/>
  <c r="H560" i="36"/>
  <c r="H484" i="36"/>
  <c r="H541" i="36"/>
  <c r="H313" i="36"/>
  <c r="H351" i="36"/>
  <c r="H332" i="36"/>
  <c r="H370" i="36"/>
  <c r="H349" i="36"/>
  <c r="H294" i="36"/>
  <c r="H359" i="36"/>
  <c r="H1130" i="36"/>
  <c r="H1092" i="36"/>
  <c r="H1073" i="36"/>
  <c r="H1054" i="36"/>
  <c r="H1111" i="36"/>
  <c r="N118" i="43"/>
  <c r="N117" i="43"/>
  <c r="O117" i="43" s="1"/>
  <c r="P117" i="43" s="1"/>
  <c r="Q117" i="43" s="1"/>
  <c r="R117" i="43" s="1"/>
  <c r="S117" i="43" s="1"/>
  <c r="T117" i="43" s="1"/>
  <c r="U117" i="43" s="1"/>
  <c r="V117" i="43" s="1"/>
  <c r="W117" i="43" s="1"/>
  <c r="X117" i="43" s="1"/>
  <c r="Y117" i="43" s="1"/>
  <c r="Z117" i="43" s="1"/>
  <c r="AA117" i="43" s="1"/>
  <c r="AB117" i="43" s="1"/>
  <c r="AC117" i="43" s="1"/>
  <c r="AD117" i="43" s="1"/>
  <c r="AE117" i="43" s="1"/>
  <c r="AF117" i="43" s="1"/>
  <c r="AG117" i="43" s="1"/>
  <c r="AH117" i="43" s="1"/>
  <c r="AI117" i="43" s="1"/>
  <c r="AJ117" i="43" s="1"/>
  <c r="AK117" i="43" s="1"/>
  <c r="AL117" i="43" s="1"/>
  <c r="B117" i="43"/>
  <c r="B119" i="43" s="1"/>
  <c r="AD116" i="43"/>
  <c r="AE116" i="43" s="1"/>
  <c r="AF116" i="43" s="1"/>
  <c r="AG116" i="43" s="1"/>
  <c r="AH116" i="43" s="1"/>
  <c r="AI116" i="43" s="1"/>
  <c r="AJ116" i="43" s="1"/>
  <c r="AK116" i="43" s="1"/>
  <c r="AL116" i="43" s="1"/>
  <c r="AM116" i="43" s="1"/>
  <c r="AN116" i="43" s="1"/>
  <c r="AO116" i="43" s="1"/>
  <c r="AP116" i="43" s="1"/>
  <c r="X115" i="43"/>
  <c r="Y115" i="43" s="1"/>
  <c r="Z115" i="43" s="1"/>
  <c r="AA115" i="43" s="1"/>
  <c r="AB115" i="43" s="1"/>
  <c r="AC115" i="43" s="1"/>
  <c r="AD115" i="43" s="1"/>
  <c r="AE115" i="43" s="1"/>
  <c r="AF115" i="43" s="1"/>
  <c r="AG115" i="43" s="1"/>
  <c r="AH115" i="43" s="1"/>
  <c r="AI115" i="43" s="1"/>
  <c r="AJ115" i="43" s="1"/>
  <c r="AK115" i="43" s="1"/>
  <c r="AL115" i="43" s="1"/>
  <c r="X114" i="43"/>
  <c r="Y114" i="43" s="1"/>
  <c r="Z114" i="43" s="1"/>
  <c r="AA114" i="43" s="1"/>
  <c r="AB114" i="43" s="1"/>
  <c r="AC114" i="43" s="1"/>
  <c r="AD114" i="43" s="1"/>
  <c r="AE114" i="43" s="1"/>
  <c r="AF114" i="43" s="1"/>
  <c r="AG114" i="43" s="1"/>
  <c r="AH114" i="43" s="1"/>
  <c r="AI114" i="43" s="1"/>
  <c r="AJ114" i="43" s="1"/>
  <c r="N112" i="43"/>
  <c r="O112" i="43" s="1"/>
  <c r="P112" i="43" s="1"/>
  <c r="Q112" i="43" s="1"/>
  <c r="R112" i="43" s="1"/>
  <c r="S112" i="43" s="1"/>
  <c r="T112" i="43" s="1"/>
  <c r="U112" i="43" s="1"/>
  <c r="V112" i="43" s="1"/>
  <c r="W112" i="43" s="1"/>
  <c r="X112" i="43" s="1"/>
  <c r="Y112" i="43" s="1"/>
  <c r="Z112" i="43" s="1"/>
  <c r="AA112" i="43" s="1"/>
  <c r="AB112" i="43" s="1"/>
  <c r="AC112" i="43" s="1"/>
  <c r="AD112" i="43" s="1"/>
  <c r="AE112" i="43" s="1"/>
  <c r="AF112" i="43" s="1"/>
  <c r="AG112" i="43" s="1"/>
  <c r="AH112" i="43" s="1"/>
  <c r="AI112" i="43" s="1"/>
  <c r="AJ112" i="43" s="1"/>
  <c r="AK112" i="43" s="1"/>
  <c r="AL112" i="43" s="1"/>
  <c r="AM112" i="43" s="1"/>
  <c r="N111" i="43"/>
  <c r="O111" i="43" s="1"/>
  <c r="P111" i="43" s="1"/>
  <c r="Q111" i="43" s="1"/>
  <c r="R111" i="43" s="1"/>
  <c r="S111" i="43" s="1"/>
  <c r="T111" i="43" s="1"/>
  <c r="U111" i="43" s="1"/>
  <c r="V111" i="43" s="1"/>
  <c r="W111" i="43" s="1"/>
  <c r="X111" i="43" s="1"/>
  <c r="Y111" i="43" s="1"/>
  <c r="Z111" i="43" s="1"/>
  <c r="AA111" i="43" s="1"/>
  <c r="AB111" i="43" s="1"/>
  <c r="AC111" i="43" s="1"/>
  <c r="AD111" i="43" s="1"/>
  <c r="AE111" i="43" s="1"/>
  <c r="AF111" i="43" s="1"/>
  <c r="AG111" i="43" s="1"/>
  <c r="AH111" i="43" s="1"/>
  <c r="AI111" i="43" s="1"/>
  <c r="AJ111" i="43" s="1"/>
  <c r="AK111" i="43" s="1"/>
  <c r="AD110" i="43"/>
  <c r="AE110" i="43" s="1"/>
  <c r="AF110" i="43" s="1"/>
  <c r="AG110" i="43" s="1"/>
  <c r="AH110" i="43" s="1"/>
  <c r="AI110" i="43" s="1"/>
  <c r="AJ110" i="43" s="1"/>
  <c r="AK110" i="43" s="1"/>
  <c r="AL110" i="43" s="1"/>
  <c r="AM110" i="43" s="1"/>
  <c r="AN110" i="43" s="1"/>
  <c r="X109" i="43"/>
  <c r="Y109" i="43" s="1"/>
  <c r="Z109" i="43" s="1"/>
  <c r="AA109" i="43" s="1"/>
  <c r="AB109" i="43" s="1"/>
  <c r="AC109" i="43" s="1"/>
  <c r="AD109" i="43" s="1"/>
  <c r="AE109" i="43" s="1"/>
  <c r="AF109" i="43" s="1"/>
  <c r="AG109" i="43" s="1"/>
  <c r="AH109" i="43" s="1"/>
  <c r="AI109" i="43" s="1"/>
  <c r="AJ109" i="43" s="1"/>
  <c r="X108" i="43"/>
  <c r="Y108" i="43" s="1"/>
  <c r="N106" i="43"/>
  <c r="O106" i="43" s="1"/>
  <c r="P106" i="43" s="1"/>
  <c r="Q106" i="43" s="1"/>
  <c r="R106" i="43" s="1"/>
  <c r="S106" i="43" s="1"/>
  <c r="T106" i="43" s="1"/>
  <c r="U106" i="43" s="1"/>
  <c r="V106" i="43" s="1"/>
  <c r="W106" i="43" s="1"/>
  <c r="X106" i="43" s="1"/>
  <c r="Y106" i="43" s="1"/>
  <c r="Z106" i="43" s="1"/>
  <c r="AA106" i="43" s="1"/>
  <c r="AB106" i="43" s="1"/>
  <c r="AC106" i="43" s="1"/>
  <c r="AD106" i="43" s="1"/>
  <c r="AE106" i="43" s="1"/>
  <c r="AF106" i="43" s="1"/>
  <c r="AG106" i="43" s="1"/>
  <c r="AH106" i="43" s="1"/>
  <c r="AI106" i="43" s="1"/>
  <c r="AJ106" i="43" s="1"/>
  <c r="AK106" i="43" s="1"/>
  <c r="AL106" i="43" s="1"/>
  <c r="N105" i="43"/>
  <c r="O105" i="43" s="1"/>
  <c r="P105" i="43" s="1"/>
  <c r="Q105" i="43" s="1"/>
  <c r="R105" i="43" s="1"/>
  <c r="S105" i="43" s="1"/>
  <c r="T105" i="43" s="1"/>
  <c r="U105" i="43" s="1"/>
  <c r="V105" i="43" s="1"/>
  <c r="W105" i="43" s="1"/>
  <c r="X105" i="43" s="1"/>
  <c r="Y105" i="43" s="1"/>
  <c r="Z105" i="43" s="1"/>
  <c r="AA105" i="43" s="1"/>
  <c r="AB105" i="43" s="1"/>
  <c r="AC105" i="43" s="1"/>
  <c r="AD105" i="43" s="1"/>
  <c r="AE105" i="43" s="1"/>
  <c r="AF105" i="43" s="1"/>
  <c r="AG105" i="43" s="1"/>
  <c r="AH105" i="43" s="1"/>
  <c r="AI105" i="43" s="1"/>
  <c r="AJ105" i="43" s="1"/>
  <c r="AD104" i="43"/>
  <c r="AE104" i="43" s="1"/>
  <c r="AF104" i="43" s="1"/>
  <c r="AG104" i="43" s="1"/>
  <c r="AH104" i="43" s="1"/>
  <c r="AI104" i="43" s="1"/>
  <c r="AJ104" i="43" s="1"/>
  <c r="AK104" i="43" s="1"/>
  <c r="AL104" i="43" s="1"/>
  <c r="AM104" i="43" s="1"/>
  <c r="X103" i="43"/>
  <c r="Y103" i="43" s="1"/>
  <c r="Z103" i="43" s="1"/>
  <c r="AA103" i="43" s="1"/>
  <c r="AB103" i="43" s="1"/>
  <c r="AC103" i="43" s="1"/>
  <c r="AD103" i="43" s="1"/>
  <c r="AE103" i="43" s="1"/>
  <c r="AF103" i="43" s="1"/>
  <c r="AG103" i="43" s="1"/>
  <c r="AH103" i="43" s="1"/>
  <c r="AI103" i="43" s="1"/>
  <c r="X102" i="43"/>
  <c r="Y102" i="43" s="1"/>
  <c r="Z102" i="43" s="1"/>
  <c r="AA102" i="43" s="1"/>
  <c r="AB102" i="43" s="1"/>
  <c r="N100" i="43"/>
  <c r="O100" i="43" s="1"/>
  <c r="P100" i="43" s="1"/>
  <c r="Q100" i="43" s="1"/>
  <c r="R100" i="43" s="1"/>
  <c r="S100" i="43" s="1"/>
  <c r="T100" i="43" s="1"/>
  <c r="U100" i="43" s="1"/>
  <c r="V100" i="43" s="1"/>
  <c r="W100" i="43" s="1"/>
  <c r="X100" i="43" s="1"/>
  <c r="Y100" i="43" s="1"/>
  <c r="Z100" i="43" s="1"/>
  <c r="AA100" i="43" s="1"/>
  <c r="AB100" i="43" s="1"/>
  <c r="AC100" i="43" s="1"/>
  <c r="AD100" i="43" s="1"/>
  <c r="AE100" i="43" s="1"/>
  <c r="AF100" i="43" s="1"/>
  <c r="AG100" i="43" s="1"/>
  <c r="AH100" i="43" s="1"/>
  <c r="AI100" i="43" s="1"/>
  <c r="AJ100" i="43" s="1"/>
  <c r="N99" i="43"/>
  <c r="O99" i="43" s="1"/>
  <c r="P99" i="43" s="1"/>
  <c r="Q99" i="43" s="1"/>
  <c r="R99" i="43" s="1"/>
  <c r="S99" i="43" s="1"/>
  <c r="T99" i="43" s="1"/>
  <c r="U99" i="43" s="1"/>
  <c r="V99" i="43" s="1"/>
  <c r="W99" i="43" s="1"/>
  <c r="X99" i="43" s="1"/>
  <c r="Y99" i="43" s="1"/>
  <c r="Z99" i="43" s="1"/>
  <c r="AA99" i="43" s="1"/>
  <c r="AB99" i="43" s="1"/>
  <c r="AC99" i="43" s="1"/>
  <c r="AD99" i="43" s="1"/>
  <c r="AE99" i="43" s="1"/>
  <c r="AF99" i="43" s="1"/>
  <c r="AG99" i="43" s="1"/>
  <c r="AH99" i="43" s="1"/>
  <c r="AD98" i="43"/>
  <c r="AE98" i="43" s="1"/>
  <c r="AF98" i="43" s="1"/>
  <c r="AG98" i="43" s="1"/>
  <c r="AH98" i="43" s="1"/>
  <c r="AI98" i="43" s="1"/>
  <c r="AJ98" i="43" s="1"/>
  <c r="AK98" i="43" s="1"/>
  <c r="X97" i="43"/>
  <c r="Y97" i="43" s="1"/>
  <c r="Z97" i="43" s="1"/>
  <c r="X96" i="43"/>
  <c r="Y96" i="43" s="1"/>
  <c r="Z96" i="43" s="1"/>
  <c r="AA96" i="43" s="1"/>
  <c r="AB96" i="43" s="1"/>
  <c r="AC96" i="43" s="1"/>
  <c r="AD96" i="43" s="1"/>
  <c r="AE96" i="43" s="1"/>
  <c r="AF96" i="43" s="1"/>
  <c r="N94" i="43"/>
  <c r="O94" i="43" s="1"/>
  <c r="P94" i="43" s="1"/>
  <c r="N93" i="43"/>
  <c r="O93" i="43" s="1"/>
  <c r="P93" i="43" s="1"/>
  <c r="Q93" i="43" s="1"/>
  <c r="R93" i="43" s="1"/>
  <c r="S93" i="43" s="1"/>
  <c r="B93" i="43"/>
  <c r="B95" i="43" s="1"/>
  <c r="AD92" i="43"/>
  <c r="AE92" i="43" s="1"/>
  <c r="AF92" i="43" s="1"/>
  <c r="AG92" i="43" s="1"/>
  <c r="AH92" i="43" s="1"/>
  <c r="AI92" i="43" s="1"/>
  <c r="AJ92" i="43" s="1"/>
  <c r="X91" i="43"/>
  <c r="Y91" i="43" s="1"/>
  <c r="Z91" i="43" s="1"/>
  <c r="AA91" i="43" s="1"/>
  <c r="AB91" i="43" s="1"/>
  <c r="AC91" i="43" s="1"/>
  <c r="AD91" i="43" s="1"/>
  <c r="AE91" i="43" s="1"/>
  <c r="AF91" i="43" s="1"/>
  <c r="X90" i="43"/>
  <c r="Y90" i="43" s="1"/>
  <c r="Z90" i="43" s="1"/>
  <c r="AA90" i="43" s="1"/>
  <c r="AB90" i="43" s="1"/>
  <c r="AC90" i="43" s="1"/>
  <c r="AD90" i="43" s="1"/>
  <c r="N88" i="43"/>
  <c r="O88" i="43" s="1"/>
  <c r="P88" i="43" s="1"/>
  <c r="Q88" i="43" s="1"/>
  <c r="R88" i="43" s="1"/>
  <c r="N87" i="43"/>
  <c r="O87" i="43" s="1"/>
  <c r="P87" i="43" s="1"/>
  <c r="Q87" i="43" s="1"/>
  <c r="R87" i="43" s="1"/>
  <c r="S87" i="43" s="1"/>
  <c r="B87" i="43"/>
  <c r="B89" i="43" s="1"/>
  <c r="AD86" i="43"/>
  <c r="AE86" i="43" s="1"/>
  <c r="AF86" i="43" s="1"/>
  <c r="AG86" i="43" s="1"/>
  <c r="AH86" i="43" s="1"/>
  <c r="X85" i="43"/>
  <c r="Y85" i="43" s="1"/>
  <c r="Z85" i="43" s="1"/>
  <c r="AA85" i="43" s="1"/>
  <c r="AB85" i="43" s="1"/>
  <c r="AC85" i="43" s="1"/>
  <c r="AD85" i="43" s="1"/>
  <c r="X84" i="43"/>
  <c r="Y84" i="43" s="1"/>
  <c r="Z84" i="43" s="1"/>
  <c r="AA84" i="43" s="1"/>
  <c r="AB84" i="43" s="1"/>
  <c r="N82" i="43"/>
  <c r="O82" i="43" s="1"/>
  <c r="P82" i="43" s="1"/>
  <c r="Q82" i="43" s="1"/>
  <c r="R82" i="43" s="1"/>
  <c r="S82" i="43" s="1"/>
  <c r="T82" i="43" s="1"/>
  <c r="U82" i="43" s="1"/>
  <c r="V82" i="43" s="1"/>
  <c r="W82" i="43" s="1"/>
  <c r="X82" i="43" s="1"/>
  <c r="Y82" i="43" s="1"/>
  <c r="Z82" i="43" s="1"/>
  <c r="AA82" i="43" s="1"/>
  <c r="AB82" i="43" s="1"/>
  <c r="AC82" i="43" s="1"/>
  <c r="AD82" i="43" s="1"/>
  <c r="N81" i="43"/>
  <c r="O81" i="43" s="1"/>
  <c r="P81" i="43" s="1"/>
  <c r="Q81" i="43" s="1"/>
  <c r="R81" i="43" s="1"/>
  <c r="S81" i="43" s="1"/>
  <c r="T81" i="43" s="1"/>
  <c r="U81" i="43" s="1"/>
  <c r="V81" i="43" s="1"/>
  <c r="W81" i="43" s="1"/>
  <c r="X81" i="43" s="1"/>
  <c r="Y81" i="43" s="1"/>
  <c r="Z81" i="43" s="1"/>
  <c r="AA81" i="43" s="1"/>
  <c r="AB81" i="43" s="1"/>
  <c r="B81" i="43"/>
  <c r="B83" i="43" s="1"/>
  <c r="AD80" i="43"/>
  <c r="AE80" i="43" s="1"/>
  <c r="AF80" i="43" s="1"/>
  <c r="X79" i="43"/>
  <c r="Y79" i="43" s="1"/>
  <c r="Z79" i="43" s="1"/>
  <c r="AA79" i="43" s="1"/>
  <c r="AB79" i="43" s="1"/>
  <c r="X78" i="43"/>
  <c r="Y78" i="43" s="1"/>
  <c r="Z78" i="43" s="1"/>
  <c r="N76" i="43"/>
  <c r="O76" i="43" s="1"/>
  <c r="P76" i="43" s="1"/>
  <c r="Q76" i="43" s="1"/>
  <c r="R76" i="43" s="1"/>
  <c r="S76" i="43" s="1"/>
  <c r="T76" i="43" s="1"/>
  <c r="U76" i="43" s="1"/>
  <c r="V76" i="43" s="1"/>
  <c r="W76" i="43" s="1"/>
  <c r="X76" i="43" s="1"/>
  <c r="Y76" i="43" s="1"/>
  <c r="Z76" i="43" s="1"/>
  <c r="AA76" i="43" s="1"/>
  <c r="AB76" i="43" s="1"/>
  <c r="N75" i="43"/>
  <c r="O75" i="43" s="1"/>
  <c r="P75" i="43" s="1"/>
  <c r="Q75" i="43" s="1"/>
  <c r="R75" i="43" s="1"/>
  <c r="S75" i="43" s="1"/>
  <c r="T75" i="43" s="1"/>
  <c r="U75" i="43" s="1"/>
  <c r="V75" i="43" s="1"/>
  <c r="W75" i="43" s="1"/>
  <c r="X75" i="43" s="1"/>
  <c r="Y75" i="43" s="1"/>
  <c r="Z75" i="43" s="1"/>
  <c r="B75" i="43"/>
  <c r="B77" i="43" s="1"/>
  <c r="AD74" i="43"/>
  <c r="K74" i="43" s="1"/>
  <c r="X73" i="43"/>
  <c r="Y73" i="43" s="1"/>
  <c r="X72" i="43"/>
  <c r="K72" i="43" s="1"/>
  <c r="N70" i="43"/>
  <c r="O70" i="43" s="1"/>
  <c r="N69" i="43"/>
  <c r="O69" i="43" s="1"/>
  <c r="P69" i="43" s="1"/>
  <c r="Q69" i="43" s="1"/>
  <c r="R69" i="43" s="1"/>
  <c r="S69" i="43" s="1"/>
  <c r="T69" i="43" s="1"/>
  <c r="U69" i="43" s="1"/>
  <c r="V69" i="43" s="1"/>
  <c r="W69" i="43" s="1"/>
  <c r="X69" i="43" s="1"/>
  <c r="B69" i="43"/>
  <c r="B71" i="43" s="1"/>
  <c r="K68" i="43"/>
  <c r="X67" i="43"/>
  <c r="K67" i="43" s="1"/>
  <c r="K66" i="43"/>
  <c r="N64" i="43"/>
  <c r="O64" i="43" s="1"/>
  <c r="P64" i="43" s="1"/>
  <c r="Q64" i="43" s="1"/>
  <c r="R64" i="43" s="1"/>
  <c r="S64" i="43" s="1"/>
  <c r="T64" i="43" s="1"/>
  <c r="U64" i="43" s="1"/>
  <c r="V64" i="43" s="1"/>
  <c r="W64" i="43" s="1"/>
  <c r="X64" i="43" s="1"/>
  <c r="Y64" i="43" s="1"/>
  <c r="Z64" i="43" s="1"/>
  <c r="AA64" i="43" s="1"/>
  <c r="AB64" i="43" s="1"/>
  <c r="AC64" i="43" s="1"/>
  <c r="AD64" i="43" s="1"/>
  <c r="AE64" i="43" s="1"/>
  <c r="AF64" i="43" s="1"/>
  <c r="AG64" i="43" s="1"/>
  <c r="AH64" i="43" s="1"/>
  <c r="AI64" i="43" s="1"/>
  <c r="AJ64" i="43" s="1"/>
  <c r="AK64" i="43" s="1"/>
  <c r="AL64" i="43" s="1"/>
  <c r="AM64" i="43" s="1"/>
  <c r="AN64" i="43" s="1"/>
  <c r="AO64" i="43" s="1"/>
  <c r="N63" i="43"/>
  <c r="O63" i="43" s="1"/>
  <c r="P63" i="43" s="1"/>
  <c r="Q63" i="43" s="1"/>
  <c r="R63" i="43" s="1"/>
  <c r="S63" i="43" s="1"/>
  <c r="T63" i="43" s="1"/>
  <c r="U63" i="43" s="1"/>
  <c r="V63" i="43" s="1"/>
  <c r="W63" i="43" s="1"/>
  <c r="X63" i="43" s="1"/>
  <c r="Y63" i="43" s="1"/>
  <c r="Z63" i="43" s="1"/>
  <c r="AA63" i="43" s="1"/>
  <c r="AB63" i="43" s="1"/>
  <c r="AC63" i="43" s="1"/>
  <c r="AD63" i="43" s="1"/>
  <c r="AE63" i="43" s="1"/>
  <c r="AF63" i="43" s="1"/>
  <c r="AG63" i="43" s="1"/>
  <c r="AH63" i="43" s="1"/>
  <c r="AI63" i="43" s="1"/>
  <c r="AJ63" i="43" s="1"/>
  <c r="AK63" i="43" s="1"/>
  <c r="AL63" i="43" s="1"/>
  <c r="AM63" i="43" s="1"/>
  <c r="AD62" i="43"/>
  <c r="AE62" i="43" s="1"/>
  <c r="AF62" i="43" s="1"/>
  <c r="AG62" i="43" s="1"/>
  <c r="AH62" i="43" s="1"/>
  <c r="AI62" i="43" s="1"/>
  <c r="AJ62" i="43" s="1"/>
  <c r="AK62" i="43" s="1"/>
  <c r="AL62" i="43" s="1"/>
  <c r="AM62" i="43" s="1"/>
  <c r="AN62" i="43" s="1"/>
  <c r="AO62" i="43" s="1"/>
  <c r="AP62" i="43" s="1"/>
  <c r="X61" i="43"/>
  <c r="X60" i="43"/>
  <c r="Y60" i="43" s="1"/>
  <c r="Z60" i="43" s="1"/>
  <c r="AA60" i="43" s="1"/>
  <c r="AB60" i="43" s="1"/>
  <c r="AC60" i="43" s="1"/>
  <c r="AD60" i="43" s="1"/>
  <c r="AE60" i="43" s="1"/>
  <c r="AF60" i="43" s="1"/>
  <c r="AG60" i="43" s="1"/>
  <c r="AH60" i="43" s="1"/>
  <c r="AI60" i="43" s="1"/>
  <c r="AJ60" i="43" s="1"/>
  <c r="N58" i="43"/>
  <c r="O58" i="43" s="1"/>
  <c r="P58" i="43" s="1"/>
  <c r="Q58" i="43" s="1"/>
  <c r="R58" i="43" s="1"/>
  <c r="S58" i="43" s="1"/>
  <c r="T58" i="43" s="1"/>
  <c r="U58" i="43" s="1"/>
  <c r="V58" i="43" s="1"/>
  <c r="W58" i="43" s="1"/>
  <c r="X58" i="43" s="1"/>
  <c r="Y58" i="43" s="1"/>
  <c r="Z58" i="43" s="1"/>
  <c r="AA58" i="43" s="1"/>
  <c r="AB58" i="43" s="1"/>
  <c r="AC58" i="43" s="1"/>
  <c r="AD58" i="43" s="1"/>
  <c r="AE58" i="43" s="1"/>
  <c r="AF58" i="43" s="1"/>
  <c r="AG58" i="43" s="1"/>
  <c r="AH58" i="43" s="1"/>
  <c r="AI58" i="43" s="1"/>
  <c r="AJ58" i="43" s="1"/>
  <c r="AK58" i="43" s="1"/>
  <c r="AL58" i="43" s="1"/>
  <c r="AM58" i="43" s="1"/>
  <c r="N57" i="43"/>
  <c r="O57" i="43" s="1"/>
  <c r="P57" i="43" s="1"/>
  <c r="Q57" i="43" s="1"/>
  <c r="R57" i="43" s="1"/>
  <c r="S57" i="43" s="1"/>
  <c r="T57" i="43" s="1"/>
  <c r="U57" i="43" s="1"/>
  <c r="V57" i="43" s="1"/>
  <c r="W57" i="43" s="1"/>
  <c r="X57" i="43" s="1"/>
  <c r="Y57" i="43" s="1"/>
  <c r="Z57" i="43" s="1"/>
  <c r="AA57" i="43" s="1"/>
  <c r="AB57" i="43" s="1"/>
  <c r="AC57" i="43" s="1"/>
  <c r="AD57" i="43" s="1"/>
  <c r="AE57" i="43" s="1"/>
  <c r="AF57" i="43" s="1"/>
  <c r="AG57" i="43" s="1"/>
  <c r="AH57" i="43" s="1"/>
  <c r="AI57" i="43" s="1"/>
  <c r="AJ57" i="43" s="1"/>
  <c r="AK57" i="43" s="1"/>
  <c r="AD56" i="43"/>
  <c r="AE56" i="43" s="1"/>
  <c r="AF56" i="43" s="1"/>
  <c r="AG56" i="43" s="1"/>
  <c r="AH56" i="43" s="1"/>
  <c r="AI56" i="43" s="1"/>
  <c r="AJ56" i="43" s="1"/>
  <c r="AK56" i="43" s="1"/>
  <c r="AL56" i="43" s="1"/>
  <c r="AM56" i="43" s="1"/>
  <c r="AN56" i="43" s="1"/>
  <c r="X55" i="43"/>
  <c r="X54" i="43"/>
  <c r="Y54" i="43" s="1"/>
  <c r="Z54" i="43" s="1"/>
  <c r="AA54" i="43" s="1"/>
  <c r="AB54" i="43" s="1"/>
  <c r="AC54" i="43" s="1"/>
  <c r="AD54" i="43" s="1"/>
  <c r="AE54" i="43" s="1"/>
  <c r="AF54" i="43" s="1"/>
  <c r="AG54" i="43" s="1"/>
  <c r="AH54" i="43" s="1"/>
  <c r="N52" i="43"/>
  <c r="O52" i="43" s="1"/>
  <c r="P52" i="43" s="1"/>
  <c r="Q52" i="43" s="1"/>
  <c r="R52" i="43" s="1"/>
  <c r="S52" i="43" s="1"/>
  <c r="T52" i="43" s="1"/>
  <c r="U52" i="43" s="1"/>
  <c r="V52" i="43" s="1"/>
  <c r="W52" i="43" s="1"/>
  <c r="X52" i="43" s="1"/>
  <c r="Y52" i="43" s="1"/>
  <c r="Z52" i="43" s="1"/>
  <c r="AA52" i="43" s="1"/>
  <c r="AB52" i="43" s="1"/>
  <c r="AC52" i="43" s="1"/>
  <c r="AD52" i="43" s="1"/>
  <c r="AE52" i="43" s="1"/>
  <c r="AF52" i="43" s="1"/>
  <c r="AG52" i="43" s="1"/>
  <c r="AH52" i="43" s="1"/>
  <c r="AI52" i="43" s="1"/>
  <c r="AJ52" i="43" s="1"/>
  <c r="AK52" i="43" s="1"/>
  <c r="N51" i="43"/>
  <c r="O51" i="43" s="1"/>
  <c r="P51" i="43" s="1"/>
  <c r="Q51" i="43" s="1"/>
  <c r="R51" i="43" s="1"/>
  <c r="S51" i="43" s="1"/>
  <c r="T51" i="43" s="1"/>
  <c r="U51" i="43" s="1"/>
  <c r="V51" i="43" s="1"/>
  <c r="W51" i="43" s="1"/>
  <c r="X51" i="43" s="1"/>
  <c r="Y51" i="43" s="1"/>
  <c r="Z51" i="43" s="1"/>
  <c r="AA51" i="43" s="1"/>
  <c r="AB51" i="43" s="1"/>
  <c r="AC51" i="43" s="1"/>
  <c r="AD51" i="43" s="1"/>
  <c r="AE51" i="43" s="1"/>
  <c r="AF51" i="43" s="1"/>
  <c r="AG51" i="43" s="1"/>
  <c r="AH51" i="43" s="1"/>
  <c r="AI51" i="43" s="1"/>
  <c r="B51" i="43"/>
  <c r="B53" i="43" s="1"/>
  <c r="AD50" i="43"/>
  <c r="AE50" i="43" s="1"/>
  <c r="AF50" i="43" s="1"/>
  <c r="AG50" i="43" s="1"/>
  <c r="AH50" i="43" s="1"/>
  <c r="AI50" i="43" s="1"/>
  <c r="AJ50" i="43" s="1"/>
  <c r="AK50" i="43" s="1"/>
  <c r="AL50" i="43" s="1"/>
  <c r="X49" i="43"/>
  <c r="Y49" i="43" s="1"/>
  <c r="Z49" i="43" s="1"/>
  <c r="AA49" i="43" s="1"/>
  <c r="AB49" i="43" s="1"/>
  <c r="X48" i="43"/>
  <c r="Y48" i="43" s="1"/>
  <c r="Z48" i="43" s="1"/>
  <c r="AA48" i="43" s="1"/>
  <c r="AB48" i="43" s="1"/>
  <c r="AC48" i="43" s="1"/>
  <c r="AD48" i="43" s="1"/>
  <c r="AE48" i="43" s="1"/>
  <c r="AF48" i="43" s="1"/>
  <c r="B47" i="43"/>
  <c r="N46" i="43"/>
  <c r="O46" i="43" s="1"/>
  <c r="P46" i="43" s="1"/>
  <c r="Q46" i="43" s="1"/>
  <c r="R46" i="43" s="1"/>
  <c r="N45" i="43"/>
  <c r="O45" i="43" s="1"/>
  <c r="P45" i="43" s="1"/>
  <c r="Q45" i="43" s="1"/>
  <c r="R45" i="43" s="1"/>
  <c r="S45" i="43" s="1"/>
  <c r="T45" i="43" s="1"/>
  <c r="U45" i="43" s="1"/>
  <c r="V45" i="43" s="1"/>
  <c r="W45" i="43" s="1"/>
  <c r="X45" i="43" s="1"/>
  <c r="Y45" i="43" s="1"/>
  <c r="Z45" i="43" s="1"/>
  <c r="AA45" i="43" s="1"/>
  <c r="AB45" i="43" s="1"/>
  <c r="AC45" i="43" s="1"/>
  <c r="AD45" i="43" s="1"/>
  <c r="AE45" i="43" s="1"/>
  <c r="AF45" i="43" s="1"/>
  <c r="AG45" i="43" s="1"/>
  <c r="AD44" i="43"/>
  <c r="AE44" i="43" s="1"/>
  <c r="AF44" i="43" s="1"/>
  <c r="AG44" i="43" s="1"/>
  <c r="AH44" i="43" s="1"/>
  <c r="AI44" i="43" s="1"/>
  <c r="AJ44" i="43" s="1"/>
  <c r="X43" i="43"/>
  <c r="Y43" i="43" s="1"/>
  <c r="Z43" i="43" s="1"/>
  <c r="AA43" i="43" s="1"/>
  <c r="AB43" i="43" s="1"/>
  <c r="AC43" i="43" s="1"/>
  <c r="AD43" i="43" s="1"/>
  <c r="AE43" i="43" s="1"/>
  <c r="AF43" i="43" s="1"/>
  <c r="X42" i="43"/>
  <c r="Y42" i="43" s="1"/>
  <c r="B41" i="43"/>
  <c r="N40" i="43"/>
  <c r="O40" i="43" s="1"/>
  <c r="P40" i="43" s="1"/>
  <c r="N39" i="43"/>
  <c r="AD38" i="43"/>
  <c r="AE38" i="43" s="1"/>
  <c r="AF38" i="43" s="1"/>
  <c r="AG38" i="43" s="1"/>
  <c r="AH38" i="43" s="1"/>
  <c r="X37" i="43"/>
  <c r="Y37" i="43" s="1"/>
  <c r="Z37" i="43" s="1"/>
  <c r="AA37" i="43" s="1"/>
  <c r="AB37" i="43" s="1"/>
  <c r="AC37" i="43" s="1"/>
  <c r="AD37" i="43" s="1"/>
  <c r="X36" i="43"/>
  <c r="Y36" i="43" s="1"/>
  <c r="Z36" i="43" s="1"/>
  <c r="B35" i="43"/>
  <c r="N34" i="43"/>
  <c r="O34" i="43" s="1"/>
  <c r="P34" i="43" s="1"/>
  <c r="Q34" i="43" s="1"/>
  <c r="R34" i="43" s="1"/>
  <c r="S34" i="43" s="1"/>
  <c r="T34" i="43" s="1"/>
  <c r="U34" i="43" s="1"/>
  <c r="V34" i="43" s="1"/>
  <c r="W34" i="43" s="1"/>
  <c r="X34" i="43" s="1"/>
  <c r="Y34" i="43" s="1"/>
  <c r="Z34" i="43" s="1"/>
  <c r="AA34" i="43" s="1"/>
  <c r="AB34" i="43" s="1"/>
  <c r="AC34" i="43" s="1"/>
  <c r="AD34" i="43" s="1"/>
  <c r="AE34" i="43" s="1"/>
  <c r="N33" i="43"/>
  <c r="O33" i="43" s="1"/>
  <c r="P33" i="43" s="1"/>
  <c r="Q33" i="43" s="1"/>
  <c r="R33" i="43" s="1"/>
  <c r="S33" i="43" s="1"/>
  <c r="T33" i="43" s="1"/>
  <c r="U33" i="43" s="1"/>
  <c r="V33" i="43" s="1"/>
  <c r="W33" i="43" s="1"/>
  <c r="X33" i="43" s="1"/>
  <c r="Y33" i="43" s="1"/>
  <c r="Z33" i="43" s="1"/>
  <c r="AA33" i="43" s="1"/>
  <c r="AB33" i="43" s="1"/>
  <c r="AC33" i="43" s="1"/>
  <c r="AD32" i="43"/>
  <c r="AE32" i="43" s="1"/>
  <c r="X31" i="43"/>
  <c r="X30" i="43"/>
  <c r="B29" i="43"/>
  <c r="N28" i="43"/>
  <c r="O28" i="43" s="1"/>
  <c r="P28" i="43" s="1"/>
  <c r="Q28" i="43" s="1"/>
  <c r="R28" i="43" s="1"/>
  <c r="S28" i="43" s="1"/>
  <c r="T28" i="43" s="1"/>
  <c r="U28" i="43" s="1"/>
  <c r="V28" i="43" s="1"/>
  <c r="W28" i="43" s="1"/>
  <c r="X28" i="43" s="1"/>
  <c r="Y28" i="43" s="1"/>
  <c r="Z28" i="43" s="1"/>
  <c r="AA28" i="43" s="1"/>
  <c r="AB28" i="43" s="1"/>
  <c r="AC28" i="43" s="1"/>
  <c r="N27" i="43"/>
  <c r="O27" i="43" s="1"/>
  <c r="P27" i="43" s="1"/>
  <c r="Q27" i="43" s="1"/>
  <c r="R27" i="43" s="1"/>
  <c r="S27" i="43" s="1"/>
  <c r="T27" i="43" s="1"/>
  <c r="U27" i="43" s="1"/>
  <c r="V27" i="43" s="1"/>
  <c r="W27" i="43" s="1"/>
  <c r="X27" i="43" s="1"/>
  <c r="Y27" i="43" s="1"/>
  <c r="Z27" i="43" s="1"/>
  <c r="AA27" i="43" s="1"/>
  <c r="AD26" i="43"/>
  <c r="AE26" i="43" s="1"/>
  <c r="K26" i="43" s="1"/>
  <c r="X25" i="43"/>
  <c r="Y25" i="43" s="1"/>
  <c r="Z25" i="43" s="1"/>
  <c r="AA25" i="43" s="1"/>
  <c r="X24" i="43"/>
  <c r="Y24" i="43" s="1"/>
  <c r="N16" i="43"/>
  <c r="O16" i="43" s="1"/>
  <c r="P16" i="43" s="1"/>
  <c r="N15" i="43"/>
  <c r="O15" i="43" s="1"/>
  <c r="B15" i="43"/>
  <c r="B17" i="43" s="1"/>
  <c r="K14" i="43"/>
  <c r="X13" i="43"/>
  <c r="Y13" i="43" s="1"/>
  <c r="K13" i="43" s="1"/>
  <c r="K12" i="43"/>
  <c r="N10" i="43"/>
  <c r="O10" i="43" s="1"/>
  <c r="P10" i="43" s="1"/>
  <c r="Q10" i="43" s="1"/>
  <c r="R10" i="43" s="1"/>
  <c r="S10" i="43" s="1"/>
  <c r="T10" i="43" s="1"/>
  <c r="U10" i="43" s="1"/>
  <c r="V10" i="43" s="1"/>
  <c r="W10" i="43" s="1"/>
  <c r="X10" i="43" s="1"/>
  <c r="Y10" i="43" s="1"/>
  <c r="Z10" i="43" s="1"/>
  <c r="N9" i="43"/>
  <c r="O9" i="43" s="1"/>
  <c r="B9" i="43"/>
  <c r="B11" i="43" s="1"/>
  <c r="K8" i="43"/>
  <c r="K7" i="43"/>
  <c r="K6" i="43"/>
  <c r="D6" i="43"/>
  <c r="O118" i="44"/>
  <c r="P118" i="44" s="1"/>
  <c r="O117" i="44"/>
  <c r="P117" i="44" s="1"/>
  <c r="B117" i="44"/>
  <c r="B119" i="44" s="1"/>
  <c r="AD116" i="44"/>
  <c r="AE116" i="44" s="1"/>
  <c r="AF116" i="44" s="1"/>
  <c r="AG116" i="44" s="1"/>
  <c r="AH116" i="44" s="1"/>
  <c r="AI116" i="44" s="1"/>
  <c r="AJ116" i="44" s="1"/>
  <c r="AK116" i="44" s="1"/>
  <c r="AL116" i="44" s="1"/>
  <c r="AM116" i="44" s="1"/>
  <c r="AN116" i="44" s="1"/>
  <c r="AO116" i="44" s="1"/>
  <c r="X115" i="44"/>
  <c r="Y115" i="44" s="1"/>
  <c r="Z115" i="44" s="1"/>
  <c r="AA115" i="44" s="1"/>
  <c r="AB115" i="44" s="1"/>
  <c r="AC115" i="44" s="1"/>
  <c r="AD115" i="44" s="1"/>
  <c r="AE115" i="44" s="1"/>
  <c r="AF115" i="44" s="1"/>
  <c r="AG115" i="44" s="1"/>
  <c r="AH115" i="44" s="1"/>
  <c r="AI115" i="44" s="1"/>
  <c r="AJ115" i="44" s="1"/>
  <c r="AK115" i="44" s="1"/>
  <c r="X114" i="44"/>
  <c r="Y114" i="44" s="1"/>
  <c r="Z114" i="44" s="1"/>
  <c r="AA114" i="44" s="1"/>
  <c r="AB114" i="44" s="1"/>
  <c r="AC114" i="44" s="1"/>
  <c r="AD114" i="44" s="1"/>
  <c r="AE114" i="44" s="1"/>
  <c r="AF114" i="44" s="1"/>
  <c r="AG114" i="44" s="1"/>
  <c r="AH114" i="44" s="1"/>
  <c r="AI114" i="44" s="1"/>
  <c r="O112" i="44"/>
  <c r="P112" i="44" s="1"/>
  <c r="O111" i="44"/>
  <c r="P111" i="44" s="1"/>
  <c r="Q111" i="44" s="1"/>
  <c r="R111" i="44" s="1"/>
  <c r="S111" i="44" s="1"/>
  <c r="T111" i="44" s="1"/>
  <c r="U111" i="44" s="1"/>
  <c r="V111" i="44" s="1"/>
  <c r="W111" i="44" s="1"/>
  <c r="X111" i="44" s="1"/>
  <c r="Y111" i="44" s="1"/>
  <c r="Z111" i="44" s="1"/>
  <c r="AA111" i="44" s="1"/>
  <c r="AB111" i="44" s="1"/>
  <c r="AC111" i="44" s="1"/>
  <c r="AD111" i="44" s="1"/>
  <c r="AE111" i="44" s="1"/>
  <c r="AF111" i="44" s="1"/>
  <c r="AG111" i="44" s="1"/>
  <c r="AH111" i="44" s="1"/>
  <c r="AI111" i="44" s="1"/>
  <c r="AJ111" i="44" s="1"/>
  <c r="AD110" i="44"/>
  <c r="AE110" i="44" s="1"/>
  <c r="X109" i="44"/>
  <c r="Y109" i="44" s="1"/>
  <c r="Z109" i="44" s="1"/>
  <c r="AA109" i="44" s="1"/>
  <c r="AB109" i="44" s="1"/>
  <c r="AC109" i="44" s="1"/>
  <c r="AD109" i="44" s="1"/>
  <c r="AE109" i="44" s="1"/>
  <c r="AF109" i="44" s="1"/>
  <c r="AG109" i="44" s="1"/>
  <c r="AH109" i="44" s="1"/>
  <c r="AI109" i="44" s="1"/>
  <c r="X108" i="44"/>
  <c r="Y108" i="44" s="1"/>
  <c r="Z108" i="44" s="1"/>
  <c r="AA108" i="44" s="1"/>
  <c r="AB108" i="44" s="1"/>
  <c r="AC108" i="44" s="1"/>
  <c r="AD108" i="44" s="1"/>
  <c r="AE108" i="44" s="1"/>
  <c r="AF108" i="44" s="1"/>
  <c r="AG108" i="44" s="1"/>
  <c r="O106" i="44"/>
  <c r="P106" i="44" s="1"/>
  <c r="Q106" i="44" s="1"/>
  <c r="R106" i="44" s="1"/>
  <c r="S106" i="44" s="1"/>
  <c r="T106" i="44" s="1"/>
  <c r="U106" i="44" s="1"/>
  <c r="V106" i="44" s="1"/>
  <c r="W106" i="44" s="1"/>
  <c r="X106" i="44" s="1"/>
  <c r="Y106" i="44" s="1"/>
  <c r="Z106" i="44" s="1"/>
  <c r="AA106" i="44" s="1"/>
  <c r="AB106" i="44" s="1"/>
  <c r="AC106" i="44" s="1"/>
  <c r="AD106" i="44" s="1"/>
  <c r="AE106" i="44" s="1"/>
  <c r="AF106" i="44" s="1"/>
  <c r="AG106" i="44" s="1"/>
  <c r="AH106" i="44" s="1"/>
  <c r="AI106" i="44" s="1"/>
  <c r="AJ106" i="44" s="1"/>
  <c r="O105" i="44"/>
  <c r="P105" i="44" s="1"/>
  <c r="Q105" i="44" s="1"/>
  <c r="R105" i="44" s="1"/>
  <c r="S105" i="44" s="1"/>
  <c r="T105" i="44" s="1"/>
  <c r="U105" i="44" s="1"/>
  <c r="V105" i="44" s="1"/>
  <c r="W105" i="44" s="1"/>
  <c r="X105" i="44" s="1"/>
  <c r="Y105" i="44" s="1"/>
  <c r="Z105" i="44" s="1"/>
  <c r="AA105" i="44" s="1"/>
  <c r="AB105" i="44" s="1"/>
  <c r="AC105" i="44" s="1"/>
  <c r="AD105" i="44" s="1"/>
  <c r="AE105" i="44" s="1"/>
  <c r="AF105" i="44" s="1"/>
  <c r="AG105" i="44" s="1"/>
  <c r="AH105" i="44" s="1"/>
  <c r="AI105" i="44" s="1"/>
  <c r="AD104" i="44"/>
  <c r="AE104" i="44" s="1"/>
  <c r="AF104" i="44" s="1"/>
  <c r="AG104" i="44" s="1"/>
  <c r="AH104" i="44" s="1"/>
  <c r="AI104" i="44" s="1"/>
  <c r="AJ104" i="44" s="1"/>
  <c r="AK104" i="44" s="1"/>
  <c r="AL104" i="44" s="1"/>
  <c r="X103" i="44"/>
  <c r="X102" i="44"/>
  <c r="O100" i="44"/>
  <c r="P100" i="44" s="1"/>
  <c r="Q100" i="44" s="1"/>
  <c r="R100" i="44" s="1"/>
  <c r="S100" i="44" s="1"/>
  <c r="T100" i="44" s="1"/>
  <c r="U100" i="44" s="1"/>
  <c r="V100" i="44" s="1"/>
  <c r="W100" i="44" s="1"/>
  <c r="X100" i="44" s="1"/>
  <c r="Y100" i="44" s="1"/>
  <c r="Z100" i="44" s="1"/>
  <c r="AA100" i="44" s="1"/>
  <c r="AB100" i="44" s="1"/>
  <c r="AC100" i="44" s="1"/>
  <c r="AD100" i="44" s="1"/>
  <c r="AE100" i="44" s="1"/>
  <c r="AF100" i="44" s="1"/>
  <c r="AG100" i="44" s="1"/>
  <c r="AH100" i="44" s="1"/>
  <c r="AI100" i="44" s="1"/>
  <c r="O99" i="44"/>
  <c r="P99" i="44" s="1"/>
  <c r="Q99" i="44" s="1"/>
  <c r="R99" i="44" s="1"/>
  <c r="S99" i="44" s="1"/>
  <c r="T99" i="44" s="1"/>
  <c r="U99" i="44" s="1"/>
  <c r="V99" i="44" s="1"/>
  <c r="W99" i="44" s="1"/>
  <c r="X99" i="44" s="1"/>
  <c r="Y99" i="44" s="1"/>
  <c r="Z99" i="44" s="1"/>
  <c r="AA99" i="44" s="1"/>
  <c r="AB99" i="44" s="1"/>
  <c r="AC99" i="44" s="1"/>
  <c r="AD99" i="44" s="1"/>
  <c r="AE99" i="44" s="1"/>
  <c r="AF99" i="44" s="1"/>
  <c r="AG99" i="44" s="1"/>
  <c r="AH99" i="44" s="1"/>
  <c r="AD98" i="44"/>
  <c r="AE98" i="44" s="1"/>
  <c r="AF98" i="44" s="1"/>
  <c r="AG98" i="44" s="1"/>
  <c r="AH98" i="44" s="1"/>
  <c r="AI98" i="44" s="1"/>
  <c r="AJ98" i="44" s="1"/>
  <c r="X97" i="44"/>
  <c r="Y97" i="44" s="1"/>
  <c r="Z97" i="44" s="1"/>
  <c r="AA97" i="44" s="1"/>
  <c r="AB97" i="44" s="1"/>
  <c r="AC97" i="44" s="1"/>
  <c r="AD97" i="44" s="1"/>
  <c r="AE97" i="44" s="1"/>
  <c r="AF97" i="44" s="1"/>
  <c r="X96" i="44"/>
  <c r="Y96" i="44" s="1"/>
  <c r="Z96" i="44" s="1"/>
  <c r="O94" i="44"/>
  <c r="P94" i="44" s="1"/>
  <c r="Q94" i="44" s="1"/>
  <c r="R94" i="44" s="1"/>
  <c r="S94" i="44" s="1"/>
  <c r="T94" i="44" s="1"/>
  <c r="U94" i="44" s="1"/>
  <c r="V94" i="44" s="1"/>
  <c r="W94" i="44" s="1"/>
  <c r="X94" i="44" s="1"/>
  <c r="Y94" i="44" s="1"/>
  <c r="Z94" i="44" s="1"/>
  <c r="AA94" i="44" s="1"/>
  <c r="AB94" i="44" s="1"/>
  <c r="AC94" i="44" s="1"/>
  <c r="AD94" i="44" s="1"/>
  <c r="AE94" i="44" s="1"/>
  <c r="AF94" i="44" s="1"/>
  <c r="AG94" i="44" s="1"/>
  <c r="O93" i="44"/>
  <c r="P93" i="44" s="1"/>
  <c r="B93" i="44"/>
  <c r="B95" i="44" s="1"/>
  <c r="AD92" i="44"/>
  <c r="AE92" i="44" s="1"/>
  <c r="AF92" i="44" s="1"/>
  <c r="AG92" i="44" s="1"/>
  <c r="AH92" i="44" s="1"/>
  <c r="AI92" i="44" s="1"/>
  <c r="X91" i="44"/>
  <c r="Y91" i="44" s="1"/>
  <c r="Z91" i="44" s="1"/>
  <c r="AA91" i="44" s="1"/>
  <c r="AB91" i="44" s="1"/>
  <c r="AC91" i="44" s="1"/>
  <c r="AD91" i="44" s="1"/>
  <c r="AE91" i="44" s="1"/>
  <c r="X90" i="44"/>
  <c r="O88" i="44"/>
  <c r="P88" i="44" s="1"/>
  <c r="O87" i="44"/>
  <c r="P87" i="44" s="1"/>
  <c r="Q87" i="44" s="1"/>
  <c r="R87" i="44" s="1"/>
  <c r="S87" i="44" s="1"/>
  <c r="T87" i="44" s="1"/>
  <c r="U87" i="44" s="1"/>
  <c r="V87" i="44" s="1"/>
  <c r="W87" i="44" s="1"/>
  <c r="X87" i="44" s="1"/>
  <c r="Y87" i="44" s="1"/>
  <c r="Z87" i="44" s="1"/>
  <c r="AA87" i="44" s="1"/>
  <c r="AB87" i="44" s="1"/>
  <c r="AC87" i="44" s="1"/>
  <c r="AD87" i="44" s="1"/>
  <c r="B87" i="44"/>
  <c r="B89" i="44" s="1"/>
  <c r="AD86" i="44"/>
  <c r="X85" i="44"/>
  <c r="Y85" i="44" s="1"/>
  <c r="X84" i="44"/>
  <c r="Y84" i="44" s="1"/>
  <c r="Z84" i="44" s="1"/>
  <c r="O82" i="44"/>
  <c r="P82" i="44" s="1"/>
  <c r="Q82" i="44" s="1"/>
  <c r="R82" i="44" s="1"/>
  <c r="S82" i="44" s="1"/>
  <c r="T82" i="44" s="1"/>
  <c r="U82" i="44" s="1"/>
  <c r="V82" i="44" s="1"/>
  <c r="W82" i="44" s="1"/>
  <c r="X82" i="44" s="1"/>
  <c r="Y82" i="44" s="1"/>
  <c r="Z82" i="44" s="1"/>
  <c r="AA82" i="44" s="1"/>
  <c r="AB82" i="44" s="1"/>
  <c r="AC82" i="44" s="1"/>
  <c r="AD82" i="44" s="1"/>
  <c r="O81" i="44"/>
  <c r="P81" i="44" s="1"/>
  <c r="Q81" i="44" s="1"/>
  <c r="B81" i="44"/>
  <c r="B83" i="44" s="1"/>
  <c r="AD80" i="44"/>
  <c r="AE80" i="44" s="1"/>
  <c r="AF80" i="44" s="1"/>
  <c r="X79" i="44"/>
  <c r="Y79" i="44" s="1"/>
  <c r="Z79" i="44" s="1"/>
  <c r="X78" i="44"/>
  <c r="Y78" i="44" s="1"/>
  <c r="O76" i="44"/>
  <c r="O75" i="44"/>
  <c r="P75" i="44" s="1"/>
  <c r="Q75" i="44" s="1"/>
  <c r="B75" i="44"/>
  <c r="B77" i="44" s="1"/>
  <c r="AD74" i="44"/>
  <c r="L74" i="44" s="1"/>
  <c r="H360" i="36" s="1"/>
  <c r="X73" i="44"/>
  <c r="Y73" i="44" s="1"/>
  <c r="L72" i="44"/>
  <c r="H303" i="36" s="1"/>
  <c r="O70" i="44"/>
  <c r="P70" i="44" s="1"/>
  <c r="Q70" i="44" s="1"/>
  <c r="R70" i="44" s="1"/>
  <c r="S70" i="44" s="1"/>
  <c r="T70" i="44" s="1"/>
  <c r="U70" i="44" s="1"/>
  <c r="V70" i="44" s="1"/>
  <c r="W70" i="44" s="1"/>
  <c r="X70" i="44" s="1"/>
  <c r="Y70" i="44" s="1"/>
  <c r="Z70" i="44" s="1"/>
  <c r="O69" i="44"/>
  <c r="P69" i="44" s="1"/>
  <c r="Q69" i="44" s="1"/>
  <c r="R69" i="44" s="1"/>
  <c r="S69" i="44" s="1"/>
  <c r="T69" i="44" s="1"/>
  <c r="U69" i="44" s="1"/>
  <c r="V69" i="44" s="1"/>
  <c r="W69" i="44" s="1"/>
  <c r="X69" i="44" s="1"/>
  <c r="B69" i="44"/>
  <c r="B71" i="44" s="1"/>
  <c r="L68" i="44"/>
  <c r="L67" i="44"/>
  <c r="H321" i="36" s="1"/>
  <c r="L66" i="44"/>
  <c r="H302" i="36" s="1"/>
  <c r="O64" i="44"/>
  <c r="P64" i="44" s="1"/>
  <c r="Q64" i="44" s="1"/>
  <c r="R64" i="44" s="1"/>
  <c r="S64" i="44" s="1"/>
  <c r="T64" i="44" s="1"/>
  <c r="U64" i="44" s="1"/>
  <c r="V64" i="44" s="1"/>
  <c r="W64" i="44" s="1"/>
  <c r="X64" i="44" s="1"/>
  <c r="Y64" i="44" s="1"/>
  <c r="Z64" i="44" s="1"/>
  <c r="AA64" i="44" s="1"/>
  <c r="AB64" i="44" s="1"/>
  <c r="AC64" i="44" s="1"/>
  <c r="AD64" i="44" s="1"/>
  <c r="AE64" i="44" s="1"/>
  <c r="AF64" i="44" s="1"/>
  <c r="AG64" i="44" s="1"/>
  <c r="AH64" i="44" s="1"/>
  <c r="AI64" i="44" s="1"/>
  <c r="AJ64" i="44" s="1"/>
  <c r="AK64" i="44" s="1"/>
  <c r="AL64" i="44" s="1"/>
  <c r="AM64" i="44" s="1"/>
  <c r="O63" i="44"/>
  <c r="P63" i="44" s="1"/>
  <c r="Q63" i="44" s="1"/>
  <c r="R63" i="44" s="1"/>
  <c r="AD62" i="44"/>
  <c r="AE62" i="44" s="1"/>
  <c r="AF62" i="44" s="1"/>
  <c r="AG62" i="44" s="1"/>
  <c r="AH62" i="44" s="1"/>
  <c r="AI62" i="44" s="1"/>
  <c r="AJ62" i="44" s="1"/>
  <c r="AK62" i="44" s="1"/>
  <c r="AL62" i="44" s="1"/>
  <c r="AM62" i="44" s="1"/>
  <c r="AN62" i="44" s="1"/>
  <c r="AO62" i="44" s="1"/>
  <c r="X61" i="44"/>
  <c r="Y61" i="44" s="1"/>
  <c r="Z61" i="44" s="1"/>
  <c r="AA61" i="44" s="1"/>
  <c r="AB61" i="44" s="1"/>
  <c r="AC61" i="44" s="1"/>
  <c r="AD61" i="44" s="1"/>
  <c r="AE61" i="44" s="1"/>
  <c r="AF61" i="44" s="1"/>
  <c r="AG61" i="44" s="1"/>
  <c r="AH61" i="44" s="1"/>
  <c r="AI61" i="44" s="1"/>
  <c r="AJ61" i="44" s="1"/>
  <c r="AK61" i="44" s="1"/>
  <c r="X60" i="44"/>
  <c r="Y60" i="44" s="1"/>
  <c r="Z60" i="44" s="1"/>
  <c r="AA60" i="44" s="1"/>
  <c r="AB60" i="44" s="1"/>
  <c r="AC60" i="44" s="1"/>
  <c r="AD60" i="44" s="1"/>
  <c r="AE60" i="44" s="1"/>
  <c r="AF60" i="44" s="1"/>
  <c r="AG60" i="44" s="1"/>
  <c r="AH60" i="44" s="1"/>
  <c r="AI60" i="44" s="1"/>
  <c r="O58" i="44"/>
  <c r="P58" i="44" s="1"/>
  <c r="Q58" i="44" s="1"/>
  <c r="R58" i="44" s="1"/>
  <c r="S58" i="44" s="1"/>
  <c r="T58" i="44" s="1"/>
  <c r="U58" i="44" s="1"/>
  <c r="V58" i="44" s="1"/>
  <c r="W58" i="44" s="1"/>
  <c r="X58" i="44" s="1"/>
  <c r="Y58" i="44" s="1"/>
  <c r="Z58" i="44" s="1"/>
  <c r="AA58" i="44" s="1"/>
  <c r="AB58" i="44" s="1"/>
  <c r="AC58" i="44" s="1"/>
  <c r="AD58" i="44" s="1"/>
  <c r="AE58" i="44" s="1"/>
  <c r="AF58" i="44" s="1"/>
  <c r="AG58" i="44" s="1"/>
  <c r="AH58" i="44" s="1"/>
  <c r="AI58" i="44" s="1"/>
  <c r="AJ58" i="44" s="1"/>
  <c r="AK58" i="44" s="1"/>
  <c r="AL58" i="44" s="1"/>
  <c r="O57" i="44"/>
  <c r="P57" i="44" s="1"/>
  <c r="Q57" i="44" s="1"/>
  <c r="R57" i="44" s="1"/>
  <c r="S57" i="44" s="1"/>
  <c r="T57" i="44" s="1"/>
  <c r="U57" i="44" s="1"/>
  <c r="V57" i="44" s="1"/>
  <c r="W57" i="44" s="1"/>
  <c r="X57" i="44" s="1"/>
  <c r="Y57" i="44" s="1"/>
  <c r="Z57" i="44" s="1"/>
  <c r="AA57" i="44" s="1"/>
  <c r="AB57" i="44" s="1"/>
  <c r="AC57" i="44" s="1"/>
  <c r="AD57" i="44" s="1"/>
  <c r="AE57" i="44" s="1"/>
  <c r="AF57" i="44" s="1"/>
  <c r="AG57" i="44" s="1"/>
  <c r="AH57" i="44" s="1"/>
  <c r="AI57" i="44" s="1"/>
  <c r="AJ57" i="44" s="1"/>
  <c r="AD56" i="44"/>
  <c r="AE56" i="44" s="1"/>
  <c r="AF56" i="44" s="1"/>
  <c r="AG56" i="44" s="1"/>
  <c r="AH56" i="44" s="1"/>
  <c r="AI56" i="44" s="1"/>
  <c r="AJ56" i="44" s="1"/>
  <c r="AK56" i="44" s="1"/>
  <c r="AL56" i="44" s="1"/>
  <c r="AM56" i="44" s="1"/>
  <c r="AN56" i="44" s="1"/>
  <c r="X55" i="44"/>
  <c r="Y55" i="44" s="1"/>
  <c r="Z55" i="44" s="1"/>
  <c r="AA55" i="44" s="1"/>
  <c r="AB55" i="44" s="1"/>
  <c r="AC55" i="44" s="1"/>
  <c r="AD55" i="44" s="1"/>
  <c r="AE55" i="44" s="1"/>
  <c r="AF55" i="44" s="1"/>
  <c r="AG55" i="44" s="1"/>
  <c r="AH55" i="44" s="1"/>
  <c r="AI55" i="44" s="1"/>
  <c r="X54" i="44"/>
  <c r="Y54" i="44" s="1"/>
  <c r="Z54" i="44" s="1"/>
  <c r="AA54" i="44" s="1"/>
  <c r="AB54" i="44" s="1"/>
  <c r="AC54" i="44" s="1"/>
  <c r="AD54" i="44" s="1"/>
  <c r="AE54" i="44" s="1"/>
  <c r="AF54" i="44" s="1"/>
  <c r="AG54" i="44" s="1"/>
  <c r="O52" i="44"/>
  <c r="P52" i="44" s="1"/>
  <c r="Q52" i="44" s="1"/>
  <c r="R52" i="44" s="1"/>
  <c r="S52" i="44" s="1"/>
  <c r="T52" i="44" s="1"/>
  <c r="U52" i="44" s="1"/>
  <c r="V52" i="44" s="1"/>
  <c r="W52" i="44" s="1"/>
  <c r="X52" i="44" s="1"/>
  <c r="Y52" i="44" s="1"/>
  <c r="Z52" i="44" s="1"/>
  <c r="AA52" i="44" s="1"/>
  <c r="AB52" i="44" s="1"/>
  <c r="AC52" i="44" s="1"/>
  <c r="AD52" i="44" s="1"/>
  <c r="AE52" i="44" s="1"/>
  <c r="AF52" i="44" s="1"/>
  <c r="AG52" i="44" s="1"/>
  <c r="AH52" i="44" s="1"/>
  <c r="AI52" i="44" s="1"/>
  <c r="AJ52" i="44" s="1"/>
  <c r="AK52" i="44" s="1"/>
  <c r="O51" i="44"/>
  <c r="P51" i="44" s="1"/>
  <c r="Q51" i="44" s="1"/>
  <c r="R51" i="44" s="1"/>
  <c r="S51" i="44" s="1"/>
  <c r="T51" i="44" s="1"/>
  <c r="U51" i="44" s="1"/>
  <c r="V51" i="44" s="1"/>
  <c r="W51" i="44" s="1"/>
  <c r="X51" i="44" s="1"/>
  <c r="Y51" i="44" s="1"/>
  <c r="Z51" i="44" s="1"/>
  <c r="AA51" i="44" s="1"/>
  <c r="AB51" i="44" s="1"/>
  <c r="AC51" i="44" s="1"/>
  <c r="AD51" i="44" s="1"/>
  <c r="AE51" i="44" s="1"/>
  <c r="AF51" i="44" s="1"/>
  <c r="AG51" i="44" s="1"/>
  <c r="AH51" i="44" s="1"/>
  <c r="AI51" i="44" s="1"/>
  <c r="B51" i="44"/>
  <c r="B53" i="44" s="1"/>
  <c r="AD50" i="44"/>
  <c r="AE50" i="44" s="1"/>
  <c r="AF50" i="44" s="1"/>
  <c r="AG50" i="44" s="1"/>
  <c r="AH50" i="44" s="1"/>
  <c r="AI50" i="44" s="1"/>
  <c r="AJ50" i="44" s="1"/>
  <c r="AK50" i="44" s="1"/>
  <c r="AL50" i="44" s="1"/>
  <c r="X49" i="44"/>
  <c r="Y49" i="44" s="1"/>
  <c r="Z49" i="44" s="1"/>
  <c r="AA49" i="44" s="1"/>
  <c r="AB49" i="44" s="1"/>
  <c r="AC49" i="44" s="1"/>
  <c r="AD49" i="44" s="1"/>
  <c r="AE49" i="44" s="1"/>
  <c r="AF49" i="44" s="1"/>
  <c r="AG49" i="44" s="1"/>
  <c r="X48" i="44"/>
  <c r="Y48" i="44" s="1"/>
  <c r="Z48" i="44" s="1"/>
  <c r="AA48" i="44" s="1"/>
  <c r="AB48" i="44" s="1"/>
  <c r="AC48" i="44" s="1"/>
  <c r="B47" i="44"/>
  <c r="O46" i="44"/>
  <c r="P46" i="44" s="1"/>
  <c r="Q46" i="44" s="1"/>
  <c r="R46" i="44" s="1"/>
  <c r="S46" i="44" s="1"/>
  <c r="T46" i="44" s="1"/>
  <c r="O45" i="44"/>
  <c r="P45" i="44" s="1"/>
  <c r="Q45" i="44" s="1"/>
  <c r="R45" i="44" s="1"/>
  <c r="S45" i="44" s="1"/>
  <c r="T45" i="44" s="1"/>
  <c r="U45" i="44" s="1"/>
  <c r="V45" i="44" s="1"/>
  <c r="W45" i="44" s="1"/>
  <c r="X45" i="44" s="1"/>
  <c r="Y45" i="44" s="1"/>
  <c r="Z45" i="44" s="1"/>
  <c r="AA45" i="44" s="1"/>
  <c r="AB45" i="44" s="1"/>
  <c r="AC45" i="44" s="1"/>
  <c r="AD45" i="44" s="1"/>
  <c r="AE45" i="44" s="1"/>
  <c r="AF45" i="44" s="1"/>
  <c r="AG45" i="44" s="1"/>
  <c r="AD44" i="44"/>
  <c r="AE44" i="44" s="1"/>
  <c r="AF44" i="44" s="1"/>
  <c r="AG44" i="44" s="1"/>
  <c r="AH44" i="44" s="1"/>
  <c r="AI44" i="44" s="1"/>
  <c r="AJ44" i="44" s="1"/>
  <c r="X43" i="44"/>
  <c r="Y43" i="44" s="1"/>
  <c r="Z43" i="44" s="1"/>
  <c r="AA43" i="44" s="1"/>
  <c r="AB43" i="44" s="1"/>
  <c r="AC43" i="44" s="1"/>
  <c r="AD43" i="44" s="1"/>
  <c r="AE43" i="44" s="1"/>
  <c r="X42" i="44"/>
  <c r="Y42" i="44" s="1"/>
  <c r="Z42" i="44" s="1"/>
  <c r="AA42" i="44" s="1"/>
  <c r="AB42" i="44" s="1"/>
  <c r="AC42" i="44" s="1"/>
  <c r="B41" i="44"/>
  <c r="O40" i="44"/>
  <c r="P40" i="44" s="1"/>
  <c r="Q40" i="44" s="1"/>
  <c r="R40" i="44" s="1"/>
  <c r="S40" i="44" s="1"/>
  <c r="T40" i="44" s="1"/>
  <c r="O39" i="44"/>
  <c r="P39" i="44" s="1"/>
  <c r="Q39" i="44" s="1"/>
  <c r="R39" i="44" s="1"/>
  <c r="S39" i="44" s="1"/>
  <c r="T39" i="44" s="1"/>
  <c r="U39" i="44" s="1"/>
  <c r="V39" i="44" s="1"/>
  <c r="W39" i="44" s="1"/>
  <c r="X39" i="44" s="1"/>
  <c r="Y39" i="44" s="1"/>
  <c r="Z39" i="44" s="1"/>
  <c r="AA39" i="44" s="1"/>
  <c r="AB39" i="44" s="1"/>
  <c r="AC39" i="44" s="1"/>
  <c r="AD39" i="44" s="1"/>
  <c r="AE39" i="44" s="1"/>
  <c r="AD38" i="44"/>
  <c r="AE38" i="44" s="1"/>
  <c r="AF38" i="44" s="1"/>
  <c r="AG38" i="44" s="1"/>
  <c r="AH38" i="44" s="1"/>
  <c r="X37" i="44"/>
  <c r="Y37" i="44" s="1"/>
  <c r="Z37" i="44" s="1"/>
  <c r="AA37" i="44" s="1"/>
  <c r="AB37" i="44" s="1"/>
  <c r="AC37" i="44" s="1"/>
  <c r="X36" i="44"/>
  <c r="Y36" i="44" s="1"/>
  <c r="B35" i="44"/>
  <c r="O34" i="44"/>
  <c r="P34" i="44" s="1"/>
  <c r="Q34" i="44" s="1"/>
  <c r="R34" i="44" s="1"/>
  <c r="S34" i="44" s="1"/>
  <c r="T34" i="44" s="1"/>
  <c r="U34" i="44" s="1"/>
  <c r="V34" i="44" s="1"/>
  <c r="W34" i="44" s="1"/>
  <c r="X34" i="44" s="1"/>
  <c r="Y34" i="44" s="1"/>
  <c r="Z34" i="44" s="1"/>
  <c r="AA34" i="44" s="1"/>
  <c r="AB34" i="44" s="1"/>
  <c r="AC34" i="44" s="1"/>
  <c r="AD34" i="44" s="1"/>
  <c r="AE34" i="44" s="1"/>
  <c r="O33" i="44"/>
  <c r="P33" i="44" s="1"/>
  <c r="Q33" i="44" s="1"/>
  <c r="R33" i="44" s="1"/>
  <c r="S33" i="44" s="1"/>
  <c r="T33" i="44" s="1"/>
  <c r="U33" i="44" s="1"/>
  <c r="V33" i="44" s="1"/>
  <c r="W33" i="44" s="1"/>
  <c r="X33" i="44" s="1"/>
  <c r="Y33" i="44" s="1"/>
  <c r="Z33" i="44" s="1"/>
  <c r="AA33" i="44" s="1"/>
  <c r="AB33" i="44" s="1"/>
  <c r="AC33" i="44" s="1"/>
  <c r="AD32" i="44"/>
  <c r="AE32" i="44" s="1"/>
  <c r="AF32" i="44" s="1"/>
  <c r="L32" i="44" s="1"/>
  <c r="H353" i="36" s="1"/>
  <c r="X31" i="44"/>
  <c r="Y31" i="44" s="1"/>
  <c r="X30" i="44"/>
  <c r="B29" i="44"/>
  <c r="O28" i="44"/>
  <c r="P28" i="44" s="1"/>
  <c r="Q28" i="44" s="1"/>
  <c r="R28" i="44" s="1"/>
  <c r="S28" i="44" s="1"/>
  <c r="T28" i="44" s="1"/>
  <c r="U28" i="44" s="1"/>
  <c r="V28" i="44" s="1"/>
  <c r="W28" i="44" s="1"/>
  <c r="X28" i="44" s="1"/>
  <c r="Y28" i="44" s="1"/>
  <c r="Z28" i="44" s="1"/>
  <c r="AA28" i="44" s="1"/>
  <c r="AB28" i="44" s="1"/>
  <c r="AC28" i="44" s="1"/>
  <c r="O27" i="44"/>
  <c r="P27" i="44" s="1"/>
  <c r="AD26" i="44"/>
  <c r="AE26" i="44" s="1"/>
  <c r="X25" i="44"/>
  <c r="Y25" i="44" s="1"/>
  <c r="Z25" i="44" s="1"/>
  <c r="L25" i="44" s="1"/>
  <c r="H314" i="36" s="1"/>
  <c r="X24" i="44"/>
  <c r="Y24" i="44" s="1"/>
  <c r="L24" i="44" s="1"/>
  <c r="H295" i="36" s="1"/>
  <c r="O16" i="44"/>
  <c r="P16" i="44" s="1"/>
  <c r="Q16" i="44" s="1"/>
  <c r="O15" i="44"/>
  <c r="P15" i="44" s="1"/>
  <c r="Q15" i="44" s="1"/>
  <c r="R15" i="44" s="1"/>
  <c r="S15" i="44" s="1"/>
  <c r="T15" i="44" s="1"/>
  <c r="U15" i="44" s="1"/>
  <c r="V15" i="44" s="1"/>
  <c r="W15" i="44" s="1"/>
  <c r="X15" i="44" s="1"/>
  <c r="Y15" i="44" s="1"/>
  <c r="B15" i="44"/>
  <c r="B17" i="44" s="1"/>
  <c r="L14" i="44"/>
  <c r="H350" i="36" s="1"/>
  <c r="X13" i="44"/>
  <c r="L12" i="44"/>
  <c r="H293" i="36" s="1"/>
  <c r="O10" i="44"/>
  <c r="P10" i="44" s="1"/>
  <c r="Q10" i="44" s="1"/>
  <c r="O9" i="44"/>
  <c r="P9" i="44" s="1"/>
  <c r="Q9" i="44" s="1"/>
  <c r="B9" i="44"/>
  <c r="B11" i="44" s="1"/>
  <c r="L8" i="44"/>
  <c r="L7" i="44"/>
  <c r="H311" i="36" s="1"/>
  <c r="L6" i="44"/>
  <c r="H292" i="36" s="1"/>
  <c r="D119" i="45"/>
  <c r="O118" i="45"/>
  <c r="P118" i="45" s="1"/>
  <c r="Q118" i="45" s="1"/>
  <c r="R118" i="45" s="1"/>
  <c r="S118" i="45" s="1"/>
  <c r="T118" i="45" s="1"/>
  <c r="U118" i="45" s="1"/>
  <c r="V118" i="45" s="1"/>
  <c r="W118" i="45" s="1"/>
  <c r="X118" i="45" s="1"/>
  <c r="Y118" i="45" s="1"/>
  <c r="Z118" i="45" s="1"/>
  <c r="AA118" i="45" s="1"/>
  <c r="AB118" i="45" s="1"/>
  <c r="AC118" i="45" s="1"/>
  <c r="AD118" i="45" s="1"/>
  <c r="AE118" i="45" s="1"/>
  <c r="AF118" i="45" s="1"/>
  <c r="AG118" i="45" s="1"/>
  <c r="AH118" i="45" s="1"/>
  <c r="AI118" i="45" s="1"/>
  <c r="AJ118" i="45" s="1"/>
  <c r="AK118" i="45" s="1"/>
  <c r="AL118" i="45" s="1"/>
  <c r="D118" i="45"/>
  <c r="O117" i="45"/>
  <c r="P117" i="45" s="1"/>
  <c r="Q117" i="45" s="1"/>
  <c r="R117" i="45" s="1"/>
  <c r="S117" i="45" s="1"/>
  <c r="T117" i="45" s="1"/>
  <c r="U117" i="45" s="1"/>
  <c r="V117" i="45" s="1"/>
  <c r="W117" i="45" s="1"/>
  <c r="X117" i="45" s="1"/>
  <c r="Y117" i="45" s="1"/>
  <c r="Z117" i="45" s="1"/>
  <c r="AA117" i="45" s="1"/>
  <c r="AB117" i="45" s="1"/>
  <c r="AC117" i="45" s="1"/>
  <c r="AD117" i="45" s="1"/>
  <c r="AE117" i="45" s="1"/>
  <c r="AF117" i="45" s="1"/>
  <c r="AG117" i="45" s="1"/>
  <c r="AH117" i="45" s="1"/>
  <c r="AI117" i="45" s="1"/>
  <c r="AJ117" i="45" s="1"/>
  <c r="D117" i="45"/>
  <c r="B117" i="45"/>
  <c r="B119" i="45" s="1"/>
  <c r="AC116" i="45"/>
  <c r="AD116" i="45" s="1"/>
  <c r="AE116" i="45" s="1"/>
  <c r="AF116" i="45" s="1"/>
  <c r="AG116" i="45" s="1"/>
  <c r="AH116" i="45" s="1"/>
  <c r="AI116" i="45" s="1"/>
  <c r="AJ116" i="45" s="1"/>
  <c r="AK116" i="45" s="1"/>
  <c r="AL116" i="45" s="1"/>
  <c r="AM116" i="45" s="1"/>
  <c r="AN116" i="45" s="1"/>
  <c r="D116" i="45"/>
  <c r="W115" i="45"/>
  <c r="X115" i="45" s="1"/>
  <c r="Y115" i="45" s="1"/>
  <c r="Z115" i="45" s="1"/>
  <c r="AA115" i="45" s="1"/>
  <c r="AB115" i="45" s="1"/>
  <c r="AC115" i="45" s="1"/>
  <c r="AD115" i="45" s="1"/>
  <c r="AE115" i="45" s="1"/>
  <c r="AF115" i="45" s="1"/>
  <c r="AG115" i="45" s="1"/>
  <c r="AH115" i="45" s="1"/>
  <c r="AI115" i="45" s="1"/>
  <c r="D115" i="45"/>
  <c r="W114" i="45"/>
  <c r="X114" i="45" s="1"/>
  <c r="Y114" i="45" s="1"/>
  <c r="Z114" i="45" s="1"/>
  <c r="AA114" i="45" s="1"/>
  <c r="AB114" i="45" s="1"/>
  <c r="AC114" i="45" s="1"/>
  <c r="AD114" i="45" s="1"/>
  <c r="AE114" i="45" s="1"/>
  <c r="AF114" i="45" s="1"/>
  <c r="AG114" i="45" s="1"/>
  <c r="AH114" i="45" s="1"/>
  <c r="D114" i="45"/>
  <c r="D113" i="45"/>
  <c r="O112" i="45"/>
  <c r="P112" i="45" s="1"/>
  <c r="Q112" i="45" s="1"/>
  <c r="D112" i="45"/>
  <c r="O111" i="45"/>
  <c r="P111" i="45" s="1"/>
  <c r="Q111" i="45" s="1"/>
  <c r="R111" i="45" s="1"/>
  <c r="S111" i="45" s="1"/>
  <c r="T111" i="45" s="1"/>
  <c r="U111" i="45" s="1"/>
  <c r="V111" i="45" s="1"/>
  <c r="W111" i="45" s="1"/>
  <c r="X111" i="45" s="1"/>
  <c r="Y111" i="45" s="1"/>
  <c r="Z111" i="45" s="1"/>
  <c r="AA111" i="45" s="1"/>
  <c r="AB111" i="45" s="1"/>
  <c r="AC111" i="45" s="1"/>
  <c r="AD111" i="45" s="1"/>
  <c r="AE111" i="45" s="1"/>
  <c r="AF111" i="45" s="1"/>
  <c r="AG111" i="45" s="1"/>
  <c r="AH111" i="45" s="1"/>
  <c r="AI111" i="45" s="1"/>
  <c r="D111" i="45"/>
  <c r="AC110" i="45"/>
  <c r="AD110" i="45" s="1"/>
  <c r="AE110" i="45" s="1"/>
  <c r="D110" i="45"/>
  <c r="W109" i="45"/>
  <c r="D109" i="45"/>
  <c r="W108" i="45"/>
  <c r="D108" i="45"/>
  <c r="D107" i="45"/>
  <c r="O106" i="45"/>
  <c r="D106" i="45"/>
  <c r="O105" i="45"/>
  <c r="P105" i="45" s="1"/>
  <c r="Q105" i="45" s="1"/>
  <c r="D105" i="45"/>
  <c r="AC104" i="45"/>
  <c r="AD104" i="45" s="1"/>
  <c r="AE104" i="45" s="1"/>
  <c r="D104" i="45"/>
  <c r="W103" i="45"/>
  <c r="X103" i="45" s="1"/>
  <c r="Y103" i="45" s="1"/>
  <c r="D103" i="45"/>
  <c r="W102" i="45"/>
  <c r="X102" i="45" s="1"/>
  <c r="Y102" i="45" s="1"/>
  <c r="Z102" i="45" s="1"/>
  <c r="AA102" i="45" s="1"/>
  <c r="AB102" i="45" s="1"/>
  <c r="AC102" i="45" s="1"/>
  <c r="AD102" i="45" s="1"/>
  <c r="AE102" i="45" s="1"/>
  <c r="D102" i="45"/>
  <c r="D101" i="45"/>
  <c r="O100" i="45"/>
  <c r="P100" i="45" s="1"/>
  <c r="D100" i="45"/>
  <c r="O99" i="45"/>
  <c r="P99" i="45" s="1"/>
  <c r="D99" i="45"/>
  <c r="AC98" i="45"/>
  <c r="AD98" i="45" s="1"/>
  <c r="AE98" i="45" s="1"/>
  <c r="AF98" i="45" s="1"/>
  <c r="AG98" i="45" s="1"/>
  <c r="AH98" i="45" s="1"/>
  <c r="AI98" i="45" s="1"/>
  <c r="AJ98" i="45" s="1"/>
  <c r="D98" i="45"/>
  <c r="W97" i="45"/>
  <c r="X97" i="45" s="1"/>
  <c r="Y97" i="45" s="1"/>
  <c r="Z97" i="45" s="1"/>
  <c r="AA97" i="45" s="1"/>
  <c r="AB97" i="45" s="1"/>
  <c r="AC97" i="45" s="1"/>
  <c r="AD97" i="45" s="1"/>
  <c r="AE97" i="45" s="1"/>
  <c r="D97" i="45"/>
  <c r="W96" i="45"/>
  <c r="X96" i="45" s="1"/>
  <c r="D96" i="45"/>
  <c r="D95" i="45"/>
  <c r="O94" i="45"/>
  <c r="D94" i="45"/>
  <c r="O93" i="45"/>
  <c r="P93" i="45" s="1"/>
  <c r="Q93" i="45" s="1"/>
  <c r="R93" i="45" s="1"/>
  <c r="S93" i="45" s="1"/>
  <c r="T93" i="45" s="1"/>
  <c r="U93" i="45" s="1"/>
  <c r="V93" i="45" s="1"/>
  <c r="W93" i="45" s="1"/>
  <c r="X93" i="45" s="1"/>
  <c r="Y93" i="45" s="1"/>
  <c r="Z93" i="45" s="1"/>
  <c r="AA93" i="45" s="1"/>
  <c r="AB93" i="45" s="1"/>
  <c r="AC93" i="45" s="1"/>
  <c r="AD93" i="45" s="1"/>
  <c r="D93" i="45"/>
  <c r="B93" i="45"/>
  <c r="B95" i="45" s="1"/>
  <c r="AC92" i="45"/>
  <c r="AD92" i="45" s="1"/>
  <c r="D92" i="45"/>
  <c r="W91" i="45"/>
  <c r="X91" i="45" s="1"/>
  <c r="Y91" i="45" s="1"/>
  <c r="Z91" i="45" s="1"/>
  <c r="AA91" i="45" s="1"/>
  <c r="AB91" i="45" s="1"/>
  <c r="AC91" i="45" s="1"/>
  <c r="AD91" i="45" s="1"/>
  <c r="D91" i="45"/>
  <c r="W90" i="45"/>
  <c r="X90" i="45" s="1"/>
  <c r="Y90" i="45" s="1"/>
  <c r="Z90" i="45" s="1"/>
  <c r="AA90" i="45" s="1"/>
  <c r="AB90" i="45" s="1"/>
  <c r="D90" i="45"/>
  <c r="D89" i="45"/>
  <c r="O88" i="45"/>
  <c r="P88" i="45" s="1"/>
  <c r="Q88" i="45" s="1"/>
  <c r="R88" i="45" s="1"/>
  <c r="S88" i="45" s="1"/>
  <c r="T88" i="45" s="1"/>
  <c r="U88" i="45" s="1"/>
  <c r="V88" i="45" s="1"/>
  <c r="W88" i="45" s="1"/>
  <c r="X88" i="45" s="1"/>
  <c r="Y88" i="45" s="1"/>
  <c r="Z88" i="45" s="1"/>
  <c r="AA88" i="45" s="1"/>
  <c r="AB88" i="45" s="1"/>
  <c r="AC88" i="45" s="1"/>
  <c r="AD88" i="45" s="1"/>
  <c r="D88" i="45"/>
  <c r="O87" i="45"/>
  <c r="P87" i="45" s="1"/>
  <c r="D87" i="45"/>
  <c r="B87" i="45"/>
  <c r="B89" i="45" s="1"/>
  <c r="AC86" i="45"/>
  <c r="AD86" i="45" s="1"/>
  <c r="AE86" i="45" s="1"/>
  <c r="AF86" i="45" s="1"/>
  <c r="D86" i="45"/>
  <c r="W85" i="45"/>
  <c r="X85" i="45" s="1"/>
  <c r="D85" i="45"/>
  <c r="W84" i="45"/>
  <c r="X84" i="45" s="1"/>
  <c r="Y84" i="45" s="1"/>
  <c r="Z84" i="45" s="1"/>
  <c r="D84" i="45"/>
  <c r="D83" i="45"/>
  <c r="O82" i="45"/>
  <c r="P82" i="45" s="1"/>
  <c r="Q82" i="45" s="1"/>
  <c r="R82" i="45" s="1"/>
  <c r="S82" i="45" s="1"/>
  <c r="T82" i="45" s="1"/>
  <c r="U82" i="45" s="1"/>
  <c r="V82" i="45" s="1"/>
  <c r="W82" i="45" s="1"/>
  <c r="X82" i="45" s="1"/>
  <c r="Y82" i="45" s="1"/>
  <c r="Z82" i="45" s="1"/>
  <c r="AA82" i="45" s="1"/>
  <c r="AB82" i="45" s="1"/>
  <c r="D82" i="45"/>
  <c r="O81" i="45"/>
  <c r="P81" i="45" s="1"/>
  <c r="Q81" i="45" s="1"/>
  <c r="R81" i="45" s="1"/>
  <c r="S81" i="45" s="1"/>
  <c r="T81" i="45" s="1"/>
  <c r="U81" i="45" s="1"/>
  <c r="V81" i="45" s="1"/>
  <c r="W81" i="45" s="1"/>
  <c r="X81" i="45" s="1"/>
  <c r="Y81" i="45" s="1"/>
  <c r="Z81" i="45" s="1"/>
  <c r="D81" i="45"/>
  <c r="B81" i="45"/>
  <c r="B83" i="45" s="1"/>
  <c r="AC80" i="45"/>
  <c r="AD80" i="45" s="1"/>
  <c r="D80" i="45"/>
  <c r="W79" i="45"/>
  <c r="X79" i="45" s="1"/>
  <c r="Y79" i="45" s="1"/>
  <c r="Z79" i="45" s="1"/>
  <c r="D79" i="45"/>
  <c r="W78" i="45"/>
  <c r="X78" i="45" s="1"/>
  <c r="L78" i="45" s="1"/>
  <c r="D78" i="45"/>
  <c r="D77" i="45"/>
  <c r="O76" i="45"/>
  <c r="P76" i="45" s="1"/>
  <c r="Q76" i="45" s="1"/>
  <c r="R76" i="45" s="1"/>
  <c r="S76" i="45" s="1"/>
  <c r="T76" i="45" s="1"/>
  <c r="U76" i="45" s="1"/>
  <c r="V76" i="45" s="1"/>
  <c r="W76" i="45" s="1"/>
  <c r="X76" i="45" s="1"/>
  <c r="Y76" i="45" s="1"/>
  <c r="Z76" i="45" s="1"/>
  <c r="D76" i="45"/>
  <c r="O75" i="45"/>
  <c r="P75" i="45" s="1"/>
  <c r="Q75" i="45" s="1"/>
  <c r="R75" i="45" s="1"/>
  <c r="S75" i="45" s="1"/>
  <c r="T75" i="45" s="1"/>
  <c r="U75" i="45" s="1"/>
  <c r="V75" i="45" s="1"/>
  <c r="W75" i="45" s="1"/>
  <c r="X75" i="45" s="1"/>
  <c r="D75" i="45"/>
  <c r="B75" i="45"/>
  <c r="B77" i="45" s="1"/>
  <c r="L74" i="45"/>
  <c r="D74" i="45"/>
  <c r="W73" i="45"/>
  <c r="X73" i="45" s="1"/>
  <c r="D73" i="45"/>
  <c r="L72" i="45"/>
  <c r="D72" i="45"/>
  <c r="D71" i="45"/>
  <c r="O70" i="45"/>
  <c r="P70" i="45" s="1"/>
  <c r="Q70" i="45" s="1"/>
  <c r="R70" i="45" s="1"/>
  <c r="S70" i="45" s="1"/>
  <c r="T70" i="45" s="1"/>
  <c r="U70" i="45" s="1"/>
  <c r="V70" i="45" s="1"/>
  <c r="W70" i="45" s="1"/>
  <c r="X70" i="45" s="1"/>
  <c r="Y70" i="45" s="1"/>
  <c r="D70" i="45"/>
  <c r="O69" i="45"/>
  <c r="P69" i="45" s="1"/>
  <c r="Q69" i="45" s="1"/>
  <c r="R69" i="45" s="1"/>
  <c r="S69" i="45" s="1"/>
  <c r="T69" i="45" s="1"/>
  <c r="U69" i="45" s="1"/>
  <c r="V69" i="45" s="1"/>
  <c r="W69" i="45" s="1"/>
  <c r="D69" i="45"/>
  <c r="B69" i="45"/>
  <c r="B71" i="45" s="1"/>
  <c r="L68" i="45"/>
  <c r="D68" i="45"/>
  <c r="L67" i="45"/>
  <c r="D67" i="45"/>
  <c r="L66" i="45"/>
  <c r="D66" i="45"/>
  <c r="D65" i="45"/>
  <c r="O64" i="45"/>
  <c r="P64" i="45" s="1"/>
  <c r="Q64" i="45" s="1"/>
  <c r="R64" i="45" s="1"/>
  <c r="S64" i="45" s="1"/>
  <c r="T64" i="45" s="1"/>
  <c r="U64" i="45" s="1"/>
  <c r="V64" i="45" s="1"/>
  <c r="W64" i="45" s="1"/>
  <c r="X64" i="45" s="1"/>
  <c r="Y64" i="45" s="1"/>
  <c r="Z64" i="45" s="1"/>
  <c r="AA64" i="45" s="1"/>
  <c r="AB64" i="45" s="1"/>
  <c r="AC64" i="45" s="1"/>
  <c r="AD64" i="45" s="1"/>
  <c r="AE64" i="45" s="1"/>
  <c r="AF64" i="45" s="1"/>
  <c r="AG64" i="45" s="1"/>
  <c r="AH64" i="45" s="1"/>
  <c r="AI64" i="45" s="1"/>
  <c r="AJ64" i="45" s="1"/>
  <c r="AK64" i="45" s="1"/>
  <c r="D64" i="45"/>
  <c r="O63" i="45"/>
  <c r="P63" i="45" s="1"/>
  <c r="Q63" i="45" s="1"/>
  <c r="R63" i="45" s="1"/>
  <c r="S63" i="45" s="1"/>
  <c r="T63" i="45" s="1"/>
  <c r="U63" i="45" s="1"/>
  <c r="V63" i="45" s="1"/>
  <c r="W63" i="45" s="1"/>
  <c r="X63" i="45" s="1"/>
  <c r="Y63" i="45" s="1"/>
  <c r="Z63" i="45" s="1"/>
  <c r="AA63" i="45" s="1"/>
  <c r="AB63" i="45" s="1"/>
  <c r="AC63" i="45" s="1"/>
  <c r="AD63" i="45" s="1"/>
  <c r="AE63" i="45" s="1"/>
  <c r="AF63" i="45" s="1"/>
  <c r="AG63" i="45" s="1"/>
  <c r="AH63" i="45" s="1"/>
  <c r="AI63" i="45" s="1"/>
  <c r="AJ63" i="45" s="1"/>
  <c r="D63" i="45"/>
  <c r="B63" i="45"/>
  <c r="B65" i="45" s="1"/>
  <c r="AC62" i="45"/>
  <c r="AD62" i="45" s="1"/>
  <c r="AE62" i="45" s="1"/>
  <c r="AF62" i="45" s="1"/>
  <c r="AG62" i="45" s="1"/>
  <c r="AH62" i="45" s="1"/>
  <c r="AI62" i="45" s="1"/>
  <c r="AJ62" i="45" s="1"/>
  <c r="AK62" i="45" s="1"/>
  <c r="AL62" i="45" s="1"/>
  <c r="AM62" i="45" s="1"/>
  <c r="D62" i="45"/>
  <c r="W61" i="45"/>
  <c r="X61" i="45" s="1"/>
  <c r="Y61" i="45" s="1"/>
  <c r="Z61" i="45" s="1"/>
  <c r="AA61" i="45" s="1"/>
  <c r="AB61" i="45" s="1"/>
  <c r="AC61" i="45" s="1"/>
  <c r="AD61" i="45" s="1"/>
  <c r="AE61" i="45" s="1"/>
  <c r="AF61" i="45" s="1"/>
  <c r="AG61" i="45" s="1"/>
  <c r="AH61" i="45" s="1"/>
  <c r="AI61" i="45" s="1"/>
  <c r="D61" i="45"/>
  <c r="W60" i="45"/>
  <c r="D60" i="45"/>
  <c r="D59" i="45"/>
  <c r="O58" i="45"/>
  <c r="P58" i="45" s="1"/>
  <c r="Q58" i="45" s="1"/>
  <c r="R58" i="45" s="1"/>
  <c r="S58" i="45" s="1"/>
  <c r="T58" i="45" s="1"/>
  <c r="U58" i="45" s="1"/>
  <c r="V58" i="45" s="1"/>
  <c r="W58" i="45" s="1"/>
  <c r="X58" i="45" s="1"/>
  <c r="Y58" i="45" s="1"/>
  <c r="Z58" i="45" s="1"/>
  <c r="AA58" i="45" s="1"/>
  <c r="AB58" i="45" s="1"/>
  <c r="AC58" i="45" s="1"/>
  <c r="AD58" i="45" s="1"/>
  <c r="AE58" i="45" s="1"/>
  <c r="AF58" i="45" s="1"/>
  <c r="AG58" i="45" s="1"/>
  <c r="AH58" i="45" s="1"/>
  <c r="AI58" i="45" s="1"/>
  <c r="AJ58" i="45" s="1"/>
  <c r="D58" i="45"/>
  <c r="O57" i="45"/>
  <c r="P57" i="45" s="1"/>
  <c r="Q57" i="45" s="1"/>
  <c r="R57" i="45" s="1"/>
  <c r="S57" i="45" s="1"/>
  <c r="T57" i="45" s="1"/>
  <c r="U57" i="45" s="1"/>
  <c r="V57" i="45" s="1"/>
  <c r="W57" i="45" s="1"/>
  <c r="X57" i="45" s="1"/>
  <c r="Y57" i="45" s="1"/>
  <c r="Z57" i="45" s="1"/>
  <c r="D57" i="45"/>
  <c r="AC56" i="45"/>
  <c r="AD56" i="45" s="1"/>
  <c r="AE56" i="45" s="1"/>
  <c r="AF56" i="45" s="1"/>
  <c r="AG56" i="45" s="1"/>
  <c r="AH56" i="45" s="1"/>
  <c r="AI56" i="45" s="1"/>
  <c r="AJ56" i="45" s="1"/>
  <c r="AK56" i="45" s="1"/>
  <c r="AL56" i="45" s="1"/>
  <c r="D56" i="45"/>
  <c r="W55" i="45"/>
  <c r="D55" i="45"/>
  <c r="W54" i="45"/>
  <c r="D54" i="45"/>
  <c r="D53" i="45"/>
  <c r="O52" i="45"/>
  <c r="D52" i="45"/>
  <c r="O51" i="45"/>
  <c r="P51" i="45" s="1"/>
  <c r="Q51" i="45" s="1"/>
  <c r="R51" i="45" s="1"/>
  <c r="S51" i="45" s="1"/>
  <c r="T51" i="45" s="1"/>
  <c r="U51" i="45" s="1"/>
  <c r="V51" i="45" s="1"/>
  <c r="W51" i="45" s="1"/>
  <c r="X51" i="45" s="1"/>
  <c r="Y51" i="45" s="1"/>
  <c r="Z51" i="45" s="1"/>
  <c r="AA51" i="45" s="1"/>
  <c r="AB51" i="45" s="1"/>
  <c r="AC51" i="45" s="1"/>
  <c r="AD51" i="45" s="1"/>
  <c r="AE51" i="45" s="1"/>
  <c r="AF51" i="45" s="1"/>
  <c r="AG51" i="45" s="1"/>
  <c r="AH51" i="45" s="1"/>
  <c r="D51" i="45"/>
  <c r="B51" i="45"/>
  <c r="B53" i="45" s="1"/>
  <c r="AC50" i="45"/>
  <c r="AD50" i="45" s="1"/>
  <c r="AE50" i="45" s="1"/>
  <c r="AF50" i="45" s="1"/>
  <c r="AG50" i="45" s="1"/>
  <c r="AH50" i="45" s="1"/>
  <c r="AI50" i="45" s="1"/>
  <c r="AJ50" i="45" s="1"/>
  <c r="D50" i="45"/>
  <c r="W49" i="45"/>
  <c r="X49" i="45" s="1"/>
  <c r="Y49" i="45" s="1"/>
  <c r="Z49" i="45" s="1"/>
  <c r="AA49" i="45" s="1"/>
  <c r="AB49" i="45" s="1"/>
  <c r="AC49" i="45" s="1"/>
  <c r="AD49" i="45" s="1"/>
  <c r="AE49" i="45" s="1"/>
  <c r="AF49" i="45" s="1"/>
  <c r="D49" i="45"/>
  <c r="W48" i="45"/>
  <c r="X48" i="45" s="1"/>
  <c r="D48" i="45"/>
  <c r="D47" i="45"/>
  <c r="B47" i="45"/>
  <c r="O46" i="45"/>
  <c r="O45" i="45"/>
  <c r="P45" i="45" s="1"/>
  <c r="Q45" i="45" s="1"/>
  <c r="R45" i="45" s="1"/>
  <c r="S45" i="45" s="1"/>
  <c r="T45" i="45" s="1"/>
  <c r="U45" i="45" s="1"/>
  <c r="V45" i="45" s="1"/>
  <c r="W45" i="45" s="1"/>
  <c r="X45" i="45" s="1"/>
  <c r="Y45" i="45" s="1"/>
  <c r="Z45" i="45" s="1"/>
  <c r="AA45" i="45" s="1"/>
  <c r="AB45" i="45" s="1"/>
  <c r="AC45" i="45" s="1"/>
  <c r="AD45" i="45" s="1"/>
  <c r="AE45" i="45" s="1"/>
  <c r="AF45" i="45" s="1"/>
  <c r="AG45" i="45" s="1"/>
  <c r="D45" i="45"/>
  <c r="AC44" i="45"/>
  <c r="AD44" i="45" s="1"/>
  <c r="AE44" i="45" s="1"/>
  <c r="AF44" i="45" s="1"/>
  <c r="AG44" i="45" s="1"/>
  <c r="AH44" i="45" s="1"/>
  <c r="AI44" i="45" s="1"/>
  <c r="D44" i="45"/>
  <c r="W43" i="45"/>
  <c r="D43" i="45"/>
  <c r="W42" i="45"/>
  <c r="X42" i="45" s="1"/>
  <c r="Y42" i="45" s="1"/>
  <c r="Z42" i="45" s="1"/>
  <c r="AA42" i="45" s="1"/>
  <c r="AB42" i="45" s="1"/>
  <c r="D42" i="45"/>
  <c r="D41" i="45"/>
  <c r="B41" i="45"/>
  <c r="O40" i="45"/>
  <c r="P40" i="45" s="1"/>
  <c r="Q40" i="45" s="1"/>
  <c r="R40" i="45" s="1"/>
  <c r="S40" i="45" s="1"/>
  <c r="T40" i="45" s="1"/>
  <c r="U40" i="45" s="1"/>
  <c r="V40" i="45" s="1"/>
  <c r="W40" i="45" s="1"/>
  <c r="X40" i="45" s="1"/>
  <c r="Y40" i="45" s="1"/>
  <c r="Z40" i="45" s="1"/>
  <c r="AA40" i="45" s="1"/>
  <c r="AB40" i="45" s="1"/>
  <c r="AC40" i="45" s="1"/>
  <c r="AD40" i="45" s="1"/>
  <c r="AE40" i="45" s="1"/>
  <c r="AF40" i="45" s="1"/>
  <c r="D40" i="45"/>
  <c r="O39" i="45"/>
  <c r="P39" i="45" s="1"/>
  <c r="Q39" i="45" s="1"/>
  <c r="R39" i="45" s="1"/>
  <c r="S39" i="45" s="1"/>
  <c r="T39" i="45" s="1"/>
  <c r="U39" i="45" s="1"/>
  <c r="V39" i="45" s="1"/>
  <c r="W39" i="45" s="1"/>
  <c r="X39" i="45" s="1"/>
  <c r="Y39" i="45" s="1"/>
  <c r="Z39" i="45" s="1"/>
  <c r="AA39" i="45" s="1"/>
  <c r="AB39" i="45" s="1"/>
  <c r="AC39" i="45" s="1"/>
  <c r="AD39" i="45" s="1"/>
  <c r="AE39" i="45" s="1"/>
  <c r="D39" i="45"/>
  <c r="AC38" i="45"/>
  <c r="AD38" i="45" s="1"/>
  <c r="AE38" i="45" s="1"/>
  <c r="AF38" i="45" s="1"/>
  <c r="AG38" i="45" s="1"/>
  <c r="D38" i="45"/>
  <c r="W37" i="45"/>
  <c r="X37" i="45" s="1"/>
  <c r="Y37" i="45" s="1"/>
  <c r="Z37" i="45" s="1"/>
  <c r="AA37" i="45" s="1"/>
  <c r="AB37" i="45" s="1"/>
  <c r="D37" i="45"/>
  <c r="W36" i="45"/>
  <c r="D36" i="45"/>
  <c r="D35" i="45"/>
  <c r="B35" i="45"/>
  <c r="O34" i="45"/>
  <c r="P34" i="45" s="1"/>
  <c r="Q34" i="45" s="1"/>
  <c r="R34" i="45" s="1"/>
  <c r="S34" i="45" s="1"/>
  <c r="T34" i="45" s="1"/>
  <c r="U34" i="45" s="1"/>
  <c r="V34" i="45" s="1"/>
  <c r="W34" i="45" s="1"/>
  <c r="X34" i="45" s="1"/>
  <c r="Y34" i="45" s="1"/>
  <c r="Z34" i="45" s="1"/>
  <c r="AA34" i="45" s="1"/>
  <c r="AB34" i="45" s="1"/>
  <c r="AC34" i="45" s="1"/>
  <c r="AD34" i="45" s="1"/>
  <c r="D34" i="45"/>
  <c r="O33" i="45"/>
  <c r="P33" i="45" s="1"/>
  <c r="D33" i="45"/>
  <c r="AC32" i="45"/>
  <c r="AD32" i="45" s="1"/>
  <c r="AE32" i="45" s="1"/>
  <c r="D32" i="45"/>
  <c r="W31" i="45"/>
  <c r="D31" i="45"/>
  <c r="W30" i="45"/>
  <c r="X30" i="45" s="1"/>
  <c r="Y30" i="45" s="1"/>
  <c r="D30" i="45"/>
  <c r="B29" i="45"/>
  <c r="O28" i="45"/>
  <c r="P28" i="45" s="1"/>
  <c r="Q28" i="45" s="1"/>
  <c r="D28" i="45"/>
  <c r="O27" i="45"/>
  <c r="D27" i="45"/>
  <c r="AC26" i="45"/>
  <c r="D26" i="45"/>
  <c r="W25" i="45"/>
  <c r="X25" i="45" s="1"/>
  <c r="Y25" i="45" s="1"/>
  <c r="D25" i="45"/>
  <c r="W24" i="45"/>
  <c r="X24" i="45" s="1"/>
  <c r="L24" i="45" s="1"/>
  <c r="D24" i="45"/>
  <c r="D17" i="45"/>
  <c r="O16" i="45"/>
  <c r="P16" i="45" s="1"/>
  <c r="Q16" i="45" s="1"/>
  <c r="D16" i="45"/>
  <c r="O15" i="45"/>
  <c r="P15" i="45" s="1"/>
  <c r="Q15" i="45" s="1"/>
  <c r="D15" i="45"/>
  <c r="B15" i="45"/>
  <c r="B17" i="45" s="1"/>
  <c r="L14" i="45"/>
  <c r="D14" i="45"/>
  <c r="W13" i="45"/>
  <c r="L13" i="45" s="1"/>
  <c r="D13" i="45"/>
  <c r="L12" i="45"/>
  <c r="D12" i="45"/>
  <c r="D11" i="45"/>
  <c r="O10" i="45"/>
  <c r="P10" i="45" s="1"/>
  <c r="Q10" i="45" s="1"/>
  <c r="R10" i="45" s="1"/>
  <c r="S10" i="45" s="1"/>
  <c r="T10" i="45" s="1"/>
  <c r="U10" i="45" s="1"/>
  <c r="V10" i="45" s="1"/>
  <c r="W10" i="45" s="1"/>
  <c r="X10" i="45" s="1"/>
  <c r="Y10" i="45" s="1"/>
  <c r="D10" i="45"/>
  <c r="O9" i="45"/>
  <c r="P9" i="45" s="1"/>
  <c r="Q9" i="45" s="1"/>
  <c r="D9" i="45"/>
  <c r="B9" i="45"/>
  <c r="B11" i="45" s="1"/>
  <c r="L8" i="45"/>
  <c r="D8" i="45"/>
  <c r="L7" i="45"/>
  <c r="D7" i="45"/>
  <c r="L6" i="45"/>
  <c r="D6" i="45"/>
  <c r="H389" i="36" l="1"/>
  <c r="H444" i="36"/>
  <c r="H454" i="36"/>
  <c r="H446" i="36"/>
  <c r="H461" i="36"/>
  <c r="H455" i="36"/>
  <c r="H387" i="36"/>
  <c r="H416" i="36"/>
  <c r="H398" i="36"/>
  <c r="H447" i="36"/>
  <c r="H407" i="36"/>
  <c r="H405" i="36"/>
  <c r="H465" i="36"/>
  <c r="H406" i="36"/>
  <c r="H427" i="36"/>
  <c r="H395" i="36"/>
  <c r="H388" i="36"/>
  <c r="H445" i="36"/>
  <c r="H397" i="36"/>
  <c r="H408" i="36"/>
  <c r="H237" i="36"/>
  <c r="H199" i="36"/>
  <c r="H218" i="36"/>
  <c r="H256" i="36"/>
  <c r="H275" i="36"/>
  <c r="Z24" i="43"/>
  <c r="K24" i="43" s="1"/>
  <c r="H390" i="36" s="1"/>
  <c r="Z73" i="43"/>
  <c r="K73" i="43" s="1"/>
  <c r="H417" i="36" s="1"/>
  <c r="Y103" i="44"/>
  <c r="Z103" i="44" s="1"/>
  <c r="AA103" i="44" s="1"/>
  <c r="AB103" i="44" s="1"/>
  <c r="AC103" i="44" s="1"/>
  <c r="AD103" i="44" s="1"/>
  <c r="AE103" i="44" s="1"/>
  <c r="AF103" i="44" s="1"/>
  <c r="AG103" i="44" s="1"/>
  <c r="AF110" i="44"/>
  <c r="AG110" i="44" s="1"/>
  <c r="AH110" i="44" s="1"/>
  <c r="AI110" i="44" s="1"/>
  <c r="AJ110" i="44" s="1"/>
  <c r="AK110" i="44" s="1"/>
  <c r="AL110" i="44" s="1"/>
  <c r="AM110" i="44" s="1"/>
  <c r="Z85" i="44"/>
  <c r="AA85" i="44" s="1"/>
  <c r="AB85" i="44" s="1"/>
  <c r="AC85" i="44" s="1"/>
  <c r="L26" i="44"/>
  <c r="H352" i="36" s="1"/>
  <c r="L80" i="44"/>
  <c r="H361" i="36" s="1"/>
  <c r="L13" i="44"/>
  <c r="H312" i="36" s="1"/>
  <c r="L54" i="44"/>
  <c r="H300" i="36" s="1"/>
  <c r="L90" i="45"/>
  <c r="L84" i="45"/>
  <c r="L75" i="45"/>
  <c r="L93" i="45"/>
  <c r="T87" i="43"/>
  <c r="U87" i="43" s="1"/>
  <c r="V87" i="43" s="1"/>
  <c r="W87" i="43" s="1"/>
  <c r="X87" i="43" s="1"/>
  <c r="Y87" i="43" s="1"/>
  <c r="Z87" i="43" s="1"/>
  <c r="AA87" i="43" s="1"/>
  <c r="AB87" i="43" s="1"/>
  <c r="AC87" i="43" s="1"/>
  <c r="AD87" i="43" s="1"/>
  <c r="AC49" i="43"/>
  <c r="AD49" i="43" s="1"/>
  <c r="AE49" i="43" s="1"/>
  <c r="AF49" i="43" s="1"/>
  <c r="AG49" i="43" s="1"/>
  <c r="AH49" i="43" s="1"/>
  <c r="S88" i="43"/>
  <c r="T88" i="43" s="1"/>
  <c r="U88" i="43" s="1"/>
  <c r="V88" i="43" s="1"/>
  <c r="W88" i="43" s="1"/>
  <c r="X88" i="43" s="1"/>
  <c r="Y88" i="43" s="1"/>
  <c r="Z88" i="43" s="1"/>
  <c r="AA88" i="43" s="1"/>
  <c r="AB88" i="43" s="1"/>
  <c r="AC88" i="43" s="1"/>
  <c r="AD88" i="43" s="1"/>
  <c r="AE88" i="43" s="1"/>
  <c r="AF88" i="43" s="1"/>
  <c r="Q16" i="43"/>
  <c r="R16" i="43" s="1"/>
  <c r="S16" i="43" s="1"/>
  <c r="T16" i="43" s="1"/>
  <c r="U16" i="43" s="1"/>
  <c r="V16" i="43" s="1"/>
  <c r="W16" i="43" s="1"/>
  <c r="X16" i="43" s="1"/>
  <c r="Y16" i="43" s="1"/>
  <c r="Z16" i="43" s="1"/>
  <c r="AA16" i="43" s="1"/>
  <c r="Q40" i="43"/>
  <c r="R40" i="43" s="1"/>
  <c r="S40" i="43" s="1"/>
  <c r="T40" i="43" s="1"/>
  <c r="U40" i="43" s="1"/>
  <c r="V40" i="43" s="1"/>
  <c r="W40" i="43" s="1"/>
  <c r="X40" i="43" s="1"/>
  <c r="Y40" i="43" s="1"/>
  <c r="Z40" i="43" s="1"/>
  <c r="AA40" i="43" s="1"/>
  <c r="AB40" i="43" s="1"/>
  <c r="AC40" i="43" s="1"/>
  <c r="AD40" i="43" s="1"/>
  <c r="AE40" i="43" s="1"/>
  <c r="AF40" i="43" s="1"/>
  <c r="AG40" i="43" s="1"/>
  <c r="P9" i="43"/>
  <c r="Q9" i="43" s="1"/>
  <c r="R9" i="43" s="1"/>
  <c r="S9" i="43" s="1"/>
  <c r="T9" i="43" s="1"/>
  <c r="U9" i="43" s="1"/>
  <c r="V9" i="43" s="1"/>
  <c r="W9" i="43" s="1"/>
  <c r="X9" i="43" s="1"/>
  <c r="AA36" i="43"/>
  <c r="AB36" i="43" s="1"/>
  <c r="S46" i="43"/>
  <c r="T46" i="43" s="1"/>
  <c r="U46" i="43" s="1"/>
  <c r="V46" i="43" s="1"/>
  <c r="W46" i="43" s="1"/>
  <c r="X46" i="43" s="1"/>
  <c r="Y46" i="43" s="1"/>
  <c r="Z46" i="43" s="1"/>
  <c r="AA46" i="43" s="1"/>
  <c r="AB46" i="43" s="1"/>
  <c r="AC46" i="43" s="1"/>
  <c r="AD46" i="43" s="1"/>
  <c r="AE46" i="43" s="1"/>
  <c r="AF46" i="43" s="1"/>
  <c r="AG46" i="43" s="1"/>
  <c r="AH46" i="43" s="1"/>
  <c r="AI46" i="43" s="1"/>
  <c r="T93" i="43"/>
  <c r="U93" i="43" s="1"/>
  <c r="V93" i="43" s="1"/>
  <c r="W93" i="43" s="1"/>
  <c r="X93" i="43" s="1"/>
  <c r="Y93" i="43" s="1"/>
  <c r="Z93" i="43" s="1"/>
  <c r="AA93" i="43" s="1"/>
  <c r="AB93" i="43" s="1"/>
  <c r="AC93" i="43" s="1"/>
  <c r="AD93" i="43" s="1"/>
  <c r="AE93" i="43" s="1"/>
  <c r="AF93" i="43" s="1"/>
  <c r="Z42" i="43"/>
  <c r="AA42" i="43" s="1"/>
  <c r="AB42" i="43" s="1"/>
  <c r="AC42" i="43" s="1"/>
  <c r="AD42" i="43" s="1"/>
  <c r="AC102" i="43"/>
  <c r="AD102" i="43" s="1"/>
  <c r="AE102" i="43" s="1"/>
  <c r="AF102" i="43" s="1"/>
  <c r="AG102" i="43" s="1"/>
  <c r="AH102" i="43" s="1"/>
  <c r="AF32" i="43"/>
  <c r="K32" i="43" s="1"/>
  <c r="H448" i="36" s="1"/>
  <c r="Y55" i="43"/>
  <c r="Z55" i="43" s="1"/>
  <c r="AA55" i="43" s="1"/>
  <c r="AB55" i="43" s="1"/>
  <c r="AC55" i="43" s="1"/>
  <c r="AD55" i="43" s="1"/>
  <c r="AE55" i="43" s="1"/>
  <c r="AF55" i="43" s="1"/>
  <c r="AG55" i="43" s="1"/>
  <c r="AH55" i="43" s="1"/>
  <c r="AI55" i="43" s="1"/>
  <c r="AJ55" i="43" s="1"/>
  <c r="P15" i="43"/>
  <c r="Q15" i="43" s="1"/>
  <c r="R15" i="43" s="1"/>
  <c r="S15" i="43" s="1"/>
  <c r="T15" i="43" s="1"/>
  <c r="U15" i="43" s="1"/>
  <c r="V15" i="43" s="1"/>
  <c r="W15" i="43" s="1"/>
  <c r="X15" i="43" s="1"/>
  <c r="Y15" i="43" s="1"/>
  <c r="K104" i="43"/>
  <c r="H460" i="36" s="1"/>
  <c r="K62" i="43"/>
  <c r="H453" i="36" s="1"/>
  <c r="K81" i="43"/>
  <c r="H475" i="36" s="1"/>
  <c r="K86" i="43"/>
  <c r="H457" i="36" s="1"/>
  <c r="K91" i="43"/>
  <c r="H420" i="36" s="1"/>
  <c r="K106" i="43"/>
  <c r="H441" i="36" s="1"/>
  <c r="K111" i="43"/>
  <c r="H480" i="36" s="1"/>
  <c r="K112" i="43"/>
  <c r="H442" i="36" s="1"/>
  <c r="Y30" i="43"/>
  <c r="Z30" i="43" s="1"/>
  <c r="AA30" i="43" s="1"/>
  <c r="K78" i="43"/>
  <c r="H399" i="36" s="1"/>
  <c r="Q94" i="43"/>
  <c r="R94" i="43" s="1"/>
  <c r="S94" i="43" s="1"/>
  <c r="T94" i="43" s="1"/>
  <c r="U94" i="43" s="1"/>
  <c r="V94" i="43" s="1"/>
  <c r="W94" i="43" s="1"/>
  <c r="X94" i="43" s="1"/>
  <c r="Y94" i="43" s="1"/>
  <c r="Z94" i="43" s="1"/>
  <c r="AA94" i="43" s="1"/>
  <c r="AB94" i="43" s="1"/>
  <c r="AC94" i="43" s="1"/>
  <c r="AD94" i="43" s="1"/>
  <c r="AE94" i="43" s="1"/>
  <c r="AF94" i="43" s="1"/>
  <c r="AG94" i="43" s="1"/>
  <c r="AH94" i="43" s="1"/>
  <c r="O39" i="43"/>
  <c r="P39" i="43" s="1"/>
  <c r="Q39" i="43" s="1"/>
  <c r="R39" i="43" s="1"/>
  <c r="S39" i="43" s="1"/>
  <c r="T39" i="43" s="1"/>
  <c r="U39" i="43" s="1"/>
  <c r="V39" i="43" s="1"/>
  <c r="W39" i="43" s="1"/>
  <c r="X39" i="43" s="1"/>
  <c r="Y39" i="43" s="1"/>
  <c r="Z39" i="43" s="1"/>
  <c r="AA39" i="43" s="1"/>
  <c r="AB39" i="43" s="1"/>
  <c r="AC39" i="43" s="1"/>
  <c r="AD39" i="43" s="1"/>
  <c r="AE39" i="43" s="1"/>
  <c r="P70" i="43"/>
  <c r="Q70" i="43" s="1"/>
  <c r="R70" i="43" s="1"/>
  <c r="S70" i="43" s="1"/>
  <c r="T70" i="43" s="1"/>
  <c r="U70" i="43" s="1"/>
  <c r="V70" i="43" s="1"/>
  <c r="W70" i="43" s="1"/>
  <c r="X70" i="43" s="1"/>
  <c r="Y70" i="43" s="1"/>
  <c r="Z70" i="43" s="1"/>
  <c r="AA97" i="43"/>
  <c r="AB97" i="43" s="1"/>
  <c r="AC97" i="43" s="1"/>
  <c r="AD97" i="43" s="1"/>
  <c r="AE97" i="43" s="1"/>
  <c r="AF97" i="43" s="1"/>
  <c r="AG97" i="43" s="1"/>
  <c r="AH97" i="43" s="1"/>
  <c r="K109" i="43"/>
  <c r="H423" i="36" s="1"/>
  <c r="O118" i="43"/>
  <c r="P118" i="43" s="1"/>
  <c r="Q118" i="43" s="1"/>
  <c r="R118" i="43" s="1"/>
  <c r="S118" i="43" s="1"/>
  <c r="T118" i="43" s="1"/>
  <c r="U118" i="43" s="1"/>
  <c r="V118" i="43" s="1"/>
  <c r="W118" i="43" s="1"/>
  <c r="X118" i="43" s="1"/>
  <c r="Y118" i="43" s="1"/>
  <c r="Z118" i="43" s="1"/>
  <c r="AA118" i="43" s="1"/>
  <c r="AB118" i="43" s="1"/>
  <c r="AC118" i="43" s="1"/>
  <c r="AD118" i="43" s="1"/>
  <c r="AE118" i="43" s="1"/>
  <c r="AF118" i="43" s="1"/>
  <c r="AG118" i="43" s="1"/>
  <c r="AH118" i="43" s="1"/>
  <c r="AI118" i="43" s="1"/>
  <c r="AJ118" i="43" s="1"/>
  <c r="AK118" i="43" s="1"/>
  <c r="AL118" i="43" s="1"/>
  <c r="AM118" i="43" s="1"/>
  <c r="AN118" i="43" s="1"/>
  <c r="K27" i="43"/>
  <c r="H466" i="36" s="1"/>
  <c r="K37" i="43"/>
  <c r="H411" i="36" s="1"/>
  <c r="K45" i="43"/>
  <c r="H469" i="36" s="1"/>
  <c r="K64" i="43"/>
  <c r="H434" i="36" s="1"/>
  <c r="K76" i="43"/>
  <c r="H436" i="36" s="1"/>
  <c r="K79" i="43"/>
  <c r="H418" i="36" s="1"/>
  <c r="K84" i="43"/>
  <c r="H400" i="36" s="1"/>
  <c r="K100" i="43"/>
  <c r="H440" i="36" s="1"/>
  <c r="K105" i="43"/>
  <c r="H479" i="36" s="1"/>
  <c r="K115" i="43"/>
  <c r="H424" i="36" s="1"/>
  <c r="K116" i="43"/>
  <c r="H462" i="36" s="1"/>
  <c r="K58" i="43"/>
  <c r="H433" i="36" s="1"/>
  <c r="K63" i="43"/>
  <c r="H472" i="36" s="1"/>
  <c r="K54" i="43"/>
  <c r="K10" i="43"/>
  <c r="H425" i="36" s="1"/>
  <c r="K25" i="43"/>
  <c r="H409" i="36" s="1"/>
  <c r="K28" i="43"/>
  <c r="H428" i="36" s="1"/>
  <c r="Y31" i="43"/>
  <c r="Z31" i="43" s="1"/>
  <c r="AA31" i="43" s="1"/>
  <c r="AB31" i="43" s="1"/>
  <c r="K34" i="43"/>
  <c r="H429" i="36" s="1"/>
  <c r="K82" i="43"/>
  <c r="H437" i="36" s="1"/>
  <c r="K98" i="43"/>
  <c r="H459" i="36" s="1"/>
  <c r="K52" i="43"/>
  <c r="H432" i="36" s="1"/>
  <c r="Y61" i="43"/>
  <c r="Z61" i="43" s="1"/>
  <c r="AA61" i="43" s="1"/>
  <c r="AB61" i="43" s="1"/>
  <c r="AC61" i="43" s="1"/>
  <c r="AD61" i="43" s="1"/>
  <c r="AE61" i="43" s="1"/>
  <c r="AF61" i="43" s="1"/>
  <c r="AG61" i="43" s="1"/>
  <c r="AH61" i="43" s="1"/>
  <c r="AI61" i="43" s="1"/>
  <c r="AJ61" i="43" s="1"/>
  <c r="AK61" i="43" s="1"/>
  <c r="AL61" i="43" s="1"/>
  <c r="K80" i="43"/>
  <c r="H456" i="36" s="1"/>
  <c r="K85" i="43"/>
  <c r="H419" i="36" s="1"/>
  <c r="K96" i="43"/>
  <c r="H402" i="36" s="1"/>
  <c r="K75" i="43"/>
  <c r="H474" i="36" s="1"/>
  <c r="K90" i="43"/>
  <c r="H401" i="36" s="1"/>
  <c r="K92" i="43"/>
  <c r="H458" i="36" s="1"/>
  <c r="K110" i="43"/>
  <c r="K33" i="43"/>
  <c r="H467" i="36" s="1"/>
  <c r="K38" i="43"/>
  <c r="H449" i="36" s="1"/>
  <c r="K44" i="43"/>
  <c r="H450" i="36" s="1"/>
  <c r="K57" i="43"/>
  <c r="H471" i="36" s="1"/>
  <c r="K69" i="43"/>
  <c r="H473" i="36" s="1"/>
  <c r="Z108" i="43"/>
  <c r="AA108" i="43" s="1"/>
  <c r="AB108" i="43" s="1"/>
  <c r="AC108" i="43" s="1"/>
  <c r="AD108" i="43" s="1"/>
  <c r="AE108" i="43" s="1"/>
  <c r="AF108" i="43" s="1"/>
  <c r="AG108" i="43" s="1"/>
  <c r="AH108" i="43" s="1"/>
  <c r="AI108" i="43" s="1"/>
  <c r="K43" i="43"/>
  <c r="H412" i="36" s="1"/>
  <c r="K56" i="43"/>
  <c r="H452" i="36" s="1"/>
  <c r="K114" i="43"/>
  <c r="K117" i="43"/>
  <c r="H481" i="36" s="1"/>
  <c r="K48" i="43"/>
  <c r="H394" i="36" s="1"/>
  <c r="K50" i="43"/>
  <c r="H451" i="36" s="1"/>
  <c r="K51" i="43"/>
  <c r="H470" i="36" s="1"/>
  <c r="K60" i="43"/>
  <c r="H396" i="36" s="1"/>
  <c r="K99" i="43"/>
  <c r="H478" i="36" s="1"/>
  <c r="K103" i="43"/>
  <c r="H422" i="36" s="1"/>
  <c r="R10" i="44"/>
  <c r="S10" i="44" s="1"/>
  <c r="T10" i="44" s="1"/>
  <c r="U10" i="44" s="1"/>
  <c r="V10" i="44" s="1"/>
  <c r="W10" i="44" s="1"/>
  <c r="X10" i="44" s="1"/>
  <c r="Y10" i="44" s="1"/>
  <c r="Z10" i="44" s="1"/>
  <c r="U40" i="44"/>
  <c r="V40" i="44" s="1"/>
  <c r="W40" i="44" s="1"/>
  <c r="X40" i="44" s="1"/>
  <c r="Y40" i="44" s="1"/>
  <c r="Z40" i="44" s="1"/>
  <c r="AA40" i="44" s="1"/>
  <c r="AB40" i="44" s="1"/>
  <c r="AC40" i="44" s="1"/>
  <c r="AD40" i="44" s="1"/>
  <c r="AE40" i="44" s="1"/>
  <c r="AF40" i="44" s="1"/>
  <c r="AG40" i="44" s="1"/>
  <c r="AD48" i="44"/>
  <c r="AE48" i="44" s="1"/>
  <c r="Q27" i="44"/>
  <c r="R27" i="44" s="1"/>
  <c r="S27" i="44" s="1"/>
  <c r="T27" i="44" s="1"/>
  <c r="U27" i="44" s="1"/>
  <c r="V27" i="44" s="1"/>
  <c r="W27" i="44" s="1"/>
  <c r="X27" i="44" s="1"/>
  <c r="Y27" i="44" s="1"/>
  <c r="Z27" i="44" s="1"/>
  <c r="AA27" i="44" s="1"/>
  <c r="R16" i="44"/>
  <c r="S16" i="44" s="1"/>
  <c r="T16" i="44" s="1"/>
  <c r="U16" i="44" s="1"/>
  <c r="V16" i="44" s="1"/>
  <c r="W16" i="44" s="1"/>
  <c r="X16" i="44" s="1"/>
  <c r="Y16" i="44" s="1"/>
  <c r="Z16" i="44" s="1"/>
  <c r="AA16" i="44" s="1"/>
  <c r="L16" i="44" s="1"/>
  <c r="H331" i="36" s="1"/>
  <c r="R9" i="44"/>
  <c r="S9" i="44" s="1"/>
  <c r="T9" i="44" s="1"/>
  <c r="U9" i="44" s="1"/>
  <c r="V9" i="44" s="1"/>
  <c r="W9" i="44" s="1"/>
  <c r="X9" i="44" s="1"/>
  <c r="U46" i="44"/>
  <c r="V46" i="44" s="1"/>
  <c r="W46" i="44" s="1"/>
  <c r="X46" i="44" s="1"/>
  <c r="Y46" i="44" s="1"/>
  <c r="Z46" i="44" s="1"/>
  <c r="AA46" i="44" s="1"/>
  <c r="AB46" i="44" s="1"/>
  <c r="AC46" i="44" s="1"/>
  <c r="AD46" i="44" s="1"/>
  <c r="AE46" i="44" s="1"/>
  <c r="AF46" i="44" s="1"/>
  <c r="AG46" i="44" s="1"/>
  <c r="AH46" i="44" s="1"/>
  <c r="AI46" i="44" s="1"/>
  <c r="Z36" i="44"/>
  <c r="AA36" i="44" s="1"/>
  <c r="L15" i="44"/>
  <c r="H369" i="36" s="1"/>
  <c r="Z31" i="44"/>
  <c r="AA31" i="44" s="1"/>
  <c r="L39" i="44"/>
  <c r="H373" i="36" s="1"/>
  <c r="L42" i="44"/>
  <c r="H298" i="36" s="1"/>
  <c r="L58" i="44"/>
  <c r="H338" i="36" s="1"/>
  <c r="L28" i="44"/>
  <c r="H333" i="36" s="1"/>
  <c r="L37" i="44"/>
  <c r="H316" i="36" s="1"/>
  <c r="L56" i="44"/>
  <c r="H357" i="36" s="1"/>
  <c r="L64" i="44"/>
  <c r="H339" i="36" s="1"/>
  <c r="L114" i="44"/>
  <c r="H310" i="36" s="1"/>
  <c r="L44" i="44"/>
  <c r="H355" i="36" s="1"/>
  <c r="L45" i="44"/>
  <c r="H374" i="36" s="1"/>
  <c r="L69" i="44"/>
  <c r="H378" i="36" s="1"/>
  <c r="AA84" i="44"/>
  <c r="L84" i="44" s="1"/>
  <c r="H305" i="36" s="1"/>
  <c r="AA96" i="44"/>
  <c r="AB96" i="44" s="1"/>
  <c r="AC96" i="44" s="1"/>
  <c r="AD96" i="44" s="1"/>
  <c r="AE96" i="44" s="1"/>
  <c r="Q117" i="44"/>
  <c r="R117" i="44" s="1"/>
  <c r="S117" i="44" s="1"/>
  <c r="T117" i="44" s="1"/>
  <c r="U117" i="44" s="1"/>
  <c r="V117" i="44" s="1"/>
  <c r="W117" i="44" s="1"/>
  <c r="X117" i="44" s="1"/>
  <c r="Y117" i="44" s="1"/>
  <c r="Z117" i="44" s="1"/>
  <c r="AA117" i="44" s="1"/>
  <c r="AB117" i="44" s="1"/>
  <c r="AC117" i="44" s="1"/>
  <c r="AD117" i="44" s="1"/>
  <c r="AE117" i="44" s="1"/>
  <c r="AF117" i="44" s="1"/>
  <c r="AG117" i="44" s="1"/>
  <c r="AH117" i="44" s="1"/>
  <c r="AI117" i="44" s="1"/>
  <c r="AJ117" i="44" s="1"/>
  <c r="AK117" i="44" s="1"/>
  <c r="AL117" i="44" s="1"/>
  <c r="Y102" i="44"/>
  <c r="Z102" i="44" s="1"/>
  <c r="AA102" i="44" s="1"/>
  <c r="AB102" i="44" s="1"/>
  <c r="AC102" i="44" s="1"/>
  <c r="AD102" i="44" s="1"/>
  <c r="AE102" i="44" s="1"/>
  <c r="AF102" i="44" s="1"/>
  <c r="L102" i="44" s="1"/>
  <c r="H308" i="36" s="1"/>
  <c r="L51" i="44"/>
  <c r="H375" i="36" s="1"/>
  <c r="L62" i="44"/>
  <c r="H358" i="36" s="1"/>
  <c r="Q88" i="44"/>
  <c r="R88" i="44" s="1"/>
  <c r="S88" i="44" s="1"/>
  <c r="T88" i="44" s="1"/>
  <c r="U88" i="44" s="1"/>
  <c r="V88" i="44" s="1"/>
  <c r="W88" i="44" s="1"/>
  <c r="X88" i="44" s="1"/>
  <c r="Y88" i="44" s="1"/>
  <c r="Z88" i="44" s="1"/>
  <c r="AA88" i="44" s="1"/>
  <c r="AB88" i="44" s="1"/>
  <c r="AC88" i="44" s="1"/>
  <c r="AD88" i="44" s="1"/>
  <c r="AE88" i="44" s="1"/>
  <c r="AF88" i="44" s="1"/>
  <c r="P76" i="44"/>
  <c r="Q76" i="44" s="1"/>
  <c r="R76" i="44" s="1"/>
  <c r="S76" i="44" s="1"/>
  <c r="T76" i="44" s="1"/>
  <c r="U76" i="44" s="1"/>
  <c r="V76" i="44" s="1"/>
  <c r="W76" i="44" s="1"/>
  <c r="X76" i="44" s="1"/>
  <c r="Y76" i="44" s="1"/>
  <c r="Z76" i="44" s="1"/>
  <c r="AA76" i="44" s="1"/>
  <c r="AB76" i="44" s="1"/>
  <c r="L43" i="44"/>
  <c r="H317" i="36" s="1"/>
  <c r="L49" i="44"/>
  <c r="H318" i="36" s="1"/>
  <c r="Q93" i="44"/>
  <c r="R93" i="44" s="1"/>
  <c r="S93" i="44" s="1"/>
  <c r="T93" i="44" s="1"/>
  <c r="U93" i="44" s="1"/>
  <c r="V93" i="44" s="1"/>
  <c r="W93" i="44" s="1"/>
  <c r="X93" i="44" s="1"/>
  <c r="Y93" i="44" s="1"/>
  <c r="Z93" i="44" s="1"/>
  <c r="AA93" i="44" s="1"/>
  <c r="AB93" i="44" s="1"/>
  <c r="AC93" i="44" s="1"/>
  <c r="AD93" i="44" s="1"/>
  <c r="AE93" i="44" s="1"/>
  <c r="AF93" i="44" s="1"/>
  <c r="L97" i="44"/>
  <c r="H326" i="36" s="1"/>
  <c r="L104" i="44"/>
  <c r="H365" i="36" s="1"/>
  <c r="L111" i="44"/>
  <c r="H385" i="36" s="1"/>
  <c r="L115" i="44"/>
  <c r="H329" i="36" s="1"/>
  <c r="L34" i="44"/>
  <c r="H334" i="36" s="1"/>
  <c r="R81" i="44"/>
  <c r="S81" i="44" s="1"/>
  <c r="T81" i="44" s="1"/>
  <c r="U81" i="44" s="1"/>
  <c r="V81" i="44" s="1"/>
  <c r="W81" i="44" s="1"/>
  <c r="X81" i="44" s="1"/>
  <c r="Y81" i="44" s="1"/>
  <c r="Z81" i="44" s="1"/>
  <c r="AA81" i="44" s="1"/>
  <c r="AB81" i="44" s="1"/>
  <c r="Y30" i="44"/>
  <c r="Z30" i="44" s="1"/>
  <c r="L60" i="44"/>
  <c r="H301" i="36" s="1"/>
  <c r="L70" i="44"/>
  <c r="H340" i="36" s="1"/>
  <c r="L100" i="44"/>
  <c r="H345" i="36" s="1"/>
  <c r="Q118" i="44"/>
  <c r="R118" i="44" s="1"/>
  <c r="S118" i="44" s="1"/>
  <c r="T118" i="44" s="1"/>
  <c r="U118" i="44" s="1"/>
  <c r="V118" i="44" s="1"/>
  <c r="W118" i="44" s="1"/>
  <c r="X118" i="44" s="1"/>
  <c r="Y118" i="44" s="1"/>
  <c r="Z118" i="44" s="1"/>
  <c r="AA118" i="44" s="1"/>
  <c r="AB118" i="44" s="1"/>
  <c r="AC118" i="44" s="1"/>
  <c r="AD118" i="44" s="1"/>
  <c r="AE118" i="44" s="1"/>
  <c r="AF118" i="44" s="1"/>
  <c r="AG118" i="44" s="1"/>
  <c r="AH118" i="44" s="1"/>
  <c r="AI118" i="44" s="1"/>
  <c r="AJ118" i="44" s="1"/>
  <c r="AK118" i="44" s="1"/>
  <c r="AL118" i="44" s="1"/>
  <c r="AM118" i="44" s="1"/>
  <c r="L33" i="44"/>
  <c r="H372" i="36" s="1"/>
  <c r="L57" i="44"/>
  <c r="H376" i="36" s="1"/>
  <c r="Y90" i="44"/>
  <c r="Z90" i="44" s="1"/>
  <c r="AA90" i="44" s="1"/>
  <c r="AB90" i="44" s="1"/>
  <c r="AC90" i="44" s="1"/>
  <c r="L38" i="44"/>
  <c r="H354" i="36" s="1"/>
  <c r="AA79" i="44"/>
  <c r="L79" i="44" s="1"/>
  <c r="H323" i="36" s="1"/>
  <c r="AE86" i="44"/>
  <c r="AF86" i="44" s="1"/>
  <c r="AG86" i="44" s="1"/>
  <c r="AH86" i="44" s="1"/>
  <c r="L105" i="44"/>
  <c r="H384" i="36" s="1"/>
  <c r="Q112" i="44"/>
  <c r="R112" i="44" s="1"/>
  <c r="S112" i="44" s="1"/>
  <c r="T112" i="44" s="1"/>
  <c r="U112" i="44" s="1"/>
  <c r="V112" i="44" s="1"/>
  <c r="W112" i="44" s="1"/>
  <c r="X112" i="44" s="1"/>
  <c r="Y112" i="44" s="1"/>
  <c r="Z112" i="44" s="1"/>
  <c r="AA112" i="44" s="1"/>
  <c r="AB112" i="44" s="1"/>
  <c r="AC112" i="44" s="1"/>
  <c r="AD112" i="44" s="1"/>
  <c r="AE112" i="44" s="1"/>
  <c r="AF112" i="44" s="1"/>
  <c r="AG112" i="44" s="1"/>
  <c r="AH112" i="44" s="1"/>
  <c r="AI112" i="44" s="1"/>
  <c r="AJ112" i="44" s="1"/>
  <c r="AK112" i="44" s="1"/>
  <c r="AL112" i="44" s="1"/>
  <c r="L116" i="44"/>
  <c r="H367" i="36" s="1"/>
  <c r="L94" i="44"/>
  <c r="H344" i="36" s="1"/>
  <c r="L50" i="44"/>
  <c r="H356" i="36" s="1"/>
  <c r="L55" i="44"/>
  <c r="H319" i="36" s="1"/>
  <c r="L61" i="44"/>
  <c r="H320" i="36" s="1"/>
  <c r="S63" i="44"/>
  <c r="T63" i="44" s="1"/>
  <c r="U63" i="44" s="1"/>
  <c r="V63" i="44" s="1"/>
  <c r="W63" i="44" s="1"/>
  <c r="X63" i="44" s="1"/>
  <c r="Y63" i="44" s="1"/>
  <c r="Z63" i="44" s="1"/>
  <c r="AA63" i="44" s="1"/>
  <c r="AB63" i="44" s="1"/>
  <c r="AC63" i="44" s="1"/>
  <c r="AD63" i="44" s="1"/>
  <c r="AE63" i="44" s="1"/>
  <c r="AF63" i="44" s="1"/>
  <c r="AG63" i="44" s="1"/>
  <c r="AH63" i="44" s="1"/>
  <c r="AI63" i="44" s="1"/>
  <c r="AJ63" i="44" s="1"/>
  <c r="AK63" i="44" s="1"/>
  <c r="R75" i="44"/>
  <c r="S75" i="44" s="1"/>
  <c r="T75" i="44" s="1"/>
  <c r="U75" i="44" s="1"/>
  <c r="V75" i="44" s="1"/>
  <c r="W75" i="44" s="1"/>
  <c r="X75" i="44" s="1"/>
  <c r="Y75" i="44" s="1"/>
  <c r="Z75" i="44" s="1"/>
  <c r="L73" i="44"/>
  <c r="H322" i="36" s="1"/>
  <c r="L82" i="44"/>
  <c r="H342" i="36" s="1"/>
  <c r="L52" i="44"/>
  <c r="H337" i="36" s="1"/>
  <c r="L99" i="44"/>
  <c r="H383" i="36" s="1"/>
  <c r="L78" i="44"/>
  <c r="H304" i="36" s="1"/>
  <c r="L92" i="44"/>
  <c r="H363" i="36" s="1"/>
  <c r="L98" i="44"/>
  <c r="H364" i="36" s="1"/>
  <c r="L87" i="44"/>
  <c r="H381" i="36" s="1"/>
  <c r="L91" i="44"/>
  <c r="H325" i="36" s="1"/>
  <c r="L106" i="44"/>
  <c r="H346" i="36" s="1"/>
  <c r="L108" i="44"/>
  <c r="H309" i="36" s="1"/>
  <c r="L109" i="44"/>
  <c r="H328" i="36" s="1"/>
  <c r="AA57" i="45"/>
  <c r="AB57" i="45" s="1"/>
  <c r="AC57" i="45" s="1"/>
  <c r="AD57" i="45" s="1"/>
  <c r="AE57" i="45" s="1"/>
  <c r="AF57" i="45" s="1"/>
  <c r="AG57" i="45" s="1"/>
  <c r="AH57" i="45" s="1"/>
  <c r="AI57" i="45" s="1"/>
  <c r="R15" i="45"/>
  <c r="S15" i="45" s="1"/>
  <c r="T15" i="45" s="1"/>
  <c r="U15" i="45" s="1"/>
  <c r="V15" i="45" s="1"/>
  <c r="W15" i="45" s="1"/>
  <c r="X15" i="45" s="1"/>
  <c r="Y15" i="45" s="1"/>
  <c r="R9" i="45"/>
  <c r="S9" i="45" s="1"/>
  <c r="T9" i="45" s="1"/>
  <c r="U9" i="45" s="1"/>
  <c r="V9" i="45" s="1"/>
  <c r="W9" i="45" s="1"/>
  <c r="R16" i="45"/>
  <c r="S16" i="45" s="1"/>
  <c r="T16" i="45" s="1"/>
  <c r="U16" i="45" s="1"/>
  <c r="V16" i="45" s="1"/>
  <c r="W16" i="45" s="1"/>
  <c r="X16" i="45" s="1"/>
  <c r="Y16" i="45" s="1"/>
  <c r="Z16" i="45" s="1"/>
  <c r="R28" i="45"/>
  <c r="S28" i="45" s="1"/>
  <c r="T28" i="45" s="1"/>
  <c r="U28" i="45" s="1"/>
  <c r="V28" i="45" s="1"/>
  <c r="W28" i="45" s="1"/>
  <c r="X28" i="45" s="1"/>
  <c r="Y28" i="45" s="1"/>
  <c r="Z28" i="45" s="1"/>
  <c r="AA28" i="45" s="1"/>
  <c r="AB28" i="45" s="1"/>
  <c r="R112" i="45"/>
  <c r="S112" i="45" s="1"/>
  <c r="T112" i="45" s="1"/>
  <c r="U112" i="45" s="1"/>
  <c r="V112" i="45" s="1"/>
  <c r="W112" i="45" s="1"/>
  <c r="X112" i="45" s="1"/>
  <c r="Y112" i="45" s="1"/>
  <c r="Z112" i="45" s="1"/>
  <c r="AA112" i="45" s="1"/>
  <c r="AB112" i="45" s="1"/>
  <c r="AC112" i="45" s="1"/>
  <c r="AD112" i="45" s="1"/>
  <c r="AE112" i="45" s="1"/>
  <c r="AF112" i="45" s="1"/>
  <c r="AG112" i="45" s="1"/>
  <c r="AH112" i="45" s="1"/>
  <c r="AI112" i="45" s="1"/>
  <c r="AJ112" i="45" s="1"/>
  <c r="AK112" i="45" s="1"/>
  <c r="X54" i="45"/>
  <c r="Y54" i="45" s="1"/>
  <c r="Z54" i="45" s="1"/>
  <c r="AA54" i="45" s="1"/>
  <c r="AB54" i="45" s="1"/>
  <c r="AC54" i="45" s="1"/>
  <c r="AD54" i="45" s="1"/>
  <c r="AE54" i="45" s="1"/>
  <c r="AF54" i="45" s="1"/>
  <c r="Q99" i="45"/>
  <c r="R99" i="45" s="1"/>
  <c r="S99" i="45" s="1"/>
  <c r="T99" i="45" s="1"/>
  <c r="U99" i="45" s="1"/>
  <c r="V99" i="45" s="1"/>
  <c r="W99" i="45" s="1"/>
  <c r="X99" i="45" s="1"/>
  <c r="Y99" i="45" s="1"/>
  <c r="Z99" i="45" s="1"/>
  <c r="AA99" i="45" s="1"/>
  <c r="AB99" i="45" s="1"/>
  <c r="AC99" i="45" s="1"/>
  <c r="AD99" i="45" s="1"/>
  <c r="AE99" i="45" s="1"/>
  <c r="AF99" i="45" s="1"/>
  <c r="L25" i="45"/>
  <c r="Y48" i="45"/>
  <c r="Z48" i="45" s="1"/>
  <c r="AA48" i="45" s="1"/>
  <c r="AB48" i="45" s="1"/>
  <c r="AC48" i="45" s="1"/>
  <c r="AD48" i="45" s="1"/>
  <c r="AE92" i="45"/>
  <c r="AF92" i="45" s="1"/>
  <c r="AG92" i="45" s="1"/>
  <c r="AH92" i="45" s="1"/>
  <c r="AF104" i="45"/>
  <c r="AG104" i="45" s="1"/>
  <c r="AH104" i="45" s="1"/>
  <c r="AI104" i="45" s="1"/>
  <c r="AJ104" i="45" s="1"/>
  <c r="AK104" i="45" s="1"/>
  <c r="L104" i="45" s="1"/>
  <c r="X109" i="45"/>
  <c r="Y109" i="45" s="1"/>
  <c r="Z109" i="45" s="1"/>
  <c r="AA109" i="45" s="1"/>
  <c r="AB109" i="45" s="1"/>
  <c r="AC109" i="45" s="1"/>
  <c r="AD109" i="45" s="1"/>
  <c r="AE109" i="45" s="1"/>
  <c r="AF109" i="45" s="1"/>
  <c r="AG109" i="45" s="1"/>
  <c r="AH109" i="45" s="1"/>
  <c r="X108" i="45"/>
  <c r="Y108" i="45" s="1"/>
  <c r="Z108" i="45" s="1"/>
  <c r="AA108" i="45" s="1"/>
  <c r="AB108" i="45" s="1"/>
  <c r="AC108" i="45" s="1"/>
  <c r="AD108" i="45" s="1"/>
  <c r="AE108" i="45" s="1"/>
  <c r="AF108" i="45" s="1"/>
  <c r="X55" i="45"/>
  <c r="Y55" i="45" s="1"/>
  <c r="Z55" i="45" s="1"/>
  <c r="AA55" i="45" s="1"/>
  <c r="AB55" i="45" s="1"/>
  <c r="AC55" i="45" s="1"/>
  <c r="AD55" i="45" s="1"/>
  <c r="AE55" i="45" s="1"/>
  <c r="AF55" i="45" s="1"/>
  <c r="AG55" i="45" s="1"/>
  <c r="Y85" i="45"/>
  <c r="Z85" i="45" s="1"/>
  <c r="AA85" i="45" s="1"/>
  <c r="AB85" i="45" s="1"/>
  <c r="Y96" i="45"/>
  <c r="Z96" i="45" s="1"/>
  <c r="AA96" i="45" s="1"/>
  <c r="AB96" i="45" s="1"/>
  <c r="AC96" i="45" s="1"/>
  <c r="AD96" i="45" s="1"/>
  <c r="L42" i="45"/>
  <c r="Q100" i="45"/>
  <c r="R100" i="45" s="1"/>
  <c r="S100" i="45" s="1"/>
  <c r="T100" i="45" s="1"/>
  <c r="U100" i="45" s="1"/>
  <c r="V100" i="45" s="1"/>
  <c r="W100" i="45" s="1"/>
  <c r="X100" i="45" s="1"/>
  <c r="Y100" i="45" s="1"/>
  <c r="Z100" i="45" s="1"/>
  <c r="AA100" i="45" s="1"/>
  <c r="AB100" i="45" s="1"/>
  <c r="AC100" i="45" s="1"/>
  <c r="AD100" i="45" s="1"/>
  <c r="AE100" i="45" s="1"/>
  <c r="AF100" i="45" s="1"/>
  <c r="AG100" i="45" s="1"/>
  <c r="AH100" i="45" s="1"/>
  <c r="L117" i="45"/>
  <c r="L39" i="45"/>
  <c r="L56" i="45"/>
  <c r="X60" i="45"/>
  <c r="Y60" i="45" s="1"/>
  <c r="Z60" i="45" s="1"/>
  <c r="AA60" i="45" s="1"/>
  <c r="AB60" i="45" s="1"/>
  <c r="AC60" i="45" s="1"/>
  <c r="AD60" i="45" s="1"/>
  <c r="AE60" i="45" s="1"/>
  <c r="AF60" i="45" s="1"/>
  <c r="AG60" i="45" s="1"/>
  <c r="R105" i="45"/>
  <c r="S105" i="45" s="1"/>
  <c r="T105" i="45" s="1"/>
  <c r="U105" i="45" s="1"/>
  <c r="V105" i="45" s="1"/>
  <c r="W105" i="45" s="1"/>
  <c r="X105" i="45" s="1"/>
  <c r="Y105" i="45" s="1"/>
  <c r="Z105" i="45" s="1"/>
  <c r="AA105" i="45" s="1"/>
  <c r="AB105" i="45" s="1"/>
  <c r="AC105" i="45" s="1"/>
  <c r="AD105" i="45" s="1"/>
  <c r="AE105" i="45" s="1"/>
  <c r="AF105" i="45" s="1"/>
  <c r="AG105" i="45" s="1"/>
  <c r="AH105" i="45" s="1"/>
  <c r="AF110" i="45"/>
  <c r="AG110" i="45" s="1"/>
  <c r="AH110" i="45" s="1"/>
  <c r="AI110" i="45" s="1"/>
  <c r="AJ110" i="45" s="1"/>
  <c r="AK110" i="45" s="1"/>
  <c r="AL110" i="45" s="1"/>
  <c r="AM110" i="45" s="1"/>
  <c r="P46" i="45"/>
  <c r="Q46" i="45" s="1"/>
  <c r="R46" i="45" s="1"/>
  <c r="S46" i="45" s="1"/>
  <c r="T46" i="45" s="1"/>
  <c r="U46" i="45" s="1"/>
  <c r="V46" i="45" s="1"/>
  <c r="W46" i="45" s="1"/>
  <c r="X46" i="45" s="1"/>
  <c r="Y46" i="45" s="1"/>
  <c r="Z46" i="45" s="1"/>
  <c r="AA46" i="45" s="1"/>
  <c r="AB46" i="45" s="1"/>
  <c r="AC46" i="45" s="1"/>
  <c r="AD46" i="45" s="1"/>
  <c r="AE46" i="45" s="1"/>
  <c r="AF46" i="45" s="1"/>
  <c r="AG46" i="45" s="1"/>
  <c r="AH46" i="45" s="1"/>
  <c r="AD26" i="45"/>
  <c r="L26" i="45" s="1"/>
  <c r="L30" i="45"/>
  <c r="Q33" i="45"/>
  <c r="R33" i="45" s="1"/>
  <c r="S33" i="45" s="1"/>
  <c r="T33" i="45" s="1"/>
  <c r="U33" i="45" s="1"/>
  <c r="V33" i="45" s="1"/>
  <c r="W33" i="45" s="1"/>
  <c r="X33" i="45" s="1"/>
  <c r="Y33" i="45" s="1"/>
  <c r="Z33" i="45" s="1"/>
  <c r="AA33" i="45" s="1"/>
  <c r="X43" i="45"/>
  <c r="Y43" i="45" s="1"/>
  <c r="Z43" i="45" s="1"/>
  <c r="AA43" i="45" s="1"/>
  <c r="AB43" i="45" s="1"/>
  <c r="AC43" i="45" s="1"/>
  <c r="AD43" i="45" s="1"/>
  <c r="L61" i="45"/>
  <c r="L34" i="45"/>
  <c r="P52" i="45"/>
  <c r="Q52" i="45" s="1"/>
  <c r="R52" i="45" s="1"/>
  <c r="S52" i="45" s="1"/>
  <c r="T52" i="45" s="1"/>
  <c r="U52" i="45" s="1"/>
  <c r="V52" i="45" s="1"/>
  <c r="W52" i="45" s="1"/>
  <c r="X52" i="45" s="1"/>
  <c r="Y52" i="45" s="1"/>
  <c r="Z52" i="45" s="1"/>
  <c r="AA52" i="45" s="1"/>
  <c r="AB52" i="45" s="1"/>
  <c r="AC52" i="45" s="1"/>
  <c r="AD52" i="45" s="1"/>
  <c r="AE52" i="45" s="1"/>
  <c r="AF52" i="45" s="1"/>
  <c r="AG52" i="45" s="1"/>
  <c r="AH52" i="45" s="1"/>
  <c r="AI52" i="45" s="1"/>
  <c r="P106" i="45"/>
  <c r="Q106" i="45" s="1"/>
  <c r="R106" i="45" s="1"/>
  <c r="S106" i="45" s="1"/>
  <c r="T106" i="45" s="1"/>
  <c r="U106" i="45" s="1"/>
  <c r="V106" i="45" s="1"/>
  <c r="W106" i="45" s="1"/>
  <c r="X106" i="45" s="1"/>
  <c r="Y106" i="45" s="1"/>
  <c r="Z106" i="45" s="1"/>
  <c r="AA106" i="45" s="1"/>
  <c r="AB106" i="45" s="1"/>
  <c r="AC106" i="45" s="1"/>
  <c r="AD106" i="45" s="1"/>
  <c r="AE106" i="45" s="1"/>
  <c r="AF106" i="45" s="1"/>
  <c r="AG106" i="45" s="1"/>
  <c r="AH106" i="45" s="1"/>
  <c r="AI106" i="45" s="1"/>
  <c r="L118" i="45"/>
  <c r="X36" i="45"/>
  <c r="Y36" i="45" s="1"/>
  <c r="Z36" i="45" s="1"/>
  <c r="L58" i="45"/>
  <c r="P27" i="45"/>
  <c r="Q27" i="45" s="1"/>
  <c r="R27" i="45" s="1"/>
  <c r="S27" i="45" s="1"/>
  <c r="T27" i="45" s="1"/>
  <c r="U27" i="45" s="1"/>
  <c r="V27" i="45" s="1"/>
  <c r="W27" i="45" s="1"/>
  <c r="X27" i="45" s="1"/>
  <c r="Y27" i="45" s="1"/>
  <c r="Z27" i="45" s="1"/>
  <c r="AA27" i="45" s="1"/>
  <c r="Q87" i="45"/>
  <c r="R87" i="45" s="1"/>
  <c r="S87" i="45" s="1"/>
  <c r="T87" i="45" s="1"/>
  <c r="U87" i="45" s="1"/>
  <c r="V87" i="45" s="1"/>
  <c r="W87" i="45" s="1"/>
  <c r="X87" i="45" s="1"/>
  <c r="Y87" i="45" s="1"/>
  <c r="Z87" i="45" s="1"/>
  <c r="AA87" i="45" s="1"/>
  <c r="AB87" i="45" s="1"/>
  <c r="L87" i="45" s="1"/>
  <c r="P94" i="45"/>
  <c r="Q94" i="45" s="1"/>
  <c r="R94" i="45" s="1"/>
  <c r="S94" i="45" s="1"/>
  <c r="T94" i="45" s="1"/>
  <c r="U94" i="45" s="1"/>
  <c r="V94" i="45" s="1"/>
  <c r="W94" i="45" s="1"/>
  <c r="X94" i="45" s="1"/>
  <c r="Y94" i="45" s="1"/>
  <c r="Z94" i="45" s="1"/>
  <c r="AA94" i="45" s="1"/>
  <c r="AB94" i="45" s="1"/>
  <c r="AC94" i="45" s="1"/>
  <c r="AD94" i="45" s="1"/>
  <c r="AE94" i="45" s="1"/>
  <c r="AF94" i="45" s="1"/>
  <c r="L10" i="45"/>
  <c r="X31" i="45"/>
  <c r="Y31" i="45" s="1"/>
  <c r="Z31" i="45" s="1"/>
  <c r="L37" i="45"/>
  <c r="L70" i="45"/>
  <c r="Z103" i="45"/>
  <c r="AA103" i="45" s="1"/>
  <c r="AB103" i="45" s="1"/>
  <c r="AC103" i="45" s="1"/>
  <c r="AD103" i="45" s="1"/>
  <c r="AE103" i="45" s="1"/>
  <c r="AF103" i="45" s="1"/>
  <c r="L32" i="45"/>
  <c r="L45" i="45"/>
  <c r="L79" i="45"/>
  <c r="L81" i="45"/>
  <c r="L86" i="45"/>
  <c r="L102" i="45"/>
  <c r="L111" i="45"/>
  <c r="L114" i="45"/>
  <c r="L51" i="45"/>
  <c r="L62" i="45"/>
  <c r="L88" i="45"/>
  <c r="L40" i="45"/>
  <c r="L49" i="45"/>
  <c r="L50" i="45"/>
  <c r="L69" i="45"/>
  <c r="L115" i="45"/>
  <c r="L76" i="45"/>
  <c r="L82" i="45"/>
  <c r="L38" i="45"/>
  <c r="L44" i="45"/>
  <c r="L63" i="45"/>
  <c r="L64" i="45"/>
  <c r="L98" i="45"/>
  <c r="L116" i="45"/>
  <c r="L73" i="45"/>
  <c r="L80" i="45"/>
  <c r="L91" i="45"/>
  <c r="L97" i="45"/>
  <c r="AE119" i="42"/>
  <c r="AF119" i="42" s="1"/>
  <c r="AE118" i="42"/>
  <c r="AF118" i="42" s="1"/>
  <c r="N117" i="42"/>
  <c r="O117" i="42" s="1"/>
  <c r="Y116" i="42"/>
  <c r="Z116" i="42" s="1"/>
  <c r="Y115" i="42"/>
  <c r="Z115" i="42" s="1"/>
  <c r="AA115" i="42" s="1"/>
  <c r="AB115" i="42" s="1"/>
  <c r="AC115" i="42" s="1"/>
  <c r="AD115" i="42" s="1"/>
  <c r="AE115" i="42" s="1"/>
  <c r="AF115" i="42" s="1"/>
  <c r="AG115" i="42" s="1"/>
  <c r="AH115" i="42" s="1"/>
  <c r="AI115" i="42" s="1"/>
  <c r="AJ115" i="42" s="1"/>
  <c r="AK115" i="42" s="1"/>
  <c r="AL115" i="42" s="1"/>
  <c r="AE113" i="42"/>
  <c r="AF113" i="42" s="1"/>
  <c r="AG113" i="42" s="1"/>
  <c r="AH113" i="42" s="1"/>
  <c r="AI113" i="42" s="1"/>
  <c r="AJ113" i="42" s="1"/>
  <c r="AK113" i="42" s="1"/>
  <c r="AL113" i="42" s="1"/>
  <c r="AM113" i="42" s="1"/>
  <c r="AN113" i="42" s="1"/>
  <c r="AO113" i="42" s="1"/>
  <c r="AP113" i="42" s="1"/>
  <c r="AQ113" i="42" s="1"/>
  <c r="AR113" i="42" s="1"/>
  <c r="AS113" i="42" s="1"/>
  <c r="AT113" i="42" s="1"/>
  <c r="AU113" i="42" s="1"/>
  <c r="AV113" i="42" s="1"/>
  <c r="AW113" i="42" s="1"/>
  <c r="AX113" i="42" s="1"/>
  <c r="AY113" i="42" s="1"/>
  <c r="AZ113" i="42" s="1"/>
  <c r="BA113" i="42" s="1"/>
  <c r="BB113" i="42" s="1"/>
  <c r="BC113" i="42" s="1"/>
  <c r="BD113" i="42" s="1"/>
  <c r="AE112" i="42"/>
  <c r="AF112" i="42" s="1"/>
  <c r="AG112" i="42" s="1"/>
  <c r="AH112" i="42" s="1"/>
  <c r="AI112" i="42" s="1"/>
  <c r="AJ112" i="42" s="1"/>
  <c r="AK112" i="42" s="1"/>
  <c r="AL112" i="42" s="1"/>
  <c r="AM112" i="42" s="1"/>
  <c r="AN112" i="42" s="1"/>
  <c r="AO112" i="42" s="1"/>
  <c r="AP112" i="42" s="1"/>
  <c r="N111" i="42"/>
  <c r="O111" i="42" s="1"/>
  <c r="P111" i="42" s="1"/>
  <c r="Y110" i="42"/>
  <c r="Z110" i="42" s="1"/>
  <c r="AA110" i="42" s="1"/>
  <c r="AB110" i="42" s="1"/>
  <c r="AC110" i="42" s="1"/>
  <c r="AD110" i="42" s="1"/>
  <c r="AE110" i="42" s="1"/>
  <c r="AF110" i="42" s="1"/>
  <c r="AG110" i="42" s="1"/>
  <c r="AH110" i="42" s="1"/>
  <c r="AI110" i="42" s="1"/>
  <c r="AJ110" i="42" s="1"/>
  <c r="AK110" i="42" s="1"/>
  <c r="AL110" i="42" s="1"/>
  <c r="Y109" i="42"/>
  <c r="Z109" i="42" s="1"/>
  <c r="AA109" i="42" s="1"/>
  <c r="AB109" i="42" s="1"/>
  <c r="AC109" i="42" s="1"/>
  <c r="AD109" i="42" s="1"/>
  <c r="AE109" i="42" s="1"/>
  <c r="AF109" i="42" s="1"/>
  <c r="AG109" i="42" s="1"/>
  <c r="AH109" i="42" s="1"/>
  <c r="AI109" i="42" s="1"/>
  <c r="AJ109" i="42" s="1"/>
  <c r="AE107" i="42"/>
  <c r="AF107" i="42" s="1"/>
  <c r="AG107" i="42" s="1"/>
  <c r="AH107" i="42" s="1"/>
  <c r="AI107" i="42" s="1"/>
  <c r="AJ107" i="42" s="1"/>
  <c r="AK107" i="42" s="1"/>
  <c r="AL107" i="42" s="1"/>
  <c r="AM107" i="42" s="1"/>
  <c r="AN107" i="42" s="1"/>
  <c r="AO107" i="42" s="1"/>
  <c r="AP107" i="42" s="1"/>
  <c r="AE106" i="42"/>
  <c r="N105" i="42"/>
  <c r="O105" i="42" s="1"/>
  <c r="P105" i="42" s="1"/>
  <c r="Q105" i="42" s="1"/>
  <c r="R105" i="42" s="1"/>
  <c r="S105" i="42" s="1"/>
  <c r="T105" i="42" s="1"/>
  <c r="U105" i="42" s="1"/>
  <c r="V105" i="42" s="1"/>
  <c r="W105" i="42" s="1"/>
  <c r="X105" i="42" s="1"/>
  <c r="Y105" i="42" s="1"/>
  <c r="Z105" i="42" s="1"/>
  <c r="AA105" i="42" s="1"/>
  <c r="AB105" i="42" s="1"/>
  <c r="AC105" i="42" s="1"/>
  <c r="AD105" i="42" s="1"/>
  <c r="AE105" i="42" s="1"/>
  <c r="AF105" i="42" s="1"/>
  <c r="AG105" i="42" s="1"/>
  <c r="AH105" i="42" s="1"/>
  <c r="AI105" i="42" s="1"/>
  <c r="AJ105" i="42" s="1"/>
  <c r="AK105" i="42" s="1"/>
  <c r="AL105" i="42" s="1"/>
  <c r="AM105" i="42" s="1"/>
  <c r="Y104" i="42"/>
  <c r="Z104" i="42" s="1"/>
  <c r="AA104" i="42" s="1"/>
  <c r="AB104" i="42" s="1"/>
  <c r="AC104" i="42" s="1"/>
  <c r="AD104" i="42" s="1"/>
  <c r="AE104" i="42" s="1"/>
  <c r="AF104" i="42" s="1"/>
  <c r="AG104" i="42" s="1"/>
  <c r="AH104" i="42" s="1"/>
  <c r="AI104" i="42" s="1"/>
  <c r="AJ104" i="42" s="1"/>
  <c r="Y103" i="42"/>
  <c r="Z103" i="42" s="1"/>
  <c r="AA103" i="42" s="1"/>
  <c r="AE101" i="42"/>
  <c r="AF101" i="42" s="1"/>
  <c r="AG101" i="42" s="1"/>
  <c r="AH101" i="42" s="1"/>
  <c r="AI101" i="42" s="1"/>
  <c r="AJ101" i="42" s="1"/>
  <c r="AK101" i="42" s="1"/>
  <c r="AL101" i="42" s="1"/>
  <c r="AM101" i="42" s="1"/>
  <c r="AN101" i="42" s="1"/>
  <c r="AO101" i="42" s="1"/>
  <c r="AP101" i="42" s="1"/>
  <c r="AQ101" i="42" s="1"/>
  <c r="AR101" i="42" s="1"/>
  <c r="AS101" i="42" s="1"/>
  <c r="AT101" i="42" s="1"/>
  <c r="AU101" i="42" s="1"/>
  <c r="AV101" i="42" s="1"/>
  <c r="AW101" i="42" s="1"/>
  <c r="AX101" i="42" s="1"/>
  <c r="AY101" i="42" s="1"/>
  <c r="AZ101" i="42" s="1"/>
  <c r="AE100" i="42"/>
  <c r="AF100" i="42" s="1"/>
  <c r="AG100" i="42" s="1"/>
  <c r="N99" i="42"/>
  <c r="O99" i="42" s="1"/>
  <c r="P99" i="42" s="1"/>
  <c r="Q99" i="42" s="1"/>
  <c r="R99" i="42" s="1"/>
  <c r="S99" i="42" s="1"/>
  <c r="T99" i="42" s="1"/>
  <c r="U99" i="42" s="1"/>
  <c r="V99" i="42" s="1"/>
  <c r="W99" i="42" s="1"/>
  <c r="X99" i="42" s="1"/>
  <c r="Y99" i="42" s="1"/>
  <c r="Z99" i="42" s="1"/>
  <c r="AA99" i="42" s="1"/>
  <c r="AB99" i="42" s="1"/>
  <c r="AC99" i="42" s="1"/>
  <c r="AD99" i="42" s="1"/>
  <c r="AE99" i="42" s="1"/>
  <c r="AF99" i="42" s="1"/>
  <c r="AG99" i="42" s="1"/>
  <c r="AH99" i="42" s="1"/>
  <c r="AI99" i="42" s="1"/>
  <c r="AJ99" i="42" s="1"/>
  <c r="AK99" i="42" s="1"/>
  <c r="Y98" i="42"/>
  <c r="Z98" i="42" s="1"/>
  <c r="AA98" i="42" s="1"/>
  <c r="AB98" i="42" s="1"/>
  <c r="AC98" i="42" s="1"/>
  <c r="AD98" i="42" s="1"/>
  <c r="AE98" i="42" s="1"/>
  <c r="AF98" i="42" s="1"/>
  <c r="AG98" i="42" s="1"/>
  <c r="AH98" i="42" s="1"/>
  <c r="AI98" i="42" s="1"/>
  <c r="Y97" i="42"/>
  <c r="Z97" i="42" s="1"/>
  <c r="AA97" i="42" s="1"/>
  <c r="AB97" i="42" s="1"/>
  <c r="AC97" i="42" s="1"/>
  <c r="AD97" i="42" s="1"/>
  <c r="AE97" i="42" s="1"/>
  <c r="AF97" i="42" s="1"/>
  <c r="AG97" i="42" s="1"/>
  <c r="AE95" i="42"/>
  <c r="AF95" i="42" s="1"/>
  <c r="AE94" i="42"/>
  <c r="AF94" i="42" s="1"/>
  <c r="AG94" i="42" s="1"/>
  <c r="N93" i="42"/>
  <c r="O93" i="42" s="1"/>
  <c r="P93" i="42" s="1"/>
  <c r="Y92" i="42"/>
  <c r="Z92" i="42" s="1"/>
  <c r="AA92" i="42" s="1"/>
  <c r="AB92" i="42" s="1"/>
  <c r="AC92" i="42" s="1"/>
  <c r="AD92" i="42" s="1"/>
  <c r="AE92" i="42" s="1"/>
  <c r="AF92" i="42" s="1"/>
  <c r="AG92" i="42" s="1"/>
  <c r="Y91" i="42"/>
  <c r="Z91" i="42" s="1"/>
  <c r="AE89" i="42"/>
  <c r="AE88" i="42"/>
  <c r="AF88" i="42" s="1"/>
  <c r="AG88" i="42" s="1"/>
  <c r="N87" i="42"/>
  <c r="O87" i="42" s="1"/>
  <c r="Y86" i="42"/>
  <c r="Z86" i="42" s="1"/>
  <c r="AA86" i="42" s="1"/>
  <c r="AB86" i="42" s="1"/>
  <c r="AC86" i="42" s="1"/>
  <c r="AD86" i="42" s="1"/>
  <c r="AE86" i="42" s="1"/>
  <c r="Y85" i="42"/>
  <c r="Z85" i="42" s="1"/>
  <c r="AE83" i="42"/>
  <c r="AF83" i="42" s="1"/>
  <c r="AG83" i="42" s="1"/>
  <c r="AH83" i="42" s="1"/>
  <c r="AI83" i="42" s="1"/>
  <c r="AJ83" i="42" s="1"/>
  <c r="AK83" i="42" s="1"/>
  <c r="AL83" i="42" s="1"/>
  <c r="AM83" i="42" s="1"/>
  <c r="AN83" i="42" s="1"/>
  <c r="AO83" i="42" s="1"/>
  <c r="AP83" i="42" s="1"/>
  <c r="AQ83" i="42" s="1"/>
  <c r="AR83" i="42" s="1"/>
  <c r="AS83" i="42" s="1"/>
  <c r="AT83" i="42" s="1"/>
  <c r="AE82" i="42"/>
  <c r="AF82" i="42" s="1"/>
  <c r="N81" i="42"/>
  <c r="O81" i="42" s="1"/>
  <c r="P81" i="42" s="1"/>
  <c r="Y80" i="42"/>
  <c r="Y79" i="42"/>
  <c r="Z79" i="42" s="1"/>
  <c r="AA79" i="42" s="1"/>
  <c r="K79" i="42" s="1"/>
  <c r="H494" i="36" s="1"/>
  <c r="AE77" i="42"/>
  <c r="AF77" i="42" s="1"/>
  <c r="AE76" i="42"/>
  <c r="K76" i="42" s="1"/>
  <c r="H550" i="36" s="1"/>
  <c r="N75" i="42"/>
  <c r="O75" i="42" s="1"/>
  <c r="P75" i="42" s="1"/>
  <c r="Q75" i="42" s="1"/>
  <c r="R75" i="42" s="1"/>
  <c r="S75" i="42" s="1"/>
  <c r="T75" i="42" s="1"/>
  <c r="U75" i="42" s="1"/>
  <c r="V75" i="42" s="1"/>
  <c r="W75" i="42" s="1"/>
  <c r="X75" i="42" s="1"/>
  <c r="Y75" i="42" s="1"/>
  <c r="Z75" i="42" s="1"/>
  <c r="AA75" i="42" s="1"/>
  <c r="AB75" i="42" s="1"/>
  <c r="AC75" i="42" s="1"/>
  <c r="Y74" i="42"/>
  <c r="Y73" i="42"/>
  <c r="K73" i="42" s="1"/>
  <c r="H493" i="36" s="1"/>
  <c r="AE71" i="42"/>
  <c r="AF71" i="42" s="1"/>
  <c r="AG71" i="42" s="1"/>
  <c r="AH71" i="42" s="1"/>
  <c r="AI71" i="42" s="1"/>
  <c r="AJ71" i="42" s="1"/>
  <c r="AK71" i="42" s="1"/>
  <c r="AL71" i="42" s="1"/>
  <c r="AM71" i="42" s="1"/>
  <c r="AN71" i="42" s="1"/>
  <c r="AO71" i="42" s="1"/>
  <c r="AP71" i="42" s="1"/>
  <c r="K70" i="42"/>
  <c r="H549" i="36" s="1"/>
  <c r="N69" i="42"/>
  <c r="Y68" i="42"/>
  <c r="K68" i="42" s="1"/>
  <c r="H511" i="36" s="1"/>
  <c r="K67" i="42"/>
  <c r="H492" i="36" s="1"/>
  <c r="AE65" i="42"/>
  <c r="AF65" i="42" s="1"/>
  <c r="AG65" i="42" s="1"/>
  <c r="AH65" i="42" s="1"/>
  <c r="AI65" i="42" s="1"/>
  <c r="AJ65" i="42" s="1"/>
  <c r="AK65" i="42" s="1"/>
  <c r="AL65" i="42" s="1"/>
  <c r="AM65" i="42" s="1"/>
  <c r="AN65" i="42" s="1"/>
  <c r="AO65" i="42" s="1"/>
  <c r="AP65" i="42" s="1"/>
  <c r="AQ65" i="42" s="1"/>
  <c r="AR65" i="42" s="1"/>
  <c r="AS65" i="42" s="1"/>
  <c r="AT65" i="42" s="1"/>
  <c r="AU65" i="42" s="1"/>
  <c r="AV65" i="42" s="1"/>
  <c r="AW65" i="42" s="1"/>
  <c r="AX65" i="42" s="1"/>
  <c r="AY65" i="42" s="1"/>
  <c r="AZ65" i="42" s="1"/>
  <c r="BA65" i="42" s="1"/>
  <c r="BB65" i="42" s="1"/>
  <c r="BC65" i="42" s="1"/>
  <c r="BD65" i="42" s="1"/>
  <c r="BE65" i="42" s="1"/>
  <c r="AE64" i="42"/>
  <c r="AF64" i="42" s="1"/>
  <c r="AG64" i="42" s="1"/>
  <c r="AH64" i="42" s="1"/>
  <c r="AI64" i="42" s="1"/>
  <c r="AJ64" i="42" s="1"/>
  <c r="AK64" i="42" s="1"/>
  <c r="AL64" i="42" s="1"/>
  <c r="AM64" i="42" s="1"/>
  <c r="AN64" i="42" s="1"/>
  <c r="AO64" i="42" s="1"/>
  <c r="AP64" i="42" s="1"/>
  <c r="AQ64" i="42" s="1"/>
  <c r="AR64" i="42" s="1"/>
  <c r="N63" i="42"/>
  <c r="O63" i="42" s="1"/>
  <c r="Y62" i="42"/>
  <c r="Z62" i="42" s="1"/>
  <c r="Y61" i="42"/>
  <c r="Z61" i="42" s="1"/>
  <c r="AE59" i="42"/>
  <c r="AE58" i="42"/>
  <c r="AF58" i="42" s="1"/>
  <c r="AG58" i="42" s="1"/>
  <c r="AH58" i="42" s="1"/>
  <c r="AI58" i="42" s="1"/>
  <c r="AJ58" i="42" s="1"/>
  <c r="AK58" i="42" s="1"/>
  <c r="AL58" i="42" s="1"/>
  <c r="AM58" i="42" s="1"/>
  <c r="AN58" i="42" s="1"/>
  <c r="AO58" i="42" s="1"/>
  <c r="AP58" i="42" s="1"/>
  <c r="N57" i="42"/>
  <c r="O57" i="42" s="1"/>
  <c r="P57" i="42" s="1"/>
  <c r="Q57" i="42" s="1"/>
  <c r="R57" i="42" s="1"/>
  <c r="S57" i="42" s="1"/>
  <c r="T57" i="42" s="1"/>
  <c r="U57" i="42" s="1"/>
  <c r="V57" i="42" s="1"/>
  <c r="W57" i="42" s="1"/>
  <c r="X57" i="42" s="1"/>
  <c r="Y57" i="42" s="1"/>
  <c r="Z57" i="42" s="1"/>
  <c r="AA57" i="42" s="1"/>
  <c r="AB57" i="42" s="1"/>
  <c r="AC57" i="42" s="1"/>
  <c r="AD57" i="42" s="1"/>
  <c r="AE57" i="42" s="1"/>
  <c r="AF57" i="42" s="1"/>
  <c r="AG57" i="42" s="1"/>
  <c r="AH57" i="42" s="1"/>
  <c r="AI57" i="42" s="1"/>
  <c r="AJ57" i="42" s="1"/>
  <c r="AK57" i="42" s="1"/>
  <c r="AL57" i="42" s="1"/>
  <c r="AM57" i="42" s="1"/>
  <c r="AN57" i="42" s="1"/>
  <c r="Y56" i="42"/>
  <c r="Z56" i="42" s="1"/>
  <c r="AA56" i="42" s="1"/>
  <c r="AB56" i="42" s="1"/>
  <c r="AC56" i="42" s="1"/>
  <c r="AD56" i="42" s="1"/>
  <c r="AE56" i="42" s="1"/>
  <c r="AF56" i="42" s="1"/>
  <c r="AG56" i="42" s="1"/>
  <c r="AH56" i="42" s="1"/>
  <c r="AI56" i="42" s="1"/>
  <c r="AJ56" i="42" s="1"/>
  <c r="AK56" i="42" s="1"/>
  <c r="AL56" i="42" s="1"/>
  <c r="Y55" i="42"/>
  <c r="Z55" i="42" s="1"/>
  <c r="AE53" i="42"/>
  <c r="AF53" i="42" s="1"/>
  <c r="AE52" i="42"/>
  <c r="AF52" i="42" s="1"/>
  <c r="N51" i="42"/>
  <c r="O51" i="42" s="1"/>
  <c r="P51" i="42" s="1"/>
  <c r="Q51" i="42" s="1"/>
  <c r="R51" i="42" s="1"/>
  <c r="S51" i="42" s="1"/>
  <c r="T51" i="42" s="1"/>
  <c r="U51" i="42" s="1"/>
  <c r="V51" i="42" s="1"/>
  <c r="W51" i="42" s="1"/>
  <c r="X51" i="42" s="1"/>
  <c r="Y51" i="42" s="1"/>
  <c r="Z51" i="42" s="1"/>
  <c r="AA51" i="42" s="1"/>
  <c r="AB51" i="42" s="1"/>
  <c r="AC51" i="42" s="1"/>
  <c r="AD51" i="42" s="1"/>
  <c r="AE51" i="42" s="1"/>
  <c r="AF51" i="42" s="1"/>
  <c r="AG51" i="42" s="1"/>
  <c r="AH51" i="42" s="1"/>
  <c r="AI51" i="42" s="1"/>
  <c r="AJ51" i="42" s="1"/>
  <c r="AK51" i="42" s="1"/>
  <c r="AL51" i="42" s="1"/>
  <c r="Y50" i="42"/>
  <c r="Z50" i="42" s="1"/>
  <c r="Y49" i="42"/>
  <c r="Z49" i="42" s="1"/>
  <c r="AA49" i="42" s="1"/>
  <c r="AE47" i="42"/>
  <c r="AF47" i="42" s="1"/>
  <c r="AG47" i="42" s="1"/>
  <c r="AH47" i="42" s="1"/>
  <c r="AI47" i="42" s="1"/>
  <c r="AJ47" i="42" s="1"/>
  <c r="AK47" i="42" s="1"/>
  <c r="AL47" i="42" s="1"/>
  <c r="AM47" i="42" s="1"/>
  <c r="AN47" i="42" s="1"/>
  <c r="AO47" i="42" s="1"/>
  <c r="AP47" i="42" s="1"/>
  <c r="AQ47" i="42" s="1"/>
  <c r="AR47" i="42" s="1"/>
  <c r="AS47" i="42" s="1"/>
  <c r="AT47" i="42" s="1"/>
  <c r="AU47" i="42" s="1"/>
  <c r="AV47" i="42" s="1"/>
  <c r="AW47" i="42" s="1"/>
  <c r="AX47" i="42" s="1"/>
  <c r="AY47" i="42" s="1"/>
  <c r="AE46" i="42"/>
  <c r="AF46" i="42" s="1"/>
  <c r="AG46" i="42" s="1"/>
  <c r="AH46" i="42" s="1"/>
  <c r="AI46" i="42" s="1"/>
  <c r="AJ46" i="42" s="1"/>
  <c r="AK46" i="42" s="1"/>
  <c r="AL46" i="42" s="1"/>
  <c r="N45" i="42"/>
  <c r="O45" i="42" s="1"/>
  <c r="P45" i="42" s="1"/>
  <c r="Q45" i="42" s="1"/>
  <c r="R45" i="42" s="1"/>
  <c r="S45" i="42" s="1"/>
  <c r="T45" i="42" s="1"/>
  <c r="U45" i="42" s="1"/>
  <c r="V45" i="42" s="1"/>
  <c r="W45" i="42" s="1"/>
  <c r="X45" i="42" s="1"/>
  <c r="Y45" i="42" s="1"/>
  <c r="Z45" i="42" s="1"/>
  <c r="AA45" i="42" s="1"/>
  <c r="AB45" i="42" s="1"/>
  <c r="AC45" i="42" s="1"/>
  <c r="AD45" i="42" s="1"/>
  <c r="AE45" i="42" s="1"/>
  <c r="AF45" i="42" s="1"/>
  <c r="AG45" i="42" s="1"/>
  <c r="AH45" i="42" s="1"/>
  <c r="AI45" i="42" s="1"/>
  <c r="AJ45" i="42" s="1"/>
  <c r="Y44" i="42"/>
  <c r="Z44" i="42" s="1"/>
  <c r="AA44" i="42" s="1"/>
  <c r="Y43" i="42"/>
  <c r="Z43" i="42" s="1"/>
  <c r="AA43" i="42" s="1"/>
  <c r="AB43" i="42" s="1"/>
  <c r="AC43" i="42" s="1"/>
  <c r="AD43" i="42" s="1"/>
  <c r="AE43" i="42" s="1"/>
  <c r="AF43" i="42" s="1"/>
  <c r="AE41" i="42"/>
  <c r="AF41" i="42" s="1"/>
  <c r="AG41" i="42" s="1"/>
  <c r="AH41" i="42" s="1"/>
  <c r="AI41" i="42" s="1"/>
  <c r="AJ41" i="42" s="1"/>
  <c r="AK41" i="42" s="1"/>
  <c r="AL41" i="42" s="1"/>
  <c r="AM41" i="42" s="1"/>
  <c r="AN41" i="42" s="1"/>
  <c r="AO41" i="42" s="1"/>
  <c r="AP41" i="42" s="1"/>
  <c r="AQ41" i="42" s="1"/>
  <c r="AR41" i="42" s="1"/>
  <c r="AS41" i="42" s="1"/>
  <c r="AT41" i="42" s="1"/>
  <c r="AU41" i="42" s="1"/>
  <c r="AV41" i="42" s="1"/>
  <c r="AW41" i="42" s="1"/>
  <c r="AE40" i="42"/>
  <c r="AF40" i="42" s="1"/>
  <c r="N39" i="42"/>
  <c r="O39" i="42" s="1"/>
  <c r="P39" i="42" s="1"/>
  <c r="Q39" i="42" s="1"/>
  <c r="R39" i="42" s="1"/>
  <c r="S39" i="42" s="1"/>
  <c r="T39" i="42" s="1"/>
  <c r="U39" i="42" s="1"/>
  <c r="V39" i="42" s="1"/>
  <c r="W39" i="42" s="1"/>
  <c r="X39" i="42" s="1"/>
  <c r="Y39" i="42" s="1"/>
  <c r="Z39" i="42" s="1"/>
  <c r="AA39" i="42" s="1"/>
  <c r="AB39" i="42" s="1"/>
  <c r="AC39" i="42" s="1"/>
  <c r="AD39" i="42" s="1"/>
  <c r="AE39" i="42" s="1"/>
  <c r="AF39" i="42" s="1"/>
  <c r="AG39" i="42" s="1"/>
  <c r="AH39" i="42" s="1"/>
  <c r="Y38" i="42"/>
  <c r="Z38" i="42" s="1"/>
  <c r="AA38" i="42" s="1"/>
  <c r="AB38" i="42" s="1"/>
  <c r="AC38" i="42" s="1"/>
  <c r="AD38" i="42" s="1"/>
  <c r="AE38" i="42" s="1"/>
  <c r="AF38" i="42" s="1"/>
  <c r="Y37" i="42"/>
  <c r="Z37" i="42" s="1"/>
  <c r="AA37" i="42" s="1"/>
  <c r="AB37" i="42" s="1"/>
  <c r="AE35" i="42"/>
  <c r="AF35" i="42" s="1"/>
  <c r="AG35" i="42" s="1"/>
  <c r="AH35" i="42" s="1"/>
  <c r="AI35" i="42" s="1"/>
  <c r="AJ35" i="42" s="1"/>
  <c r="AK35" i="42" s="1"/>
  <c r="AL35" i="42" s="1"/>
  <c r="AM35" i="42" s="1"/>
  <c r="AN35" i="42" s="1"/>
  <c r="AO35" i="42" s="1"/>
  <c r="AP35" i="42" s="1"/>
  <c r="AQ35" i="42" s="1"/>
  <c r="AR35" i="42" s="1"/>
  <c r="AS35" i="42" s="1"/>
  <c r="AT35" i="42" s="1"/>
  <c r="AU35" i="42" s="1"/>
  <c r="AE34" i="42"/>
  <c r="AF34" i="42" s="1"/>
  <c r="AG34" i="42" s="1"/>
  <c r="AH34" i="42" s="1"/>
  <c r="N33" i="42"/>
  <c r="O33" i="42" s="1"/>
  <c r="P33" i="42" s="1"/>
  <c r="Q33" i="42" s="1"/>
  <c r="R33" i="42" s="1"/>
  <c r="S33" i="42" s="1"/>
  <c r="T33" i="42" s="1"/>
  <c r="U33" i="42" s="1"/>
  <c r="V33" i="42" s="1"/>
  <c r="W33" i="42" s="1"/>
  <c r="X33" i="42" s="1"/>
  <c r="Y33" i="42" s="1"/>
  <c r="Z33" i="42" s="1"/>
  <c r="AA33" i="42" s="1"/>
  <c r="AB33" i="42" s="1"/>
  <c r="AC33" i="42" s="1"/>
  <c r="AD33" i="42" s="1"/>
  <c r="AE33" i="42" s="1"/>
  <c r="AF33" i="42" s="1"/>
  <c r="Y32" i="42"/>
  <c r="Z32" i="42" s="1"/>
  <c r="AA32" i="42" s="1"/>
  <c r="AB32" i="42" s="1"/>
  <c r="AC32" i="42" s="1"/>
  <c r="AD32" i="42" s="1"/>
  <c r="Y31" i="42"/>
  <c r="Z31" i="42" s="1"/>
  <c r="AE29" i="42"/>
  <c r="AF29" i="42" s="1"/>
  <c r="AG29" i="42" s="1"/>
  <c r="AH29" i="42" s="1"/>
  <c r="AI29" i="42" s="1"/>
  <c r="AJ29" i="42" s="1"/>
  <c r="AK29" i="42" s="1"/>
  <c r="AL29" i="42" s="1"/>
  <c r="AM29" i="42" s="1"/>
  <c r="AN29" i="42" s="1"/>
  <c r="AO29" i="42" s="1"/>
  <c r="AP29" i="42" s="1"/>
  <c r="AQ29" i="42" s="1"/>
  <c r="AR29" i="42" s="1"/>
  <c r="AS29" i="42" s="1"/>
  <c r="AE28" i="42"/>
  <c r="AF28" i="42" s="1"/>
  <c r="N27" i="42"/>
  <c r="O27" i="42" s="1"/>
  <c r="Y26" i="42"/>
  <c r="Z26" i="42" s="1"/>
  <c r="AA26" i="42" s="1"/>
  <c r="Y25" i="42"/>
  <c r="Z25" i="42" s="1"/>
  <c r="K25" i="42" s="1"/>
  <c r="H485" i="36" s="1"/>
  <c r="AE17" i="42"/>
  <c r="AF17" i="42" s="1"/>
  <c r="AG17" i="42" s="1"/>
  <c r="AH17" i="42" s="1"/>
  <c r="AI17" i="42" s="1"/>
  <c r="AJ17" i="42" s="1"/>
  <c r="AK17" i="42" s="1"/>
  <c r="AL17" i="42" s="1"/>
  <c r="AM17" i="42" s="1"/>
  <c r="AN17" i="42" s="1"/>
  <c r="AO17" i="42" s="1"/>
  <c r="AP17" i="42" s="1"/>
  <c r="AQ17" i="42" s="1"/>
  <c r="K16" i="42"/>
  <c r="H540" i="36" s="1"/>
  <c r="N15" i="42"/>
  <c r="O15" i="42" s="1"/>
  <c r="P15" i="42" s="1"/>
  <c r="Q15" i="42" s="1"/>
  <c r="R15" i="42" s="1"/>
  <c r="S15" i="42" s="1"/>
  <c r="T15" i="42" s="1"/>
  <c r="U15" i="42" s="1"/>
  <c r="V15" i="42" s="1"/>
  <c r="W15" i="42" s="1"/>
  <c r="X15" i="42" s="1"/>
  <c r="Y15" i="42" s="1"/>
  <c r="Z15" i="42" s="1"/>
  <c r="AA15" i="42" s="1"/>
  <c r="AB15" i="42" s="1"/>
  <c r="Y14" i="42"/>
  <c r="K13" i="42"/>
  <c r="H483" i="36" s="1"/>
  <c r="AE11" i="42"/>
  <c r="AF11" i="42" s="1"/>
  <c r="K10" i="42"/>
  <c r="H539" i="36" s="1"/>
  <c r="N9" i="42"/>
  <c r="O9" i="42" s="1"/>
  <c r="K8" i="42"/>
  <c r="H501" i="36" s="1"/>
  <c r="K7" i="42"/>
  <c r="H482" i="36" s="1"/>
  <c r="K36" i="43" l="1"/>
  <c r="H392" i="36" s="1"/>
  <c r="K108" i="43"/>
  <c r="H404" i="36" s="1"/>
  <c r="AB33" i="45"/>
  <c r="AC33" i="45" s="1"/>
  <c r="L57" i="45"/>
  <c r="K87" i="43"/>
  <c r="H476" i="36" s="1"/>
  <c r="K42" i="43"/>
  <c r="H393" i="36" s="1"/>
  <c r="K9" i="43"/>
  <c r="H463" i="36" s="1"/>
  <c r="L31" i="44"/>
  <c r="H315" i="36" s="1"/>
  <c r="L92" i="45"/>
  <c r="L112" i="45"/>
  <c r="L55" i="45"/>
  <c r="K56" i="42"/>
  <c r="H509" i="36" s="1"/>
  <c r="K94" i="43"/>
  <c r="H439" i="36" s="1"/>
  <c r="K40" i="43"/>
  <c r="H430" i="36" s="1"/>
  <c r="K102" i="43"/>
  <c r="H403" i="36" s="1"/>
  <c r="K31" i="43"/>
  <c r="H410" i="36" s="1"/>
  <c r="K15" i="43"/>
  <c r="H464" i="36" s="1"/>
  <c r="K70" i="43"/>
  <c r="H435" i="36" s="1"/>
  <c r="L48" i="44"/>
  <c r="H299" i="36" s="1"/>
  <c r="L27" i="44"/>
  <c r="H371" i="36" s="1"/>
  <c r="L30" i="44"/>
  <c r="H296" i="36" s="1"/>
  <c r="L103" i="44"/>
  <c r="H327" i="36" s="1"/>
  <c r="L90" i="44"/>
  <c r="H306" i="36" s="1"/>
  <c r="L117" i="44"/>
  <c r="H386" i="36" s="1"/>
  <c r="L93" i="44"/>
  <c r="H382" i="36" s="1"/>
  <c r="L40" i="44"/>
  <c r="H335" i="36" s="1"/>
  <c r="L10" i="44"/>
  <c r="H330" i="36" s="1"/>
  <c r="L85" i="44"/>
  <c r="H324" i="36" s="1"/>
  <c r="L110" i="44"/>
  <c r="H366" i="36" s="1"/>
  <c r="L109" i="45"/>
  <c r="L85" i="45"/>
  <c r="L43" i="45"/>
  <c r="L28" i="45"/>
  <c r="L100" i="45"/>
  <c r="L9" i="45"/>
  <c r="L36" i="45"/>
  <c r="L46" i="45"/>
  <c r="L110" i="45"/>
  <c r="L105" i="45"/>
  <c r="K39" i="43"/>
  <c r="H468" i="36" s="1"/>
  <c r="K97" i="43"/>
  <c r="H421" i="36" s="1"/>
  <c r="K16" i="43"/>
  <c r="H426" i="36" s="1"/>
  <c r="K30" i="43"/>
  <c r="H391" i="36" s="1"/>
  <c r="K93" i="43"/>
  <c r="H477" i="36" s="1"/>
  <c r="K88" i="43"/>
  <c r="H438" i="36" s="1"/>
  <c r="K46" i="43"/>
  <c r="H431" i="36" s="1"/>
  <c r="K49" i="43"/>
  <c r="H413" i="36" s="1"/>
  <c r="K61" i="43"/>
  <c r="H415" i="36" s="1"/>
  <c r="K118" i="43"/>
  <c r="H443" i="36" s="1"/>
  <c r="K55" i="43"/>
  <c r="H414" i="36" s="1"/>
  <c r="L75" i="44"/>
  <c r="H379" i="36" s="1"/>
  <c r="L86" i="44"/>
  <c r="H362" i="36" s="1"/>
  <c r="L63" i="44"/>
  <c r="H377" i="36" s="1"/>
  <c r="L96" i="44"/>
  <c r="H307" i="36" s="1"/>
  <c r="L81" i="44"/>
  <c r="H380" i="36" s="1"/>
  <c r="L76" i="44"/>
  <c r="H341" i="36" s="1"/>
  <c r="L88" i="44"/>
  <c r="H343" i="36" s="1"/>
  <c r="L46" i="44"/>
  <c r="H336" i="36" s="1"/>
  <c r="L36" i="44"/>
  <c r="H297" i="36" s="1"/>
  <c r="L112" i="44"/>
  <c r="H347" i="36" s="1"/>
  <c r="L118" i="44"/>
  <c r="H348" i="36" s="1"/>
  <c r="L9" i="44"/>
  <c r="H368" i="36" s="1"/>
  <c r="L106" i="45"/>
  <c r="L94" i="45"/>
  <c r="L52" i="45"/>
  <c r="L96" i="45"/>
  <c r="L16" i="45"/>
  <c r="L103" i="45"/>
  <c r="L27" i="45"/>
  <c r="L99" i="45"/>
  <c r="L60" i="45"/>
  <c r="L15" i="45"/>
  <c r="L108" i="45"/>
  <c r="L54" i="45"/>
  <c r="L31" i="45"/>
  <c r="L48" i="45"/>
  <c r="AA31" i="42"/>
  <c r="AB31" i="42" s="1"/>
  <c r="AC37" i="42"/>
  <c r="AD37" i="42" s="1"/>
  <c r="AQ107" i="42"/>
  <c r="AR107" i="42" s="1"/>
  <c r="AS107" i="42" s="1"/>
  <c r="AT107" i="42" s="1"/>
  <c r="AU107" i="42" s="1"/>
  <c r="AV107" i="42" s="1"/>
  <c r="AW107" i="42" s="1"/>
  <c r="AX107" i="42" s="1"/>
  <c r="AY107" i="42" s="1"/>
  <c r="AZ107" i="42" s="1"/>
  <c r="BA107" i="42" s="1"/>
  <c r="BB107" i="42" s="1"/>
  <c r="K107" i="42" s="1"/>
  <c r="H574" i="36" s="1"/>
  <c r="AG40" i="42"/>
  <c r="AH40" i="42" s="1"/>
  <c r="AI40" i="42" s="1"/>
  <c r="AB26" i="42"/>
  <c r="K26" i="42" s="1"/>
  <c r="H504" i="36" s="1"/>
  <c r="AG11" i="42"/>
  <c r="AH11" i="42" s="1"/>
  <c r="AI11" i="42" s="1"/>
  <c r="AJ11" i="42" s="1"/>
  <c r="AK11" i="42" s="1"/>
  <c r="AL11" i="42" s="1"/>
  <c r="AM11" i="42" s="1"/>
  <c r="AN11" i="42" s="1"/>
  <c r="AO11" i="42" s="1"/>
  <c r="AP11" i="42" s="1"/>
  <c r="K45" i="42"/>
  <c r="H526" i="36" s="1"/>
  <c r="AA62" i="42"/>
  <c r="AB62" i="42" s="1"/>
  <c r="AC62" i="42" s="1"/>
  <c r="AD62" i="42" s="1"/>
  <c r="AE62" i="42" s="1"/>
  <c r="AF62" i="42" s="1"/>
  <c r="AG62" i="42" s="1"/>
  <c r="AH62" i="42" s="1"/>
  <c r="AI62" i="42" s="1"/>
  <c r="AJ62" i="42" s="1"/>
  <c r="AK62" i="42" s="1"/>
  <c r="AL62" i="42" s="1"/>
  <c r="AM62" i="42" s="1"/>
  <c r="AN62" i="42" s="1"/>
  <c r="K15" i="42"/>
  <c r="H521" i="36" s="1"/>
  <c r="P27" i="42"/>
  <c r="Q27" i="42" s="1"/>
  <c r="R27" i="42" s="1"/>
  <c r="S27" i="42" s="1"/>
  <c r="T27" i="42" s="1"/>
  <c r="U27" i="42" s="1"/>
  <c r="V27" i="42" s="1"/>
  <c r="W27" i="42" s="1"/>
  <c r="X27" i="42" s="1"/>
  <c r="Y27" i="42" s="1"/>
  <c r="Z27" i="42" s="1"/>
  <c r="AA27" i="42" s="1"/>
  <c r="AB27" i="42" s="1"/>
  <c r="AC27" i="42" s="1"/>
  <c r="AD27" i="42" s="1"/>
  <c r="K43" i="42"/>
  <c r="H488" i="36" s="1"/>
  <c r="AB44" i="42"/>
  <c r="AC44" i="42" s="1"/>
  <c r="AD44" i="42" s="1"/>
  <c r="AE44" i="42" s="1"/>
  <c r="AF44" i="42" s="1"/>
  <c r="AG44" i="42" s="1"/>
  <c r="AH44" i="42" s="1"/>
  <c r="AB49" i="42"/>
  <c r="AC49" i="42" s="1"/>
  <c r="AD49" i="42" s="1"/>
  <c r="AE49" i="42" s="1"/>
  <c r="AF49" i="42" s="1"/>
  <c r="AG49" i="42" s="1"/>
  <c r="AH49" i="42" s="1"/>
  <c r="Z80" i="42"/>
  <c r="AA80" i="42" s="1"/>
  <c r="AB80" i="42" s="1"/>
  <c r="AC80" i="42" s="1"/>
  <c r="AH88" i="42"/>
  <c r="AI88" i="42" s="1"/>
  <c r="AH100" i="42"/>
  <c r="AI100" i="42" s="1"/>
  <c r="AJ100" i="42" s="1"/>
  <c r="AK100" i="42" s="1"/>
  <c r="AL100" i="42" s="1"/>
  <c r="AM100" i="42" s="1"/>
  <c r="K104" i="42"/>
  <c r="H517" i="36" s="1"/>
  <c r="K75" i="42"/>
  <c r="H531" i="36" s="1"/>
  <c r="P117" i="42"/>
  <c r="Q117" i="42" s="1"/>
  <c r="R117" i="42" s="1"/>
  <c r="S117" i="42" s="1"/>
  <c r="T117" i="42" s="1"/>
  <c r="U117" i="42" s="1"/>
  <c r="V117" i="42" s="1"/>
  <c r="W117" i="42" s="1"/>
  <c r="X117" i="42" s="1"/>
  <c r="Y117" i="42" s="1"/>
  <c r="Z117" i="42" s="1"/>
  <c r="AA117" i="42" s="1"/>
  <c r="AB117" i="42" s="1"/>
  <c r="AC117" i="42" s="1"/>
  <c r="AD117" i="42" s="1"/>
  <c r="AE117" i="42" s="1"/>
  <c r="AF117" i="42" s="1"/>
  <c r="AG117" i="42" s="1"/>
  <c r="AH117" i="42" s="1"/>
  <c r="AI117" i="42" s="1"/>
  <c r="AJ117" i="42" s="1"/>
  <c r="AK117" i="42" s="1"/>
  <c r="AL117" i="42" s="1"/>
  <c r="AM117" i="42" s="1"/>
  <c r="AN117" i="42" s="1"/>
  <c r="AO117" i="42" s="1"/>
  <c r="AP117" i="42" s="1"/>
  <c r="P9" i="42"/>
  <c r="Q9" i="42" s="1"/>
  <c r="R9" i="42" s="1"/>
  <c r="S9" i="42" s="1"/>
  <c r="T9" i="42" s="1"/>
  <c r="U9" i="42" s="1"/>
  <c r="V9" i="42" s="1"/>
  <c r="W9" i="42" s="1"/>
  <c r="X9" i="42" s="1"/>
  <c r="Y9" i="42" s="1"/>
  <c r="Z9" i="42" s="1"/>
  <c r="AA9" i="42" s="1"/>
  <c r="K34" i="42"/>
  <c r="H543" i="36" s="1"/>
  <c r="K46" i="42"/>
  <c r="H545" i="36" s="1"/>
  <c r="AA85" i="42"/>
  <c r="AB85" i="42" s="1"/>
  <c r="AC85" i="42" s="1"/>
  <c r="Q93" i="42"/>
  <c r="R93" i="42" s="1"/>
  <c r="S93" i="42" s="1"/>
  <c r="T93" i="42" s="1"/>
  <c r="U93" i="42" s="1"/>
  <c r="V93" i="42" s="1"/>
  <c r="W93" i="42" s="1"/>
  <c r="X93" i="42" s="1"/>
  <c r="Y93" i="42" s="1"/>
  <c r="Z93" i="42" s="1"/>
  <c r="AA93" i="42" s="1"/>
  <c r="AB93" i="42" s="1"/>
  <c r="AC93" i="42" s="1"/>
  <c r="AD93" i="42" s="1"/>
  <c r="AE93" i="42" s="1"/>
  <c r="AF93" i="42" s="1"/>
  <c r="AG93" i="42" s="1"/>
  <c r="AH93" i="42" s="1"/>
  <c r="AI93" i="42" s="1"/>
  <c r="AA55" i="42"/>
  <c r="AB55" i="42" s="1"/>
  <c r="AC55" i="42" s="1"/>
  <c r="AD55" i="42" s="1"/>
  <c r="AE55" i="42" s="1"/>
  <c r="AF55" i="42" s="1"/>
  <c r="AG55" i="42" s="1"/>
  <c r="AH55" i="42" s="1"/>
  <c r="AI55" i="42" s="1"/>
  <c r="AJ55" i="42" s="1"/>
  <c r="AG53" i="42"/>
  <c r="AH53" i="42" s="1"/>
  <c r="AI53" i="42" s="1"/>
  <c r="AJ53" i="42" s="1"/>
  <c r="AK53" i="42" s="1"/>
  <c r="AL53" i="42" s="1"/>
  <c r="AM53" i="42" s="1"/>
  <c r="AN53" i="42" s="1"/>
  <c r="AO53" i="42" s="1"/>
  <c r="AP53" i="42" s="1"/>
  <c r="AQ53" i="42" s="1"/>
  <c r="AR53" i="42" s="1"/>
  <c r="AS53" i="42" s="1"/>
  <c r="AT53" i="42" s="1"/>
  <c r="AU53" i="42" s="1"/>
  <c r="AV53" i="42" s="1"/>
  <c r="AW53" i="42" s="1"/>
  <c r="AX53" i="42" s="1"/>
  <c r="AY53" i="42" s="1"/>
  <c r="AZ53" i="42" s="1"/>
  <c r="BA53" i="42" s="1"/>
  <c r="AF59" i="42"/>
  <c r="AG59" i="42" s="1"/>
  <c r="AH59" i="42" s="1"/>
  <c r="AI59" i="42" s="1"/>
  <c r="AJ59" i="42" s="1"/>
  <c r="AK59" i="42" s="1"/>
  <c r="AL59" i="42" s="1"/>
  <c r="AM59" i="42" s="1"/>
  <c r="AN59" i="42" s="1"/>
  <c r="AO59" i="42" s="1"/>
  <c r="AP59" i="42" s="1"/>
  <c r="AQ59" i="42" s="1"/>
  <c r="AR59" i="42" s="1"/>
  <c r="AS59" i="42" s="1"/>
  <c r="AT59" i="42" s="1"/>
  <c r="AU59" i="42" s="1"/>
  <c r="AV59" i="42" s="1"/>
  <c r="AW59" i="42" s="1"/>
  <c r="AX59" i="42" s="1"/>
  <c r="AY59" i="42" s="1"/>
  <c r="AZ59" i="42" s="1"/>
  <c r="BA59" i="42" s="1"/>
  <c r="BB59" i="42" s="1"/>
  <c r="BC59" i="42" s="1"/>
  <c r="Q81" i="42"/>
  <c r="R81" i="42" s="1"/>
  <c r="S81" i="42" s="1"/>
  <c r="T81" i="42" s="1"/>
  <c r="U81" i="42" s="1"/>
  <c r="V81" i="42" s="1"/>
  <c r="W81" i="42" s="1"/>
  <c r="X81" i="42" s="1"/>
  <c r="Y81" i="42" s="1"/>
  <c r="Z81" i="42" s="1"/>
  <c r="AA81" i="42" s="1"/>
  <c r="AB81" i="42" s="1"/>
  <c r="AC81" i="42" s="1"/>
  <c r="AD81" i="42" s="1"/>
  <c r="AE81" i="42" s="1"/>
  <c r="K86" i="42"/>
  <c r="H514" i="36" s="1"/>
  <c r="K98" i="42"/>
  <c r="H516" i="36" s="1"/>
  <c r="Q111" i="42"/>
  <c r="R111" i="42" s="1"/>
  <c r="S111" i="42" s="1"/>
  <c r="T111" i="42" s="1"/>
  <c r="U111" i="42" s="1"/>
  <c r="V111" i="42" s="1"/>
  <c r="W111" i="42" s="1"/>
  <c r="X111" i="42" s="1"/>
  <c r="Y111" i="42" s="1"/>
  <c r="Z111" i="42" s="1"/>
  <c r="AA111" i="42" s="1"/>
  <c r="AB111" i="42" s="1"/>
  <c r="AC111" i="42" s="1"/>
  <c r="AD111" i="42" s="1"/>
  <c r="AE111" i="42" s="1"/>
  <c r="AF111" i="42" s="1"/>
  <c r="AG111" i="42" s="1"/>
  <c r="AH111" i="42" s="1"/>
  <c r="AI111" i="42" s="1"/>
  <c r="AJ111" i="42" s="1"/>
  <c r="AK111" i="42" s="1"/>
  <c r="AL111" i="42" s="1"/>
  <c r="AM111" i="42" s="1"/>
  <c r="AN111" i="42" s="1"/>
  <c r="AO111" i="42" s="1"/>
  <c r="P63" i="42"/>
  <c r="Q63" i="42" s="1"/>
  <c r="R63" i="42" s="1"/>
  <c r="S63" i="42" s="1"/>
  <c r="T63" i="42" s="1"/>
  <c r="U63" i="42" s="1"/>
  <c r="V63" i="42" s="1"/>
  <c r="W63" i="42" s="1"/>
  <c r="X63" i="42" s="1"/>
  <c r="Y63" i="42" s="1"/>
  <c r="Z63" i="42" s="1"/>
  <c r="AA63" i="42" s="1"/>
  <c r="AB63" i="42" s="1"/>
  <c r="AC63" i="42" s="1"/>
  <c r="AD63" i="42" s="1"/>
  <c r="AE63" i="42" s="1"/>
  <c r="AF63" i="42" s="1"/>
  <c r="AG63" i="42" s="1"/>
  <c r="AH63" i="42" s="1"/>
  <c r="AI63" i="42" s="1"/>
  <c r="AJ63" i="42" s="1"/>
  <c r="AK63" i="42" s="1"/>
  <c r="AL63" i="42" s="1"/>
  <c r="AM63" i="42" s="1"/>
  <c r="AN63" i="42" s="1"/>
  <c r="AO63" i="42" s="1"/>
  <c r="AP63" i="42" s="1"/>
  <c r="AF89" i="42"/>
  <c r="AG89" i="42" s="1"/>
  <c r="AH89" i="42" s="1"/>
  <c r="AI89" i="42" s="1"/>
  <c r="AJ89" i="42" s="1"/>
  <c r="AK89" i="42" s="1"/>
  <c r="AL89" i="42" s="1"/>
  <c r="AM89" i="42" s="1"/>
  <c r="AN89" i="42" s="1"/>
  <c r="AO89" i="42" s="1"/>
  <c r="AP89" i="42" s="1"/>
  <c r="AQ89" i="42" s="1"/>
  <c r="AR89" i="42" s="1"/>
  <c r="AS89" i="42" s="1"/>
  <c r="AT89" i="42" s="1"/>
  <c r="AU89" i="42" s="1"/>
  <c r="AV89" i="42" s="1"/>
  <c r="K28" i="42"/>
  <c r="H542" i="36" s="1"/>
  <c r="K33" i="42"/>
  <c r="H524" i="36" s="1"/>
  <c r="K39" i="42"/>
  <c r="H525" i="36" s="1"/>
  <c r="K115" i="42"/>
  <c r="H500" i="36" s="1"/>
  <c r="AG118" i="42"/>
  <c r="AH118" i="42" s="1"/>
  <c r="AI118" i="42" s="1"/>
  <c r="AJ118" i="42" s="1"/>
  <c r="AK118" i="42" s="1"/>
  <c r="AL118" i="42" s="1"/>
  <c r="AM118" i="42" s="1"/>
  <c r="AN118" i="42" s="1"/>
  <c r="AO118" i="42" s="1"/>
  <c r="AP118" i="42" s="1"/>
  <c r="AQ118" i="42" s="1"/>
  <c r="AR118" i="42" s="1"/>
  <c r="AA50" i="42"/>
  <c r="AB50" i="42" s="1"/>
  <c r="AC50" i="42" s="1"/>
  <c r="AD50" i="42" s="1"/>
  <c r="AE50" i="42" s="1"/>
  <c r="AF50" i="42" s="1"/>
  <c r="AG50" i="42" s="1"/>
  <c r="AH50" i="42" s="1"/>
  <c r="AI50" i="42" s="1"/>
  <c r="AJ50" i="42" s="1"/>
  <c r="AG77" i="42"/>
  <c r="AH77" i="42" s="1"/>
  <c r="AI77" i="42" s="1"/>
  <c r="AJ77" i="42" s="1"/>
  <c r="AK77" i="42" s="1"/>
  <c r="AL77" i="42" s="1"/>
  <c r="AM77" i="42" s="1"/>
  <c r="AN77" i="42" s="1"/>
  <c r="AO77" i="42" s="1"/>
  <c r="AP77" i="42" s="1"/>
  <c r="AQ77" i="42" s="1"/>
  <c r="AR77" i="42" s="1"/>
  <c r="K41" i="42"/>
  <c r="H563" i="36" s="1"/>
  <c r="AA91" i="42"/>
  <c r="AB91" i="42" s="1"/>
  <c r="AC91" i="42" s="1"/>
  <c r="AD91" i="42" s="1"/>
  <c r="AE91" i="42" s="1"/>
  <c r="AH94" i="42"/>
  <c r="AI94" i="42" s="1"/>
  <c r="AJ94" i="42" s="1"/>
  <c r="AK94" i="42" s="1"/>
  <c r="AL94" i="42" s="1"/>
  <c r="K51" i="42"/>
  <c r="H527" i="36" s="1"/>
  <c r="K35" i="42"/>
  <c r="H562" i="36" s="1"/>
  <c r="K47" i="42"/>
  <c r="H564" i="36" s="1"/>
  <c r="AG82" i="42"/>
  <c r="K82" i="42" s="1"/>
  <c r="H551" i="36" s="1"/>
  <c r="P87" i="42"/>
  <c r="Q87" i="42" s="1"/>
  <c r="R87" i="42" s="1"/>
  <c r="S87" i="42" s="1"/>
  <c r="T87" i="42" s="1"/>
  <c r="U87" i="42" s="1"/>
  <c r="V87" i="42" s="1"/>
  <c r="W87" i="42" s="1"/>
  <c r="X87" i="42" s="1"/>
  <c r="Y87" i="42" s="1"/>
  <c r="Z87" i="42" s="1"/>
  <c r="AA87" i="42" s="1"/>
  <c r="AB87" i="42" s="1"/>
  <c r="AC87" i="42" s="1"/>
  <c r="AD87" i="42" s="1"/>
  <c r="AE87" i="42" s="1"/>
  <c r="AF87" i="42" s="1"/>
  <c r="AG87" i="42" s="1"/>
  <c r="AG119" i="42"/>
  <c r="AH119" i="42" s="1"/>
  <c r="AI119" i="42" s="1"/>
  <c r="AJ119" i="42" s="1"/>
  <c r="AK119" i="42" s="1"/>
  <c r="AL119" i="42" s="1"/>
  <c r="AM119" i="42" s="1"/>
  <c r="AN119" i="42" s="1"/>
  <c r="AO119" i="42" s="1"/>
  <c r="AP119" i="42" s="1"/>
  <c r="AQ119" i="42" s="1"/>
  <c r="AR119" i="42" s="1"/>
  <c r="AS119" i="42" s="1"/>
  <c r="AT119" i="42" s="1"/>
  <c r="AU119" i="42" s="1"/>
  <c r="AV119" i="42" s="1"/>
  <c r="AW119" i="42" s="1"/>
  <c r="AX119" i="42" s="1"/>
  <c r="AY119" i="42" s="1"/>
  <c r="AZ119" i="42" s="1"/>
  <c r="BA119" i="42" s="1"/>
  <c r="BB119" i="42" s="1"/>
  <c r="BC119" i="42" s="1"/>
  <c r="BD119" i="42" s="1"/>
  <c r="BE119" i="42" s="1"/>
  <c r="BF119" i="42" s="1"/>
  <c r="K17" i="42"/>
  <c r="H559" i="36" s="1"/>
  <c r="K14" i="42"/>
  <c r="H502" i="36" s="1"/>
  <c r="K29" i="42"/>
  <c r="H561" i="36" s="1"/>
  <c r="K32" i="42"/>
  <c r="H505" i="36" s="1"/>
  <c r="K38" i="42"/>
  <c r="H506" i="36" s="1"/>
  <c r="AA61" i="42"/>
  <c r="AB61" i="42" s="1"/>
  <c r="AC61" i="42" s="1"/>
  <c r="AD61" i="42" s="1"/>
  <c r="AE61" i="42" s="1"/>
  <c r="AF61" i="42" s="1"/>
  <c r="AG61" i="42" s="1"/>
  <c r="AH61" i="42" s="1"/>
  <c r="AI61" i="42" s="1"/>
  <c r="AJ61" i="42" s="1"/>
  <c r="AK61" i="42" s="1"/>
  <c r="AL61" i="42" s="1"/>
  <c r="K110" i="42"/>
  <c r="H518" i="36" s="1"/>
  <c r="AA116" i="42"/>
  <c r="AB116" i="42" s="1"/>
  <c r="AC116" i="42" s="1"/>
  <c r="AD116" i="42" s="1"/>
  <c r="AE116" i="42" s="1"/>
  <c r="AF116" i="42" s="1"/>
  <c r="AG116" i="42" s="1"/>
  <c r="AH116" i="42" s="1"/>
  <c r="AI116" i="42" s="1"/>
  <c r="AJ116" i="42" s="1"/>
  <c r="AK116" i="42" s="1"/>
  <c r="AL116" i="42" s="1"/>
  <c r="AM116" i="42" s="1"/>
  <c r="AN116" i="42" s="1"/>
  <c r="O69" i="42"/>
  <c r="P69" i="42" s="1"/>
  <c r="Q69" i="42" s="1"/>
  <c r="R69" i="42" s="1"/>
  <c r="S69" i="42" s="1"/>
  <c r="T69" i="42" s="1"/>
  <c r="U69" i="42" s="1"/>
  <c r="V69" i="42" s="1"/>
  <c r="W69" i="42" s="1"/>
  <c r="X69" i="42" s="1"/>
  <c r="Y69" i="42" s="1"/>
  <c r="Z69" i="42" s="1"/>
  <c r="AA69" i="42" s="1"/>
  <c r="Z74" i="42"/>
  <c r="AA74" i="42" s="1"/>
  <c r="AG95" i="42"/>
  <c r="AH95" i="42" s="1"/>
  <c r="AI95" i="42" s="1"/>
  <c r="AJ95" i="42" s="1"/>
  <c r="AK95" i="42" s="1"/>
  <c r="AL95" i="42" s="1"/>
  <c r="AM95" i="42" s="1"/>
  <c r="AN95" i="42" s="1"/>
  <c r="AO95" i="42" s="1"/>
  <c r="AP95" i="42" s="1"/>
  <c r="AQ95" i="42" s="1"/>
  <c r="AR95" i="42" s="1"/>
  <c r="AS95" i="42" s="1"/>
  <c r="AT95" i="42" s="1"/>
  <c r="AU95" i="42" s="1"/>
  <c r="AV95" i="42" s="1"/>
  <c r="AW95" i="42" s="1"/>
  <c r="AX95" i="42" s="1"/>
  <c r="AB103" i="42"/>
  <c r="AC103" i="42" s="1"/>
  <c r="AD103" i="42" s="1"/>
  <c r="AE103" i="42" s="1"/>
  <c r="AF103" i="42" s="1"/>
  <c r="AG103" i="42" s="1"/>
  <c r="AH103" i="42" s="1"/>
  <c r="AI103" i="42" s="1"/>
  <c r="AF106" i="42"/>
  <c r="AG106" i="42" s="1"/>
  <c r="AH106" i="42" s="1"/>
  <c r="AI106" i="42" s="1"/>
  <c r="AJ106" i="42" s="1"/>
  <c r="AK106" i="42" s="1"/>
  <c r="AL106" i="42" s="1"/>
  <c r="AM106" i="42" s="1"/>
  <c r="AN106" i="42" s="1"/>
  <c r="AO106" i="42" s="1"/>
  <c r="AG52" i="42"/>
  <c r="AH52" i="42" s="1"/>
  <c r="AI52" i="42" s="1"/>
  <c r="AJ52" i="42" s="1"/>
  <c r="AK52" i="42" s="1"/>
  <c r="AL52" i="42" s="1"/>
  <c r="AM52" i="42" s="1"/>
  <c r="AN52" i="42" s="1"/>
  <c r="K65" i="42"/>
  <c r="H567" i="36" s="1"/>
  <c r="K113" i="42"/>
  <c r="H575" i="36" s="1"/>
  <c r="K97" i="42"/>
  <c r="H497" i="36" s="1"/>
  <c r="K99" i="42"/>
  <c r="H535" i="36" s="1"/>
  <c r="K101" i="42"/>
  <c r="H573" i="36" s="1"/>
  <c r="K109" i="42"/>
  <c r="H499" i="36" s="1"/>
  <c r="K112" i="42"/>
  <c r="H556" i="36" s="1"/>
  <c r="K57" i="42"/>
  <c r="H528" i="36" s="1"/>
  <c r="K71" i="42"/>
  <c r="H568" i="36" s="1"/>
  <c r="K92" i="42"/>
  <c r="H515" i="36" s="1"/>
  <c r="K83" i="42"/>
  <c r="H570" i="36" s="1"/>
  <c r="K105" i="42"/>
  <c r="H536" i="36" s="1"/>
  <c r="K64" i="42"/>
  <c r="H548" i="36" s="1"/>
  <c r="K58" i="42"/>
  <c r="H547" i="36" s="1"/>
  <c r="L33" i="45" l="1"/>
  <c r="K88" i="42"/>
  <c r="H552" i="36" s="1"/>
  <c r="K31" i="42"/>
  <c r="H486" i="36" s="1"/>
  <c r="K94" i="42"/>
  <c r="H553" i="36" s="1"/>
  <c r="K103" i="42"/>
  <c r="H498" i="36" s="1"/>
  <c r="K118" i="42"/>
  <c r="H557" i="36" s="1"/>
  <c r="K100" i="42"/>
  <c r="H554" i="36" s="1"/>
  <c r="K11" i="42"/>
  <c r="H558" i="36" s="1"/>
  <c r="K53" i="42"/>
  <c r="H565" i="36" s="1"/>
  <c r="K40" i="42"/>
  <c r="H544" i="36" s="1"/>
  <c r="K49" i="42"/>
  <c r="H489" i="36" s="1"/>
  <c r="K74" i="42"/>
  <c r="H512" i="36" s="1"/>
  <c r="K91" i="42"/>
  <c r="H496" i="36" s="1"/>
  <c r="K59" i="42"/>
  <c r="H566" i="36" s="1"/>
  <c r="K117" i="42"/>
  <c r="H538" i="36" s="1"/>
  <c r="K27" i="42"/>
  <c r="H523" i="36" s="1"/>
  <c r="K89" i="42"/>
  <c r="H571" i="36" s="1"/>
  <c r="K9" i="42"/>
  <c r="H520" i="36" s="1"/>
  <c r="K69" i="42"/>
  <c r="H530" i="36" s="1"/>
  <c r="K52" i="42"/>
  <c r="H546" i="36" s="1"/>
  <c r="K116" i="42"/>
  <c r="H519" i="36" s="1"/>
  <c r="K87" i="42"/>
  <c r="H533" i="36" s="1"/>
  <c r="K77" i="42"/>
  <c r="H569" i="36" s="1"/>
  <c r="K63" i="42"/>
  <c r="H529" i="36" s="1"/>
  <c r="K62" i="42"/>
  <c r="H510" i="36" s="1"/>
  <c r="K44" i="42"/>
  <c r="H507" i="36" s="1"/>
  <c r="K55" i="42"/>
  <c r="H490" i="36" s="1"/>
  <c r="K93" i="42"/>
  <c r="H534" i="36" s="1"/>
  <c r="K106" i="42"/>
  <c r="H555" i="36" s="1"/>
  <c r="K111" i="42"/>
  <c r="H537" i="36" s="1"/>
  <c r="K85" i="42"/>
  <c r="H495" i="36" s="1"/>
  <c r="K37" i="42"/>
  <c r="H487" i="36" s="1"/>
  <c r="K61" i="42"/>
  <c r="H491" i="36" s="1"/>
  <c r="K119" i="42"/>
  <c r="H576" i="36" s="1"/>
  <c r="K95" i="42"/>
  <c r="H572" i="36" s="1"/>
  <c r="K50" i="42"/>
  <c r="H508" i="36" s="1"/>
  <c r="K81" i="42"/>
  <c r="H532" i="36" s="1"/>
  <c r="K80" i="42"/>
  <c r="H513" i="36" s="1"/>
  <c r="AK119" i="41" l="1"/>
  <c r="AK118" i="41"/>
  <c r="AL118" i="41" s="1"/>
  <c r="AM118" i="41" s="1"/>
  <c r="AN118" i="41" s="1"/>
  <c r="AO118" i="41" s="1"/>
  <c r="AP118" i="41" s="1"/>
  <c r="AQ118" i="41" s="1"/>
  <c r="AR118" i="41" s="1"/>
  <c r="AS118" i="41" s="1"/>
  <c r="AT118" i="41" s="1"/>
  <c r="AU118" i="41" s="1"/>
  <c r="AV118" i="41" s="1"/>
  <c r="AW118" i="41" s="1"/>
  <c r="AX118" i="41" s="1"/>
  <c r="AY118" i="41" s="1"/>
  <c r="AZ118" i="41" s="1"/>
  <c r="BA118" i="41" s="1"/>
  <c r="BB118" i="41" s="1"/>
  <c r="BC118" i="41" s="1"/>
  <c r="BD118" i="41" s="1"/>
  <c r="N117" i="41"/>
  <c r="O117" i="41" s="1"/>
  <c r="AE116" i="41"/>
  <c r="AF116" i="41" s="1"/>
  <c r="AE115" i="41"/>
  <c r="AF115" i="41" s="1"/>
  <c r="AK113" i="41"/>
  <c r="AL113" i="41" s="1"/>
  <c r="AM113" i="41" s="1"/>
  <c r="AN113" i="41" s="1"/>
  <c r="AO113" i="41" s="1"/>
  <c r="AP113" i="41" s="1"/>
  <c r="AQ113" i="41" s="1"/>
  <c r="AR113" i="41" s="1"/>
  <c r="AS113" i="41" s="1"/>
  <c r="AT113" i="41" s="1"/>
  <c r="AU113" i="41" s="1"/>
  <c r="AV113" i="41" s="1"/>
  <c r="AW113" i="41" s="1"/>
  <c r="AX113" i="41" s="1"/>
  <c r="AY113" i="41" s="1"/>
  <c r="AZ113" i="41" s="1"/>
  <c r="BA113" i="41" s="1"/>
  <c r="BB113" i="41" s="1"/>
  <c r="BC113" i="41" s="1"/>
  <c r="BD113" i="41" s="1"/>
  <c r="BE113" i="41" s="1"/>
  <c r="BF113" i="41" s="1"/>
  <c r="BG113" i="41" s="1"/>
  <c r="BH113" i="41" s="1"/>
  <c r="BI113" i="41" s="1"/>
  <c r="BJ113" i="41" s="1"/>
  <c r="BK113" i="41" s="1"/>
  <c r="BL113" i="41" s="1"/>
  <c r="BM113" i="41" s="1"/>
  <c r="BN113" i="41" s="1"/>
  <c r="BO113" i="41" s="1"/>
  <c r="BP113" i="41" s="1"/>
  <c r="BQ113" i="41" s="1"/>
  <c r="BR113" i="41" s="1"/>
  <c r="BS113" i="41" s="1"/>
  <c r="BT113" i="41" s="1"/>
  <c r="AK112" i="41"/>
  <c r="AL112" i="41" s="1"/>
  <c r="AM112" i="41" s="1"/>
  <c r="AN112" i="41" s="1"/>
  <c r="AO112" i="41" s="1"/>
  <c r="AP112" i="41" s="1"/>
  <c r="AQ112" i="41" s="1"/>
  <c r="AR112" i="41" s="1"/>
  <c r="AS112" i="41" s="1"/>
  <c r="AT112" i="41" s="1"/>
  <c r="AU112" i="41" s="1"/>
  <c r="AV112" i="41" s="1"/>
  <c r="N111" i="41"/>
  <c r="O111" i="41" s="1"/>
  <c r="P111" i="41" s="1"/>
  <c r="Q111" i="41" s="1"/>
  <c r="R111" i="41" s="1"/>
  <c r="S111" i="41" s="1"/>
  <c r="T111" i="41" s="1"/>
  <c r="U111" i="41" s="1"/>
  <c r="V111" i="41" s="1"/>
  <c r="W111" i="41" s="1"/>
  <c r="X111" i="41" s="1"/>
  <c r="Y111" i="41" s="1"/>
  <c r="Z111" i="41" s="1"/>
  <c r="AA111" i="41" s="1"/>
  <c r="AB111" i="41" s="1"/>
  <c r="AC111" i="41" s="1"/>
  <c r="AD111" i="41" s="1"/>
  <c r="AE111" i="41" s="1"/>
  <c r="AF111" i="41" s="1"/>
  <c r="AG111" i="41" s="1"/>
  <c r="AH111" i="41" s="1"/>
  <c r="AI111" i="41" s="1"/>
  <c r="AJ111" i="41" s="1"/>
  <c r="AK111" i="41" s="1"/>
  <c r="AL111" i="41" s="1"/>
  <c r="AM111" i="41" s="1"/>
  <c r="AN111" i="41" s="1"/>
  <c r="AO111" i="41" s="1"/>
  <c r="AP111" i="41" s="1"/>
  <c r="AQ111" i="41" s="1"/>
  <c r="AR111" i="41" s="1"/>
  <c r="AS111" i="41" s="1"/>
  <c r="AT111" i="41" s="1"/>
  <c r="AU111" i="41" s="1"/>
  <c r="AV111" i="41" s="1"/>
  <c r="AW111" i="41" s="1"/>
  <c r="AX111" i="41" s="1"/>
  <c r="AY111" i="41" s="1"/>
  <c r="AE110" i="41"/>
  <c r="AE109" i="41"/>
  <c r="AF109" i="41" s="1"/>
  <c r="AG109" i="41" s="1"/>
  <c r="AH109" i="41" s="1"/>
  <c r="AI109" i="41" s="1"/>
  <c r="AJ109" i="41" s="1"/>
  <c r="AK109" i="41" s="1"/>
  <c r="AL109" i="41" s="1"/>
  <c r="AM109" i="41" s="1"/>
  <c r="AN109" i="41" s="1"/>
  <c r="AO109" i="41" s="1"/>
  <c r="AP109" i="41" s="1"/>
  <c r="AQ109" i="41" s="1"/>
  <c r="AR109" i="41" s="1"/>
  <c r="AS109" i="41" s="1"/>
  <c r="AT109" i="41" s="1"/>
  <c r="AU109" i="41" s="1"/>
  <c r="AK107" i="41"/>
  <c r="AL107" i="41" s="1"/>
  <c r="AM107" i="41" s="1"/>
  <c r="AN107" i="41" s="1"/>
  <c r="AO107" i="41" s="1"/>
  <c r="AP107" i="41" s="1"/>
  <c r="AQ107" i="41" s="1"/>
  <c r="AR107" i="41" s="1"/>
  <c r="AS107" i="41" s="1"/>
  <c r="AM106" i="41"/>
  <c r="AN106" i="41" s="1"/>
  <c r="AO106" i="41" s="1"/>
  <c r="AP106" i="41" s="1"/>
  <c r="AQ106" i="41" s="1"/>
  <c r="AR106" i="41" s="1"/>
  <c r="AS106" i="41" s="1"/>
  <c r="AT106" i="41" s="1"/>
  <c r="AU106" i="41" s="1"/>
  <c r="AV106" i="41" s="1"/>
  <c r="AW106" i="41" s="1"/>
  <c r="AX106" i="41" s="1"/>
  <c r="AY106" i="41" s="1"/>
  <c r="AZ106" i="41" s="1"/>
  <c r="AK106" i="41"/>
  <c r="AL106" i="41" s="1"/>
  <c r="N105" i="41"/>
  <c r="O105" i="41" s="1"/>
  <c r="AE104" i="41"/>
  <c r="AF104" i="41" s="1"/>
  <c r="AG104" i="41" s="1"/>
  <c r="AH104" i="41" s="1"/>
  <c r="AI104" i="41" s="1"/>
  <c r="AJ104" i="41" s="1"/>
  <c r="AK104" i="41" s="1"/>
  <c r="AL104" i="41" s="1"/>
  <c r="AM104" i="41" s="1"/>
  <c r="AN104" i="41" s="1"/>
  <c r="AO104" i="41" s="1"/>
  <c r="AP104" i="41" s="1"/>
  <c r="AQ104" i="41" s="1"/>
  <c r="AR104" i="41" s="1"/>
  <c r="AS104" i="41" s="1"/>
  <c r="AT104" i="41" s="1"/>
  <c r="AU104" i="41" s="1"/>
  <c r="AE103" i="41"/>
  <c r="AF103" i="41" s="1"/>
  <c r="AG103" i="41" s="1"/>
  <c r="AH103" i="41" s="1"/>
  <c r="AI103" i="41" s="1"/>
  <c r="AJ103" i="41" s="1"/>
  <c r="AK103" i="41" s="1"/>
  <c r="AL103" i="41" s="1"/>
  <c r="AM103" i="41" s="1"/>
  <c r="AN103" i="41" s="1"/>
  <c r="AO103" i="41" s="1"/>
  <c r="AP103" i="41" s="1"/>
  <c r="AQ103" i="41" s="1"/>
  <c r="AR103" i="41" s="1"/>
  <c r="AK101" i="41"/>
  <c r="AL101" i="41" s="1"/>
  <c r="AM101" i="41" s="1"/>
  <c r="AN101" i="41" s="1"/>
  <c r="AO101" i="41" s="1"/>
  <c r="AP101" i="41" s="1"/>
  <c r="AQ101" i="41" s="1"/>
  <c r="AR101" i="41" s="1"/>
  <c r="AS101" i="41" s="1"/>
  <c r="AT101" i="41" s="1"/>
  <c r="AU101" i="41" s="1"/>
  <c r="AV101" i="41" s="1"/>
  <c r="AW101" i="41" s="1"/>
  <c r="AX101" i="41" s="1"/>
  <c r="AY101" i="41" s="1"/>
  <c r="AZ101" i="41" s="1"/>
  <c r="BA101" i="41" s="1"/>
  <c r="BB101" i="41" s="1"/>
  <c r="BC101" i="41" s="1"/>
  <c r="BD101" i="41" s="1"/>
  <c r="BE101" i="41" s="1"/>
  <c r="BF101" i="41" s="1"/>
  <c r="BG101" i="41" s="1"/>
  <c r="BH101" i="41" s="1"/>
  <c r="BI101" i="41" s="1"/>
  <c r="BJ101" i="41" s="1"/>
  <c r="BK101" i="41" s="1"/>
  <c r="BL101" i="41" s="1"/>
  <c r="BM101" i="41" s="1"/>
  <c r="BN101" i="41" s="1"/>
  <c r="BO101" i="41" s="1"/>
  <c r="BP101" i="41" s="1"/>
  <c r="AK100" i="41"/>
  <c r="N99" i="41"/>
  <c r="AE98" i="41"/>
  <c r="AF98" i="41" s="1"/>
  <c r="AG98" i="41" s="1"/>
  <c r="AH98" i="41" s="1"/>
  <c r="AI98" i="41" s="1"/>
  <c r="AJ98" i="41" s="1"/>
  <c r="AK98" i="41" s="1"/>
  <c r="AL98" i="41" s="1"/>
  <c r="AM98" i="41" s="1"/>
  <c r="AN98" i="41" s="1"/>
  <c r="AO98" i="41" s="1"/>
  <c r="AP98" i="41" s="1"/>
  <c r="AQ98" i="41" s="1"/>
  <c r="AR98" i="41" s="1"/>
  <c r="AE97" i="41"/>
  <c r="AK95" i="41"/>
  <c r="AK94" i="41"/>
  <c r="AL94" i="41" s="1"/>
  <c r="AM94" i="41" s="1"/>
  <c r="N93" i="41"/>
  <c r="AE92" i="41"/>
  <c r="AF92" i="41" s="1"/>
  <c r="AG92" i="41" s="1"/>
  <c r="AE91" i="41"/>
  <c r="AF91" i="41" s="1"/>
  <c r="AK89" i="41"/>
  <c r="AL89" i="41" s="1"/>
  <c r="AM89" i="41" s="1"/>
  <c r="AN89" i="41" s="1"/>
  <c r="AO89" i="41" s="1"/>
  <c r="AP89" i="41" s="1"/>
  <c r="AQ89" i="41" s="1"/>
  <c r="AR89" i="41" s="1"/>
  <c r="AS89" i="41" s="1"/>
  <c r="AT89" i="41" s="1"/>
  <c r="AU89" i="41" s="1"/>
  <c r="AV89" i="41" s="1"/>
  <c r="AW89" i="41" s="1"/>
  <c r="AX89" i="41" s="1"/>
  <c r="AY89" i="41" s="1"/>
  <c r="AZ89" i="41" s="1"/>
  <c r="BA89" i="41" s="1"/>
  <c r="BB89" i="41" s="1"/>
  <c r="BC89" i="41" s="1"/>
  <c r="BD89" i="41" s="1"/>
  <c r="BE89" i="41" s="1"/>
  <c r="BF89" i="41" s="1"/>
  <c r="BG89" i="41" s="1"/>
  <c r="BH89" i="41" s="1"/>
  <c r="BI89" i="41" s="1"/>
  <c r="BJ89" i="41" s="1"/>
  <c r="BK89" i="41" s="1"/>
  <c r="AK88" i="41"/>
  <c r="AL88" i="41" s="1"/>
  <c r="AM88" i="41" s="1"/>
  <c r="AN88" i="41" s="1"/>
  <c r="AO88" i="41" s="1"/>
  <c r="AP88" i="41" s="1"/>
  <c r="AQ88" i="41" s="1"/>
  <c r="AR88" i="41" s="1"/>
  <c r="AS88" i="41" s="1"/>
  <c r="N87" i="41"/>
  <c r="AE86" i="41"/>
  <c r="AE85" i="41"/>
  <c r="AF85" i="41" s="1"/>
  <c r="AK83" i="41"/>
  <c r="AL83" i="41" s="1"/>
  <c r="AM83" i="41" s="1"/>
  <c r="AN83" i="41" s="1"/>
  <c r="AO83" i="41" s="1"/>
  <c r="AP83" i="41" s="1"/>
  <c r="AQ83" i="41" s="1"/>
  <c r="AR83" i="41" s="1"/>
  <c r="AS83" i="41" s="1"/>
  <c r="AT83" i="41" s="1"/>
  <c r="AU83" i="41" s="1"/>
  <c r="AV83" i="41" s="1"/>
  <c r="AW83" i="41" s="1"/>
  <c r="AX83" i="41" s="1"/>
  <c r="AY83" i="41" s="1"/>
  <c r="AZ83" i="41" s="1"/>
  <c r="BA83" i="41" s="1"/>
  <c r="BB83" i="41" s="1"/>
  <c r="BC83" i="41" s="1"/>
  <c r="BD83" i="41" s="1"/>
  <c r="BE83" i="41" s="1"/>
  <c r="BF83" i="41" s="1"/>
  <c r="BG83" i="41" s="1"/>
  <c r="BH83" i="41" s="1"/>
  <c r="BI83" i="41" s="1"/>
  <c r="AK82" i="41"/>
  <c r="AL82" i="41" s="1"/>
  <c r="AM82" i="41" s="1"/>
  <c r="AN82" i="41" s="1"/>
  <c r="AO82" i="41" s="1"/>
  <c r="AP82" i="41" s="1"/>
  <c r="AQ82" i="41" s="1"/>
  <c r="N81" i="41"/>
  <c r="O81" i="41" s="1"/>
  <c r="P81" i="41" s="1"/>
  <c r="Q81" i="41" s="1"/>
  <c r="R81" i="41" s="1"/>
  <c r="S81" i="41" s="1"/>
  <c r="T81" i="41" s="1"/>
  <c r="U81" i="41" s="1"/>
  <c r="V81" i="41" s="1"/>
  <c r="W81" i="41" s="1"/>
  <c r="X81" i="41" s="1"/>
  <c r="Y81" i="41" s="1"/>
  <c r="Z81" i="41" s="1"/>
  <c r="AA81" i="41" s="1"/>
  <c r="AB81" i="41" s="1"/>
  <c r="AC81" i="41" s="1"/>
  <c r="AD81" i="41" s="1"/>
  <c r="AE81" i="41" s="1"/>
  <c r="AF81" i="41" s="1"/>
  <c r="AG81" i="41" s="1"/>
  <c r="AH81" i="41" s="1"/>
  <c r="AI81" i="41" s="1"/>
  <c r="AJ81" i="41" s="1"/>
  <c r="AK81" i="41" s="1"/>
  <c r="AL81" i="41" s="1"/>
  <c r="AM81" i="41" s="1"/>
  <c r="AN81" i="41" s="1"/>
  <c r="AO81" i="41" s="1"/>
  <c r="AE80" i="41"/>
  <c r="AF80" i="41" s="1"/>
  <c r="AG80" i="41" s="1"/>
  <c r="AH80" i="41" s="1"/>
  <c r="AI80" i="41" s="1"/>
  <c r="AJ80" i="41" s="1"/>
  <c r="AK80" i="41" s="1"/>
  <c r="AL80" i="41" s="1"/>
  <c r="AE79" i="41"/>
  <c r="AK77" i="41"/>
  <c r="AL77" i="41" s="1"/>
  <c r="AM77" i="41" s="1"/>
  <c r="AN77" i="41" s="1"/>
  <c r="AO77" i="41" s="1"/>
  <c r="AP77" i="41" s="1"/>
  <c r="AQ77" i="41" s="1"/>
  <c r="AR77" i="41" s="1"/>
  <c r="AS77" i="41" s="1"/>
  <c r="AT77" i="41" s="1"/>
  <c r="AU77" i="41" s="1"/>
  <c r="AV77" i="41" s="1"/>
  <c r="AW77" i="41" s="1"/>
  <c r="AX77" i="41" s="1"/>
  <c r="AY77" i="41" s="1"/>
  <c r="AZ77" i="41" s="1"/>
  <c r="BA77" i="41" s="1"/>
  <c r="BB77" i="41" s="1"/>
  <c r="BC77" i="41" s="1"/>
  <c r="BD77" i="41" s="1"/>
  <c r="BE77" i="41" s="1"/>
  <c r="AK76" i="41"/>
  <c r="AL76" i="41" s="1"/>
  <c r="AM76" i="41" s="1"/>
  <c r="AN76" i="41" s="1"/>
  <c r="N75" i="41"/>
  <c r="O75" i="41" s="1"/>
  <c r="P75" i="41" s="1"/>
  <c r="Q75" i="41" s="1"/>
  <c r="R75" i="41" s="1"/>
  <c r="S75" i="41" s="1"/>
  <c r="T75" i="41" s="1"/>
  <c r="U75" i="41" s="1"/>
  <c r="V75" i="41" s="1"/>
  <c r="W75" i="41" s="1"/>
  <c r="X75" i="41" s="1"/>
  <c r="Y75" i="41" s="1"/>
  <c r="Z75" i="41" s="1"/>
  <c r="AA75" i="41" s="1"/>
  <c r="AB75" i="41" s="1"/>
  <c r="AC75" i="41" s="1"/>
  <c r="AD75" i="41" s="1"/>
  <c r="AE75" i="41" s="1"/>
  <c r="AF75" i="41" s="1"/>
  <c r="AG75" i="41" s="1"/>
  <c r="AH75" i="41" s="1"/>
  <c r="AI75" i="41" s="1"/>
  <c r="AJ75" i="41" s="1"/>
  <c r="AK75" i="41" s="1"/>
  <c r="AE74" i="41"/>
  <c r="AF74" i="41" s="1"/>
  <c r="AG74" i="41" s="1"/>
  <c r="AH74" i="41" s="1"/>
  <c r="AE73" i="41"/>
  <c r="K73" i="41"/>
  <c r="H1063" i="36" s="1"/>
  <c r="AK71" i="41"/>
  <c r="AL71" i="41" s="1"/>
  <c r="AM71" i="41" s="1"/>
  <c r="AN71" i="41" s="1"/>
  <c r="AO71" i="41" s="1"/>
  <c r="AP71" i="41" s="1"/>
  <c r="AQ71" i="41" s="1"/>
  <c r="AR71" i="41" s="1"/>
  <c r="AS71" i="41" s="1"/>
  <c r="AT71" i="41" s="1"/>
  <c r="AU71" i="41" s="1"/>
  <c r="AV71" i="41" s="1"/>
  <c r="AW71" i="41" s="1"/>
  <c r="AX71" i="41" s="1"/>
  <c r="AY71" i="41" s="1"/>
  <c r="AZ71" i="41" s="1"/>
  <c r="BA71" i="41" s="1"/>
  <c r="BB71" i="41" s="1"/>
  <c r="BC71" i="41" s="1"/>
  <c r="K70" i="41"/>
  <c r="H1119" i="36" s="1"/>
  <c r="N69" i="41"/>
  <c r="O69" i="41" s="1"/>
  <c r="P69" i="41" s="1"/>
  <c r="Q69" i="41" s="1"/>
  <c r="R69" i="41" s="1"/>
  <c r="S69" i="41" s="1"/>
  <c r="T69" i="41" s="1"/>
  <c r="U69" i="41" s="1"/>
  <c r="V69" i="41" s="1"/>
  <c r="W69" i="41" s="1"/>
  <c r="X69" i="41" s="1"/>
  <c r="Y69" i="41" s="1"/>
  <c r="Z69" i="41" s="1"/>
  <c r="AA69" i="41" s="1"/>
  <c r="AB69" i="41" s="1"/>
  <c r="AC69" i="41" s="1"/>
  <c r="AD69" i="41" s="1"/>
  <c r="AE69" i="41" s="1"/>
  <c r="AF69" i="41" s="1"/>
  <c r="AG69" i="41" s="1"/>
  <c r="AH69" i="41" s="1"/>
  <c r="AE68" i="41"/>
  <c r="K68" i="41" s="1"/>
  <c r="H1081" i="36" s="1"/>
  <c r="K67" i="41"/>
  <c r="H1062" i="36" s="1"/>
  <c r="AK65" i="41"/>
  <c r="AL65" i="41" s="1"/>
  <c r="AM65" i="41" s="1"/>
  <c r="AN65" i="41" s="1"/>
  <c r="AO65" i="41" s="1"/>
  <c r="AP65" i="41" s="1"/>
  <c r="AK64" i="41"/>
  <c r="N63" i="41"/>
  <c r="AE62" i="41"/>
  <c r="AE61" i="41"/>
  <c r="AF61" i="41" s="1"/>
  <c r="AG61" i="41" s="1"/>
  <c r="AH61" i="41" s="1"/>
  <c r="AI61" i="41" s="1"/>
  <c r="AJ61" i="41" s="1"/>
  <c r="AK61" i="41" s="1"/>
  <c r="AL61" i="41" s="1"/>
  <c r="AM61" i="41" s="1"/>
  <c r="AN61" i="41" s="1"/>
  <c r="AO61" i="41" s="1"/>
  <c r="AP61" i="41" s="1"/>
  <c r="AQ61" i="41" s="1"/>
  <c r="AR61" i="41" s="1"/>
  <c r="AS61" i="41" s="1"/>
  <c r="AT61" i="41" s="1"/>
  <c r="AK59" i="41"/>
  <c r="AK58" i="41"/>
  <c r="AL58" i="41" s="1"/>
  <c r="N57" i="41"/>
  <c r="O57" i="41" s="1"/>
  <c r="P57" i="41" s="1"/>
  <c r="Q57" i="41" s="1"/>
  <c r="R57" i="41" s="1"/>
  <c r="S57" i="41" s="1"/>
  <c r="T57" i="41" s="1"/>
  <c r="U57" i="41" s="1"/>
  <c r="V57" i="41" s="1"/>
  <c r="W57" i="41" s="1"/>
  <c r="X57" i="41" s="1"/>
  <c r="Y57" i="41" s="1"/>
  <c r="Z57" i="41" s="1"/>
  <c r="AA57" i="41" s="1"/>
  <c r="AB57" i="41" s="1"/>
  <c r="AC57" i="41" s="1"/>
  <c r="AD57" i="41" s="1"/>
  <c r="AE57" i="41" s="1"/>
  <c r="AF57" i="41" s="1"/>
  <c r="AG57" i="41" s="1"/>
  <c r="AH57" i="41" s="1"/>
  <c r="AI57" i="41" s="1"/>
  <c r="AJ57" i="41" s="1"/>
  <c r="AK57" i="41" s="1"/>
  <c r="AL57" i="41" s="1"/>
  <c r="AM57" i="41" s="1"/>
  <c r="AN57" i="41" s="1"/>
  <c r="AO57" i="41" s="1"/>
  <c r="AP57" i="41" s="1"/>
  <c r="AQ57" i="41" s="1"/>
  <c r="AR57" i="41" s="1"/>
  <c r="AS57" i="41" s="1"/>
  <c r="AT57" i="41" s="1"/>
  <c r="AU57" i="41" s="1"/>
  <c r="AV57" i="41" s="1"/>
  <c r="AW57" i="41" s="1"/>
  <c r="AX57" i="41" s="1"/>
  <c r="AY57" i="41" s="1"/>
  <c r="AE56" i="41"/>
  <c r="AF56" i="41" s="1"/>
  <c r="AG56" i="41" s="1"/>
  <c r="AH56" i="41" s="1"/>
  <c r="AI56" i="41" s="1"/>
  <c r="AJ56" i="41" s="1"/>
  <c r="AK56" i="41" s="1"/>
  <c r="AL56" i="41" s="1"/>
  <c r="AM56" i="41" s="1"/>
  <c r="AN56" i="41" s="1"/>
  <c r="AO56" i="41" s="1"/>
  <c r="AP56" i="41" s="1"/>
  <c r="AE55" i="41"/>
  <c r="AF55" i="41" s="1"/>
  <c r="AG55" i="41" s="1"/>
  <c r="AH55" i="41" s="1"/>
  <c r="AI55" i="41" s="1"/>
  <c r="AJ55" i="41" s="1"/>
  <c r="AK55" i="41" s="1"/>
  <c r="AL55" i="41" s="1"/>
  <c r="AM55" i="41" s="1"/>
  <c r="AN55" i="41" s="1"/>
  <c r="AO55" i="41" s="1"/>
  <c r="AP55" i="41" s="1"/>
  <c r="AQ55" i="41" s="1"/>
  <c r="AR55" i="41" s="1"/>
  <c r="AS55" i="41" s="1"/>
  <c r="AT55" i="41" s="1"/>
  <c r="AK53" i="41"/>
  <c r="AL53" i="41" s="1"/>
  <c r="AM53" i="41" s="1"/>
  <c r="AN53" i="41" s="1"/>
  <c r="AO53" i="41" s="1"/>
  <c r="AP53" i="41" s="1"/>
  <c r="AK52" i="41"/>
  <c r="AL52" i="41" s="1"/>
  <c r="N51" i="41"/>
  <c r="O51" i="41" s="1"/>
  <c r="P51" i="41" s="1"/>
  <c r="Q51" i="41" s="1"/>
  <c r="R51" i="41" s="1"/>
  <c r="S51" i="41" s="1"/>
  <c r="T51" i="41" s="1"/>
  <c r="U51" i="41" s="1"/>
  <c r="V51" i="41" s="1"/>
  <c r="W51" i="41" s="1"/>
  <c r="X51" i="41" s="1"/>
  <c r="Y51" i="41" s="1"/>
  <c r="Z51" i="41" s="1"/>
  <c r="AA51" i="41" s="1"/>
  <c r="AB51" i="41" s="1"/>
  <c r="AC51" i="41" s="1"/>
  <c r="AD51" i="41" s="1"/>
  <c r="AE51" i="41" s="1"/>
  <c r="AF51" i="41" s="1"/>
  <c r="AG51" i="41" s="1"/>
  <c r="AH51" i="41" s="1"/>
  <c r="AI51" i="41" s="1"/>
  <c r="AJ51" i="41" s="1"/>
  <c r="AK51" i="41" s="1"/>
  <c r="AL51" i="41" s="1"/>
  <c r="AM51" i="41" s="1"/>
  <c r="AN51" i="41" s="1"/>
  <c r="AO51" i="41" s="1"/>
  <c r="AP51" i="41" s="1"/>
  <c r="AQ51" i="41" s="1"/>
  <c r="AR51" i="41" s="1"/>
  <c r="AS51" i="41" s="1"/>
  <c r="AT51" i="41" s="1"/>
  <c r="AU51" i="41" s="1"/>
  <c r="AV51" i="41" s="1"/>
  <c r="AW51" i="41" s="1"/>
  <c r="AE50" i="41"/>
  <c r="AF50" i="41" s="1"/>
  <c r="AG50" i="41" s="1"/>
  <c r="AH50" i="41" s="1"/>
  <c r="AI50" i="41" s="1"/>
  <c r="AJ50" i="41" s="1"/>
  <c r="AE49" i="41"/>
  <c r="AF49" i="41" s="1"/>
  <c r="AK47" i="41"/>
  <c r="AK46" i="41"/>
  <c r="AL46" i="41" s="1"/>
  <c r="AM46" i="41" s="1"/>
  <c r="AN46" i="41" s="1"/>
  <c r="AO46" i="41" s="1"/>
  <c r="AP46" i="41" s="1"/>
  <c r="AQ46" i="41" s="1"/>
  <c r="AR46" i="41" s="1"/>
  <c r="AS46" i="41" s="1"/>
  <c r="AT46" i="41" s="1"/>
  <c r="AU46" i="41" s="1"/>
  <c r="AV46" i="41" s="1"/>
  <c r="N45" i="41"/>
  <c r="AE44" i="41"/>
  <c r="AF44" i="41" s="1"/>
  <c r="AE43" i="41"/>
  <c r="AK41" i="41"/>
  <c r="AL41" i="41" s="1"/>
  <c r="AK40" i="41"/>
  <c r="N39" i="41"/>
  <c r="O39" i="41" s="1"/>
  <c r="P39" i="41" s="1"/>
  <c r="Q39" i="41" s="1"/>
  <c r="R39" i="41" s="1"/>
  <c r="S39" i="41" s="1"/>
  <c r="T39" i="41" s="1"/>
  <c r="U39" i="41" s="1"/>
  <c r="V39" i="41" s="1"/>
  <c r="W39" i="41" s="1"/>
  <c r="X39" i="41" s="1"/>
  <c r="Y39" i="41" s="1"/>
  <c r="AE38" i="41"/>
  <c r="AF38" i="41" s="1"/>
  <c r="AG38" i="41" s="1"/>
  <c r="AH38" i="41" s="1"/>
  <c r="AI38" i="41" s="1"/>
  <c r="AJ38" i="41" s="1"/>
  <c r="AK38" i="41" s="1"/>
  <c r="AL38" i="41" s="1"/>
  <c r="AM38" i="41" s="1"/>
  <c r="AN38" i="41" s="1"/>
  <c r="AO38" i="41" s="1"/>
  <c r="AP38" i="41" s="1"/>
  <c r="AE37" i="41"/>
  <c r="AF37" i="41" s="1"/>
  <c r="AG37" i="41" s="1"/>
  <c r="AH37" i="41" s="1"/>
  <c r="AI37" i="41" s="1"/>
  <c r="AJ37" i="41" s="1"/>
  <c r="AK37" i="41" s="1"/>
  <c r="AL37" i="41" s="1"/>
  <c r="AM37" i="41" s="1"/>
  <c r="AN37" i="41" s="1"/>
  <c r="AK35" i="41"/>
  <c r="AL35" i="41" s="1"/>
  <c r="AM35" i="41" s="1"/>
  <c r="AN35" i="41" s="1"/>
  <c r="AO35" i="41" s="1"/>
  <c r="AP35" i="41" s="1"/>
  <c r="AQ35" i="41" s="1"/>
  <c r="AR35" i="41" s="1"/>
  <c r="AS35" i="41" s="1"/>
  <c r="AT35" i="41" s="1"/>
  <c r="AU35" i="41" s="1"/>
  <c r="AV35" i="41" s="1"/>
  <c r="AW35" i="41" s="1"/>
  <c r="AX35" i="41" s="1"/>
  <c r="AY35" i="41" s="1"/>
  <c r="AZ35" i="41" s="1"/>
  <c r="BA35" i="41" s="1"/>
  <c r="BB35" i="41" s="1"/>
  <c r="BC35" i="41" s="1"/>
  <c r="BD35" i="41" s="1"/>
  <c r="BE35" i="41" s="1"/>
  <c r="BF35" i="41" s="1"/>
  <c r="BG35" i="41" s="1"/>
  <c r="BH35" i="41" s="1"/>
  <c r="BI35" i="41" s="1"/>
  <c r="BJ35" i="41" s="1"/>
  <c r="AK34" i="41"/>
  <c r="N33" i="41"/>
  <c r="AE32" i="41"/>
  <c r="AE31" i="41"/>
  <c r="AF31" i="41" s="1"/>
  <c r="AG31" i="41" s="1"/>
  <c r="AH31" i="41" s="1"/>
  <c r="AI31" i="41" s="1"/>
  <c r="AJ31" i="41" s="1"/>
  <c r="AK31" i="41" s="1"/>
  <c r="AL31" i="41" s="1"/>
  <c r="AK29" i="41"/>
  <c r="AL29" i="41" s="1"/>
  <c r="AM29" i="41" s="1"/>
  <c r="AN29" i="41" s="1"/>
  <c r="AO29" i="41" s="1"/>
  <c r="AP29" i="41" s="1"/>
  <c r="AQ29" i="41" s="1"/>
  <c r="AR29" i="41" s="1"/>
  <c r="AS29" i="41" s="1"/>
  <c r="AT29" i="41" s="1"/>
  <c r="AU29" i="41" s="1"/>
  <c r="AV29" i="41" s="1"/>
  <c r="AW29" i="41" s="1"/>
  <c r="AX29" i="41" s="1"/>
  <c r="AY29" i="41" s="1"/>
  <c r="AZ29" i="41" s="1"/>
  <c r="BA29" i="41" s="1"/>
  <c r="BB29" i="41" s="1"/>
  <c r="BC29" i="41" s="1"/>
  <c r="BD29" i="41" s="1"/>
  <c r="BE29" i="41" s="1"/>
  <c r="BF29" i="41" s="1"/>
  <c r="BG29" i="41" s="1"/>
  <c r="AK28" i="41"/>
  <c r="N27" i="41"/>
  <c r="O27" i="41" s="1"/>
  <c r="P27" i="41" s="1"/>
  <c r="Q27" i="41" s="1"/>
  <c r="R27" i="41" s="1"/>
  <c r="S27" i="41" s="1"/>
  <c r="T27" i="41" s="1"/>
  <c r="U27" i="41" s="1"/>
  <c r="V27" i="41" s="1"/>
  <c r="W27" i="41" s="1"/>
  <c r="X27" i="41" s="1"/>
  <c r="Y27" i="41" s="1"/>
  <c r="Z27" i="41" s="1"/>
  <c r="AA27" i="41" s="1"/>
  <c r="AB27" i="41" s="1"/>
  <c r="AC27" i="41" s="1"/>
  <c r="AD27" i="41" s="1"/>
  <c r="AE27" i="41" s="1"/>
  <c r="AF27" i="41" s="1"/>
  <c r="AG27" i="41" s="1"/>
  <c r="AH27" i="41" s="1"/>
  <c r="AI27" i="41" s="1"/>
  <c r="AJ27" i="41" s="1"/>
  <c r="AK27" i="41" s="1"/>
  <c r="AL27" i="41" s="1"/>
  <c r="AM27" i="41" s="1"/>
  <c r="AE26" i="41"/>
  <c r="AF26" i="41" s="1"/>
  <c r="AG26" i="41" s="1"/>
  <c r="AH26" i="41" s="1"/>
  <c r="AI26" i="41" s="1"/>
  <c r="AJ26" i="41" s="1"/>
  <c r="AK26" i="41" s="1"/>
  <c r="AL26" i="41" s="1"/>
  <c r="AE25" i="41"/>
  <c r="AF25" i="41" s="1"/>
  <c r="AK17" i="41"/>
  <c r="AL17" i="41" s="1"/>
  <c r="AM17" i="41" s="1"/>
  <c r="AN17" i="41" s="1"/>
  <c r="AO17" i="41" s="1"/>
  <c r="AP17" i="41" s="1"/>
  <c r="AQ17" i="41" s="1"/>
  <c r="AR17" i="41" s="1"/>
  <c r="AS17" i="41" s="1"/>
  <c r="AT17" i="41" s="1"/>
  <c r="AU17" i="41" s="1"/>
  <c r="AV17" i="41" s="1"/>
  <c r="AW17" i="41" s="1"/>
  <c r="AX17" i="41" s="1"/>
  <c r="AY17" i="41" s="1"/>
  <c r="AZ17" i="41" s="1"/>
  <c r="BA17" i="41" s="1"/>
  <c r="BB17" i="41" s="1"/>
  <c r="BC17" i="41" s="1"/>
  <c r="BD17" i="41" s="1"/>
  <c r="AK16" i="41"/>
  <c r="N15" i="41"/>
  <c r="AE14" i="41"/>
  <c r="AE13" i="41"/>
  <c r="K13" i="41" s="1"/>
  <c r="H1053" i="36" s="1"/>
  <c r="AK11" i="41"/>
  <c r="K10" i="41"/>
  <c r="H1109" i="36" s="1"/>
  <c r="N9" i="41"/>
  <c r="O9" i="41" s="1"/>
  <c r="P9" i="41" s="1"/>
  <c r="Q9" i="41" s="1"/>
  <c r="R9" i="41" s="1"/>
  <c r="S9" i="41" s="1"/>
  <c r="T9" i="41" s="1"/>
  <c r="U9" i="41" s="1"/>
  <c r="V9" i="41" s="1"/>
  <c r="W9" i="41" s="1"/>
  <c r="X9" i="41" s="1"/>
  <c r="Y9" i="41" s="1"/>
  <c r="Z9" i="41" s="1"/>
  <c r="AA9" i="41" s="1"/>
  <c r="AB9" i="41" s="1"/>
  <c r="AC9" i="41" s="1"/>
  <c r="AD9" i="41" s="1"/>
  <c r="AE9" i="41" s="1"/>
  <c r="AF9" i="41" s="1"/>
  <c r="AG9" i="41" s="1"/>
  <c r="AE8" i="41"/>
  <c r="K8" i="41" s="1"/>
  <c r="H1071" i="36" s="1"/>
  <c r="K7" i="41"/>
  <c r="H1052" i="36" s="1"/>
  <c r="AJ119" i="40"/>
  <c r="AJ118" i="40"/>
  <c r="AK118" i="40" s="1"/>
  <c r="AL118" i="40" s="1"/>
  <c r="AM118" i="40" s="1"/>
  <c r="AN118" i="40" s="1"/>
  <c r="AO118" i="40" s="1"/>
  <c r="AP118" i="40" s="1"/>
  <c r="AQ118" i="40" s="1"/>
  <c r="AR118" i="40" s="1"/>
  <c r="AS118" i="40" s="1"/>
  <c r="AT118" i="40" s="1"/>
  <c r="AU118" i="40" s="1"/>
  <c r="AV118" i="40" s="1"/>
  <c r="AW118" i="40" s="1"/>
  <c r="AX118" i="40" s="1"/>
  <c r="AY118" i="40" s="1"/>
  <c r="AZ118" i="40" s="1"/>
  <c r="BA118" i="40" s="1"/>
  <c r="BB118" i="40" s="1"/>
  <c r="N117" i="40"/>
  <c r="O117" i="40" s="1"/>
  <c r="P117" i="40" s="1"/>
  <c r="Q117" i="40" s="1"/>
  <c r="R117" i="40" s="1"/>
  <c r="S117" i="40" s="1"/>
  <c r="T117" i="40" s="1"/>
  <c r="U117" i="40" s="1"/>
  <c r="V117" i="40" s="1"/>
  <c r="W117" i="40" s="1"/>
  <c r="X117" i="40" s="1"/>
  <c r="Y117" i="40" s="1"/>
  <c r="Z117" i="40" s="1"/>
  <c r="AA117" i="40" s="1"/>
  <c r="AB117" i="40" s="1"/>
  <c r="AC117" i="40" s="1"/>
  <c r="AD117" i="40" s="1"/>
  <c r="AE117" i="40" s="1"/>
  <c r="AF117" i="40" s="1"/>
  <c r="AG117" i="40" s="1"/>
  <c r="AH117" i="40" s="1"/>
  <c r="AI117" i="40" s="1"/>
  <c r="AJ117" i="40" s="1"/>
  <c r="AK117" i="40" s="1"/>
  <c r="AL117" i="40" s="1"/>
  <c r="AM117" i="40" s="1"/>
  <c r="AN117" i="40" s="1"/>
  <c r="AD116" i="40"/>
  <c r="AE116" i="40" s="1"/>
  <c r="AF116" i="40" s="1"/>
  <c r="AG116" i="40" s="1"/>
  <c r="AH116" i="40" s="1"/>
  <c r="AI116" i="40" s="1"/>
  <c r="AJ116" i="40" s="1"/>
  <c r="AK116" i="40" s="1"/>
  <c r="AL116" i="40" s="1"/>
  <c r="AM116" i="40" s="1"/>
  <c r="AN116" i="40" s="1"/>
  <c r="AO116" i="40" s="1"/>
  <c r="AP116" i="40" s="1"/>
  <c r="AQ116" i="40" s="1"/>
  <c r="AR116" i="40" s="1"/>
  <c r="AS116" i="40" s="1"/>
  <c r="AT116" i="40" s="1"/>
  <c r="AU116" i="40" s="1"/>
  <c r="AV116" i="40" s="1"/>
  <c r="AW116" i="40" s="1"/>
  <c r="AX116" i="40" s="1"/>
  <c r="AD115" i="40"/>
  <c r="AE115" i="40" s="1"/>
  <c r="AJ113" i="40"/>
  <c r="AK113" i="40" s="1"/>
  <c r="AL113" i="40" s="1"/>
  <c r="AM113" i="40" s="1"/>
  <c r="AN113" i="40" s="1"/>
  <c r="AO113" i="40" s="1"/>
  <c r="AP113" i="40" s="1"/>
  <c r="AQ113" i="40" s="1"/>
  <c r="AR113" i="40" s="1"/>
  <c r="AS113" i="40" s="1"/>
  <c r="AT113" i="40" s="1"/>
  <c r="AU113" i="40" s="1"/>
  <c r="AV113" i="40" s="1"/>
  <c r="AW113" i="40" s="1"/>
  <c r="AX113" i="40" s="1"/>
  <c r="AY113" i="40" s="1"/>
  <c r="AZ113" i="40" s="1"/>
  <c r="BA113" i="40" s="1"/>
  <c r="BB113" i="40" s="1"/>
  <c r="BC113" i="40" s="1"/>
  <c r="BD113" i="40" s="1"/>
  <c r="BE113" i="40" s="1"/>
  <c r="BF113" i="40" s="1"/>
  <c r="BG113" i="40" s="1"/>
  <c r="BH113" i="40" s="1"/>
  <c r="BI113" i="40" s="1"/>
  <c r="BJ113" i="40" s="1"/>
  <c r="BK113" i="40" s="1"/>
  <c r="BL113" i="40" s="1"/>
  <c r="BM113" i="40" s="1"/>
  <c r="BN113" i="40" s="1"/>
  <c r="BO113" i="40" s="1"/>
  <c r="BP113" i="40" s="1"/>
  <c r="BQ113" i="40" s="1"/>
  <c r="AJ112" i="40"/>
  <c r="AK112" i="40" s="1"/>
  <c r="AL112" i="40" s="1"/>
  <c r="AM112" i="40" s="1"/>
  <c r="AN112" i="40" s="1"/>
  <c r="AO112" i="40" s="1"/>
  <c r="AP112" i="40" s="1"/>
  <c r="AQ112" i="40" s="1"/>
  <c r="AR112" i="40" s="1"/>
  <c r="AS112" i="40" s="1"/>
  <c r="AT112" i="40" s="1"/>
  <c r="AU112" i="40" s="1"/>
  <c r="AV112" i="40" s="1"/>
  <c r="AW112" i="40" s="1"/>
  <c r="AX112" i="40" s="1"/>
  <c r="AY112" i="40" s="1"/>
  <c r="N111" i="40"/>
  <c r="O111" i="40" s="1"/>
  <c r="P111" i="40" s="1"/>
  <c r="Q111" i="40" s="1"/>
  <c r="R111" i="40" s="1"/>
  <c r="S111" i="40" s="1"/>
  <c r="T111" i="40" s="1"/>
  <c r="U111" i="40" s="1"/>
  <c r="V111" i="40" s="1"/>
  <c r="W111" i="40" s="1"/>
  <c r="X111" i="40" s="1"/>
  <c r="Y111" i="40" s="1"/>
  <c r="Z111" i="40" s="1"/>
  <c r="AA111" i="40" s="1"/>
  <c r="AB111" i="40" s="1"/>
  <c r="AC111" i="40" s="1"/>
  <c r="AD111" i="40" s="1"/>
  <c r="AE111" i="40" s="1"/>
  <c r="AF111" i="40" s="1"/>
  <c r="AG111" i="40" s="1"/>
  <c r="AH111" i="40" s="1"/>
  <c r="AI111" i="40" s="1"/>
  <c r="AJ111" i="40" s="1"/>
  <c r="AK111" i="40" s="1"/>
  <c r="AL111" i="40" s="1"/>
  <c r="AM111" i="40" s="1"/>
  <c r="AN111" i="40" s="1"/>
  <c r="AO111" i="40" s="1"/>
  <c r="AP111" i="40" s="1"/>
  <c r="AQ111" i="40" s="1"/>
  <c r="AR111" i="40" s="1"/>
  <c r="AS111" i="40" s="1"/>
  <c r="AT111" i="40" s="1"/>
  <c r="AU111" i="40" s="1"/>
  <c r="AV111" i="40" s="1"/>
  <c r="AW111" i="40" s="1"/>
  <c r="AD110" i="40"/>
  <c r="AE110" i="40" s="1"/>
  <c r="AF110" i="40" s="1"/>
  <c r="AD109" i="40"/>
  <c r="AE109" i="40" s="1"/>
  <c r="AF109" i="40" s="1"/>
  <c r="AG109" i="40" s="1"/>
  <c r="AH109" i="40" s="1"/>
  <c r="AI109" i="40" s="1"/>
  <c r="AJ109" i="40" s="1"/>
  <c r="AK109" i="40" s="1"/>
  <c r="AL109" i="40" s="1"/>
  <c r="AM109" i="40" s="1"/>
  <c r="AN109" i="40" s="1"/>
  <c r="AO109" i="40" s="1"/>
  <c r="AP109" i="40" s="1"/>
  <c r="AQ109" i="40" s="1"/>
  <c r="AR109" i="40" s="1"/>
  <c r="AS109" i="40" s="1"/>
  <c r="AJ107" i="40"/>
  <c r="AK107" i="40" s="1"/>
  <c r="AL107" i="40" s="1"/>
  <c r="AM107" i="40" s="1"/>
  <c r="AN107" i="40" s="1"/>
  <c r="AO107" i="40" s="1"/>
  <c r="AP107" i="40" s="1"/>
  <c r="AQ107" i="40" s="1"/>
  <c r="AR107" i="40" s="1"/>
  <c r="AS107" i="40" s="1"/>
  <c r="AT107" i="40" s="1"/>
  <c r="AU107" i="40" s="1"/>
  <c r="AV107" i="40" s="1"/>
  <c r="AW107" i="40" s="1"/>
  <c r="AX107" i="40" s="1"/>
  <c r="AY107" i="40" s="1"/>
  <c r="AZ107" i="40" s="1"/>
  <c r="BA107" i="40" s="1"/>
  <c r="BB107" i="40" s="1"/>
  <c r="BC107" i="40" s="1"/>
  <c r="BD107" i="40" s="1"/>
  <c r="BE107" i="40" s="1"/>
  <c r="BF107" i="40" s="1"/>
  <c r="BG107" i="40" s="1"/>
  <c r="BH107" i="40" s="1"/>
  <c r="BI107" i="40" s="1"/>
  <c r="BJ107" i="40" s="1"/>
  <c r="BK107" i="40" s="1"/>
  <c r="BL107" i="40" s="1"/>
  <c r="BM107" i="40" s="1"/>
  <c r="BN107" i="40" s="1"/>
  <c r="BO107" i="40" s="1"/>
  <c r="AJ106" i="40"/>
  <c r="AK106" i="40" s="1"/>
  <c r="N105" i="40"/>
  <c r="O105" i="40" s="1"/>
  <c r="P105" i="40" s="1"/>
  <c r="Q105" i="40" s="1"/>
  <c r="R105" i="40" s="1"/>
  <c r="S105" i="40" s="1"/>
  <c r="T105" i="40" s="1"/>
  <c r="U105" i="40" s="1"/>
  <c r="V105" i="40" s="1"/>
  <c r="W105" i="40" s="1"/>
  <c r="X105" i="40" s="1"/>
  <c r="Y105" i="40" s="1"/>
  <c r="Z105" i="40" s="1"/>
  <c r="AA105" i="40" s="1"/>
  <c r="AB105" i="40" s="1"/>
  <c r="AC105" i="40" s="1"/>
  <c r="AD105" i="40" s="1"/>
  <c r="AE105" i="40" s="1"/>
  <c r="AF105" i="40" s="1"/>
  <c r="AG105" i="40" s="1"/>
  <c r="AH105" i="40" s="1"/>
  <c r="AI105" i="40" s="1"/>
  <c r="AJ105" i="40" s="1"/>
  <c r="AK105" i="40" s="1"/>
  <c r="AL105" i="40" s="1"/>
  <c r="AM105" i="40" s="1"/>
  <c r="AN105" i="40" s="1"/>
  <c r="AO105" i="40" s="1"/>
  <c r="AP105" i="40" s="1"/>
  <c r="AQ105" i="40" s="1"/>
  <c r="AR105" i="40" s="1"/>
  <c r="AS105" i="40" s="1"/>
  <c r="AT105" i="40" s="1"/>
  <c r="AU105" i="40" s="1"/>
  <c r="AV105" i="40" s="1"/>
  <c r="AD104" i="40"/>
  <c r="AE104" i="40" s="1"/>
  <c r="AF104" i="40" s="1"/>
  <c r="AG104" i="40" s="1"/>
  <c r="AH104" i="40" s="1"/>
  <c r="AI104" i="40" s="1"/>
  <c r="AJ104" i="40" s="1"/>
  <c r="AK104" i="40" s="1"/>
  <c r="AL104" i="40" s="1"/>
  <c r="AM104" i="40" s="1"/>
  <c r="AN104" i="40" s="1"/>
  <c r="AO104" i="40" s="1"/>
  <c r="AP104" i="40" s="1"/>
  <c r="AQ104" i="40" s="1"/>
  <c r="AR104" i="40" s="1"/>
  <c r="AS104" i="40" s="1"/>
  <c r="AD103" i="40"/>
  <c r="AE103" i="40" s="1"/>
  <c r="AF103" i="40" s="1"/>
  <c r="AJ101" i="40"/>
  <c r="AK101" i="40" s="1"/>
  <c r="AL101" i="40" s="1"/>
  <c r="AM101" i="40" s="1"/>
  <c r="AN101" i="40" s="1"/>
  <c r="AO101" i="40" s="1"/>
  <c r="AP101" i="40" s="1"/>
  <c r="AQ101" i="40" s="1"/>
  <c r="AR101" i="40" s="1"/>
  <c r="AS101" i="40" s="1"/>
  <c r="AT101" i="40" s="1"/>
  <c r="AU101" i="40" s="1"/>
  <c r="AV101" i="40" s="1"/>
  <c r="AW101" i="40" s="1"/>
  <c r="AX101" i="40" s="1"/>
  <c r="AY101" i="40" s="1"/>
  <c r="AZ101" i="40" s="1"/>
  <c r="BA101" i="40" s="1"/>
  <c r="BB101" i="40" s="1"/>
  <c r="BC101" i="40" s="1"/>
  <c r="BD101" i="40" s="1"/>
  <c r="BE101" i="40" s="1"/>
  <c r="BF101" i="40" s="1"/>
  <c r="BG101" i="40" s="1"/>
  <c r="BH101" i="40" s="1"/>
  <c r="BI101" i="40" s="1"/>
  <c r="BJ101" i="40" s="1"/>
  <c r="BK101" i="40" s="1"/>
  <c r="BL101" i="40" s="1"/>
  <c r="BM101" i="40" s="1"/>
  <c r="AJ100" i="40"/>
  <c r="AK100" i="40" s="1"/>
  <c r="AL100" i="40" s="1"/>
  <c r="N99" i="40"/>
  <c r="O99" i="40" s="1"/>
  <c r="P99" i="40" s="1"/>
  <c r="AD98" i="40"/>
  <c r="AE98" i="40" s="1"/>
  <c r="AF98" i="40" s="1"/>
  <c r="AG98" i="40" s="1"/>
  <c r="AH98" i="40" s="1"/>
  <c r="AI98" i="40" s="1"/>
  <c r="AJ98" i="40" s="1"/>
  <c r="AK98" i="40" s="1"/>
  <c r="AL98" i="40" s="1"/>
  <c r="AM98" i="40" s="1"/>
  <c r="AN98" i="40" s="1"/>
  <c r="AO98" i="40" s="1"/>
  <c r="AP98" i="40" s="1"/>
  <c r="AD97" i="40"/>
  <c r="AE97" i="40" s="1"/>
  <c r="AF97" i="40" s="1"/>
  <c r="AG97" i="40" s="1"/>
  <c r="AH97" i="40" s="1"/>
  <c r="AI97" i="40" s="1"/>
  <c r="AJ97" i="40" s="1"/>
  <c r="AK97" i="40" s="1"/>
  <c r="AL97" i="40" s="1"/>
  <c r="AM97" i="40" s="1"/>
  <c r="AN97" i="40" s="1"/>
  <c r="AJ95" i="40"/>
  <c r="AK95" i="40" s="1"/>
  <c r="AL95" i="40" s="1"/>
  <c r="AM95" i="40" s="1"/>
  <c r="AN95" i="40" s="1"/>
  <c r="AO95" i="40" s="1"/>
  <c r="AP95" i="40" s="1"/>
  <c r="AQ95" i="40" s="1"/>
  <c r="AR95" i="40" s="1"/>
  <c r="AS95" i="40" s="1"/>
  <c r="AT95" i="40" s="1"/>
  <c r="AU95" i="40" s="1"/>
  <c r="AV95" i="40" s="1"/>
  <c r="AW95" i="40" s="1"/>
  <c r="AX95" i="40" s="1"/>
  <c r="AY95" i="40" s="1"/>
  <c r="AZ95" i="40" s="1"/>
  <c r="BA95" i="40" s="1"/>
  <c r="BB95" i="40" s="1"/>
  <c r="BC95" i="40" s="1"/>
  <c r="BD95" i="40" s="1"/>
  <c r="BE95" i="40" s="1"/>
  <c r="BF95" i="40" s="1"/>
  <c r="BG95" i="40" s="1"/>
  <c r="BH95" i="40" s="1"/>
  <c r="BI95" i="40" s="1"/>
  <c r="BJ95" i="40" s="1"/>
  <c r="BK95" i="40" s="1"/>
  <c r="BL95" i="40" s="1"/>
  <c r="AJ94" i="40"/>
  <c r="AK94" i="40" s="1"/>
  <c r="AL94" i="40" s="1"/>
  <c r="N93" i="40"/>
  <c r="AD92" i="40"/>
  <c r="AE92" i="40" s="1"/>
  <c r="AD91" i="40"/>
  <c r="AJ89" i="40"/>
  <c r="AK89" i="40" s="1"/>
  <c r="AL89" i="40" s="1"/>
  <c r="AM89" i="40" s="1"/>
  <c r="AN89" i="40" s="1"/>
  <c r="AO89" i="40" s="1"/>
  <c r="AP89" i="40" s="1"/>
  <c r="AQ89" i="40" s="1"/>
  <c r="AR89" i="40" s="1"/>
  <c r="AS89" i="40" s="1"/>
  <c r="AT89" i="40" s="1"/>
  <c r="AU89" i="40" s="1"/>
  <c r="AV89" i="40" s="1"/>
  <c r="AW89" i="40" s="1"/>
  <c r="AX89" i="40" s="1"/>
  <c r="AY89" i="40" s="1"/>
  <c r="AZ89" i="40" s="1"/>
  <c r="BA89" i="40" s="1"/>
  <c r="BB89" i="40" s="1"/>
  <c r="BC89" i="40" s="1"/>
  <c r="BD89" i="40" s="1"/>
  <c r="BE89" i="40" s="1"/>
  <c r="BF89" i="40" s="1"/>
  <c r="BG89" i="40" s="1"/>
  <c r="BH89" i="40" s="1"/>
  <c r="AJ88" i="40"/>
  <c r="AK88" i="40" s="1"/>
  <c r="AL88" i="40" s="1"/>
  <c r="AM88" i="40" s="1"/>
  <c r="AN88" i="40" s="1"/>
  <c r="AO88" i="40" s="1"/>
  <c r="AP88" i="40" s="1"/>
  <c r="AQ88" i="40" s="1"/>
  <c r="N87" i="40"/>
  <c r="O87" i="40" s="1"/>
  <c r="P87" i="40" s="1"/>
  <c r="Q87" i="40" s="1"/>
  <c r="R87" i="40" s="1"/>
  <c r="S87" i="40" s="1"/>
  <c r="T87" i="40" s="1"/>
  <c r="U87" i="40" s="1"/>
  <c r="V87" i="40" s="1"/>
  <c r="W87" i="40" s="1"/>
  <c r="X87" i="40" s="1"/>
  <c r="AD86" i="40"/>
  <c r="AE86" i="40" s="1"/>
  <c r="AD85" i="40"/>
  <c r="AE85" i="40" s="1"/>
  <c r="AF85" i="40" s="1"/>
  <c r="AG85" i="40" s="1"/>
  <c r="AH85" i="40" s="1"/>
  <c r="AI85" i="40" s="1"/>
  <c r="AJ85" i="40" s="1"/>
  <c r="AJ83" i="40"/>
  <c r="AK83" i="40" s="1"/>
  <c r="AJ82" i="40"/>
  <c r="AK82" i="40" s="1"/>
  <c r="AL82" i="40" s="1"/>
  <c r="AM82" i="40" s="1"/>
  <c r="AN82" i="40" s="1"/>
  <c r="AO82" i="40" s="1"/>
  <c r="N81" i="40"/>
  <c r="O81" i="40" s="1"/>
  <c r="P81" i="40" s="1"/>
  <c r="Q81" i="40" s="1"/>
  <c r="R81" i="40" s="1"/>
  <c r="S81" i="40" s="1"/>
  <c r="T81" i="40" s="1"/>
  <c r="U81" i="40" s="1"/>
  <c r="V81" i="40" s="1"/>
  <c r="W81" i="40" s="1"/>
  <c r="X81" i="40" s="1"/>
  <c r="Y81" i="40" s="1"/>
  <c r="Z81" i="40" s="1"/>
  <c r="AA81" i="40" s="1"/>
  <c r="AB81" i="40" s="1"/>
  <c r="AC81" i="40" s="1"/>
  <c r="AD81" i="40" s="1"/>
  <c r="AE81" i="40" s="1"/>
  <c r="AF81" i="40" s="1"/>
  <c r="AG81" i="40" s="1"/>
  <c r="AH81" i="40" s="1"/>
  <c r="AI81" i="40" s="1"/>
  <c r="AJ81" i="40" s="1"/>
  <c r="AK81" i="40" s="1"/>
  <c r="AL81" i="40" s="1"/>
  <c r="AM81" i="40" s="1"/>
  <c r="AD80" i="40"/>
  <c r="AE80" i="40" s="1"/>
  <c r="AF80" i="40" s="1"/>
  <c r="AG80" i="40" s="1"/>
  <c r="AH80" i="40" s="1"/>
  <c r="AI80" i="40" s="1"/>
  <c r="AJ80" i="40" s="1"/>
  <c r="AD79" i="40"/>
  <c r="AJ77" i="40"/>
  <c r="AK77" i="40" s="1"/>
  <c r="AJ76" i="40"/>
  <c r="AK76" i="40" s="1"/>
  <c r="N75" i="40"/>
  <c r="O75" i="40" s="1"/>
  <c r="P75" i="40" s="1"/>
  <c r="Q75" i="40" s="1"/>
  <c r="R75" i="40" s="1"/>
  <c r="S75" i="40" s="1"/>
  <c r="T75" i="40" s="1"/>
  <c r="U75" i="40" s="1"/>
  <c r="V75" i="40" s="1"/>
  <c r="W75" i="40" s="1"/>
  <c r="X75" i="40" s="1"/>
  <c r="Y75" i="40" s="1"/>
  <c r="Z75" i="40" s="1"/>
  <c r="AA75" i="40" s="1"/>
  <c r="AB75" i="40" s="1"/>
  <c r="AC75" i="40" s="1"/>
  <c r="AD75" i="40" s="1"/>
  <c r="AE75" i="40" s="1"/>
  <c r="AF75" i="40" s="1"/>
  <c r="AG75" i="40" s="1"/>
  <c r="AH75" i="40" s="1"/>
  <c r="AI75" i="40" s="1"/>
  <c r="AJ75" i="40" s="1"/>
  <c r="AD74" i="40"/>
  <c r="AE74" i="40" s="1"/>
  <c r="AF74" i="40" s="1"/>
  <c r="AG74" i="40" s="1"/>
  <c r="AD73" i="40"/>
  <c r="K73" i="40" s="1"/>
  <c r="H968" i="36" s="1"/>
  <c r="AJ71" i="40"/>
  <c r="AK71" i="40" s="1"/>
  <c r="AL71" i="40" s="1"/>
  <c r="AM71" i="40" s="1"/>
  <c r="K70" i="40"/>
  <c r="H1024" i="36" s="1"/>
  <c r="N69" i="40"/>
  <c r="O69" i="40" s="1"/>
  <c r="P69" i="40" s="1"/>
  <c r="Q69" i="40" s="1"/>
  <c r="R69" i="40" s="1"/>
  <c r="S69" i="40" s="1"/>
  <c r="T69" i="40" s="1"/>
  <c r="U69" i="40" s="1"/>
  <c r="V69" i="40" s="1"/>
  <c r="W69" i="40" s="1"/>
  <c r="X69" i="40" s="1"/>
  <c r="Y69" i="40" s="1"/>
  <c r="Z69" i="40" s="1"/>
  <c r="AA69" i="40" s="1"/>
  <c r="AB69" i="40" s="1"/>
  <c r="AC69" i="40" s="1"/>
  <c r="AD69" i="40" s="1"/>
  <c r="AE69" i="40" s="1"/>
  <c r="AF69" i="40" s="1"/>
  <c r="AG69" i="40" s="1"/>
  <c r="AD68" i="40"/>
  <c r="K68" i="40" s="1"/>
  <c r="H986" i="36" s="1"/>
  <c r="K67" i="40"/>
  <c r="H967" i="36" s="1"/>
  <c r="AJ65" i="40"/>
  <c r="AJ64" i="40"/>
  <c r="AK64" i="40" s="1"/>
  <c r="AL64" i="40" s="1"/>
  <c r="AM64" i="40" s="1"/>
  <c r="N63" i="40"/>
  <c r="O63" i="40" s="1"/>
  <c r="P63" i="40" s="1"/>
  <c r="Q63" i="40" s="1"/>
  <c r="R63" i="40" s="1"/>
  <c r="S63" i="40" s="1"/>
  <c r="T63" i="40" s="1"/>
  <c r="U63" i="40" s="1"/>
  <c r="V63" i="40" s="1"/>
  <c r="W63" i="40" s="1"/>
  <c r="X63" i="40" s="1"/>
  <c r="Y63" i="40" s="1"/>
  <c r="Z63" i="40" s="1"/>
  <c r="AA63" i="40" s="1"/>
  <c r="AB63" i="40" s="1"/>
  <c r="AC63" i="40" s="1"/>
  <c r="AD63" i="40" s="1"/>
  <c r="AE63" i="40" s="1"/>
  <c r="AF63" i="40" s="1"/>
  <c r="AG63" i="40" s="1"/>
  <c r="AH63" i="40" s="1"/>
  <c r="AI63" i="40" s="1"/>
  <c r="AJ63" i="40" s="1"/>
  <c r="AK63" i="40" s="1"/>
  <c r="AL63" i="40" s="1"/>
  <c r="AM63" i="40" s="1"/>
  <c r="AN63" i="40" s="1"/>
  <c r="AO63" i="40" s="1"/>
  <c r="AP63" i="40" s="1"/>
  <c r="AQ63" i="40" s="1"/>
  <c r="AR63" i="40" s="1"/>
  <c r="AS63" i="40" s="1"/>
  <c r="AT63" i="40" s="1"/>
  <c r="AU63" i="40" s="1"/>
  <c r="AV63" i="40" s="1"/>
  <c r="AW63" i="40" s="1"/>
  <c r="AX63" i="40" s="1"/>
  <c r="AY63" i="40" s="1"/>
  <c r="AZ63" i="40" s="1"/>
  <c r="AD62" i="40"/>
  <c r="AD61" i="40"/>
  <c r="AE61" i="40" s="1"/>
  <c r="AF61" i="40" s="1"/>
  <c r="AG61" i="40" s="1"/>
  <c r="AH61" i="40" s="1"/>
  <c r="AI61" i="40" s="1"/>
  <c r="AJ61" i="40" s="1"/>
  <c r="AK61" i="40" s="1"/>
  <c r="AL61" i="40" s="1"/>
  <c r="AM61" i="40" s="1"/>
  <c r="AN61" i="40" s="1"/>
  <c r="AO61" i="40" s="1"/>
  <c r="AP61" i="40" s="1"/>
  <c r="AQ61" i="40" s="1"/>
  <c r="AR61" i="40" s="1"/>
  <c r="AS61" i="40" s="1"/>
  <c r="AT61" i="40" s="1"/>
  <c r="AU61" i="40" s="1"/>
  <c r="AJ59" i="40"/>
  <c r="AK59" i="40" s="1"/>
  <c r="AJ58" i="40"/>
  <c r="N57" i="40"/>
  <c r="O57" i="40" s="1"/>
  <c r="P57" i="40" s="1"/>
  <c r="Q57" i="40" s="1"/>
  <c r="R57" i="40" s="1"/>
  <c r="S57" i="40" s="1"/>
  <c r="T57" i="40" s="1"/>
  <c r="U57" i="40" s="1"/>
  <c r="V57" i="40" s="1"/>
  <c r="W57" i="40" s="1"/>
  <c r="X57" i="40" s="1"/>
  <c r="Y57" i="40" s="1"/>
  <c r="Z57" i="40" s="1"/>
  <c r="AD56" i="40"/>
  <c r="AE56" i="40" s="1"/>
  <c r="AF56" i="40" s="1"/>
  <c r="AG56" i="40" s="1"/>
  <c r="AH56" i="40" s="1"/>
  <c r="AI56" i="40" s="1"/>
  <c r="AJ56" i="40" s="1"/>
  <c r="AK56" i="40" s="1"/>
  <c r="AL56" i="40" s="1"/>
  <c r="AM56" i="40" s="1"/>
  <c r="AN56" i="40" s="1"/>
  <c r="AO56" i="40" s="1"/>
  <c r="AP56" i="40" s="1"/>
  <c r="AQ56" i="40" s="1"/>
  <c r="AR56" i="40" s="1"/>
  <c r="AS56" i="40" s="1"/>
  <c r="AT56" i="40" s="1"/>
  <c r="AU56" i="40" s="1"/>
  <c r="AD55" i="40"/>
  <c r="AJ53" i="40"/>
  <c r="AK53" i="40" s="1"/>
  <c r="AL53" i="40" s="1"/>
  <c r="AM53" i="40" s="1"/>
  <c r="AN53" i="40" s="1"/>
  <c r="AO53" i="40" s="1"/>
  <c r="AP53" i="40" s="1"/>
  <c r="AQ53" i="40" s="1"/>
  <c r="AR53" i="40" s="1"/>
  <c r="AS53" i="40" s="1"/>
  <c r="AT53" i="40" s="1"/>
  <c r="AU53" i="40" s="1"/>
  <c r="AV53" i="40" s="1"/>
  <c r="AW53" i="40" s="1"/>
  <c r="AX53" i="40" s="1"/>
  <c r="AY53" i="40" s="1"/>
  <c r="AZ53" i="40" s="1"/>
  <c r="BA53" i="40" s="1"/>
  <c r="BB53" i="40" s="1"/>
  <c r="BC53" i="40" s="1"/>
  <c r="BD53" i="40" s="1"/>
  <c r="BE53" i="40" s="1"/>
  <c r="BF53" i="40" s="1"/>
  <c r="BG53" i="40" s="1"/>
  <c r="BH53" i="40" s="1"/>
  <c r="BI53" i="40" s="1"/>
  <c r="BJ53" i="40" s="1"/>
  <c r="BK53" i="40" s="1"/>
  <c r="BL53" i="40" s="1"/>
  <c r="BM53" i="40" s="1"/>
  <c r="BN53" i="40" s="1"/>
  <c r="AJ52" i="40"/>
  <c r="N51" i="40"/>
  <c r="O51" i="40" s="1"/>
  <c r="P51" i="40" s="1"/>
  <c r="Q51" i="40" s="1"/>
  <c r="R51" i="40" s="1"/>
  <c r="S51" i="40" s="1"/>
  <c r="T51" i="40" s="1"/>
  <c r="U51" i="40" s="1"/>
  <c r="V51" i="40" s="1"/>
  <c r="W51" i="40" s="1"/>
  <c r="X51" i="40" s="1"/>
  <c r="Y51" i="40" s="1"/>
  <c r="Z51" i="40" s="1"/>
  <c r="AA51" i="40" s="1"/>
  <c r="AB51" i="40" s="1"/>
  <c r="AC51" i="40" s="1"/>
  <c r="AD51" i="40" s="1"/>
  <c r="AE51" i="40" s="1"/>
  <c r="AF51" i="40" s="1"/>
  <c r="AG51" i="40" s="1"/>
  <c r="AH51" i="40" s="1"/>
  <c r="AI51" i="40" s="1"/>
  <c r="AJ51" i="40" s="1"/>
  <c r="AK51" i="40" s="1"/>
  <c r="AL51" i="40" s="1"/>
  <c r="AM51" i="40" s="1"/>
  <c r="AN51" i="40" s="1"/>
  <c r="AO51" i="40" s="1"/>
  <c r="AP51" i="40" s="1"/>
  <c r="AQ51" i="40" s="1"/>
  <c r="AR51" i="40" s="1"/>
  <c r="AS51" i="40" s="1"/>
  <c r="AT51" i="40" s="1"/>
  <c r="AU51" i="40" s="1"/>
  <c r="AD50" i="40"/>
  <c r="AE50" i="40" s="1"/>
  <c r="AD49" i="40"/>
  <c r="AE49" i="40" s="1"/>
  <c r="AF49" i="40" s="1"/>
  <c r="AG49" i="40" s="1"/>
  <c r="AH49" i="40" s="1"/>
  <c r="AI49" i="40" s="1"/>
  <c r="AJ49" i="40" s="1"/>
  <c r="AK49" i="40" s="1"/>
  <c r="AL49" i="40" s="1"/>
  <c r="AM49" i="40" s="1"/>
  <c r="AN49" i="40" s="1"/>
  <c r="AO49" i="40" s="1"/>
  <c r="AP49" i="40" s="1"/>
  <c r="AJ47" i="40"/>
  <c r="AK47" i="40" s="1"/>
  <c r="AL47" i="40" s="1"/>
  <c r="AM47" i="40" s="1"/>
  <c r="AN47" i="40" s="1"/>
  <c r="AO47" i="40" s="1"/>
  <c r="AP47" i="40" s="1"/>
  <c r="AQ47" i="40" s="1"/>
  <c r="AR47" i="40" s="1"/>
  <c r="AS47" i="40" s="1"/>
  <c r="AT47" i="40" s="1"/>
  <c r="AU47" i="40" s="1"/>
  <c r="AV47" i="40" s="1"/>
  <c r="AW47" i="40" s="1"/>
  <c r="AX47" i="40" s="1"/>
  <c r="AY47" i="40" s="1"/>
  <c r="AZ47" i="40" s="1"/>
  <c r="BA47" i="40" s="1"/>
  <c r="BB47" i="40" s="1"/>
  <c r="BC47" i="40" s="1"/>
  <c r="BD47" i="40" s="1"/>
  <c r="BE47" i="40" s="1"/>
  <c r="BF47" i="40" s="1"/>
  <c r="BG47" i="40" s="1"/>
  <c r="BH47" i="40" s="1"/>
  <c r="BI47" i="40" s="1"/>
  <c r="BJ47" i="40" s="1"/>
  <c r="BK47" i="40" s="1"/>
  <c r="AJ46" i="40"/>
  <c r="AK46" i="40" s="1"/>
  <c r="AL46" i="40" s="1"/>
  <c r="AM46" i="40" s="1"/>
  <c r="AN46" i="40" s="1"/>
  <c r="AO46" i="40" s="1"/>
  <c r="AP46" i="40" s="1"/>
  <c r="AQ46" i="40" s="1"/>
  <c r="AR46" i="40" s="1"/>
  <c r="AS46" i="40" s="1"/>
  <c r="AT46" i="40" s="1"/>
  <c r="N45" i="40"/>
  <c r="O45" i="40" s="1"/>
  <c r="AD44" i="40"/>
  <c r="AE44" i="40" s="1"/>
  <c r="AF44" i="40" s="1"/>
  <c r="AG44" i="40" s="1"/>
  <c r="AH44" i="40" s="1"/>
  <c r="AI44" i="40" s="1"/>
  <c r="AJ44" i="40" s="1"/>
  <c r="AK44" i="40" s="1"/>
  <c r="AL44" i="40" s="1"/>
  <c r="AM44" i="40" s="1"/>
  <c r="AN44" i="40" s="1"/>
  <c r="AO44" i="40" s="1"/>
  <c r="AP44" i="40" s="1"/>
  <c r="AD43" i="40"/>
  <c r="AE43" i="40" s="1"/>
  <c r="AF43" i="40" s="1"/>
  <c r="AJ41" i="40"/>
  <c r="AK41" i="40" s="1"/>
  <c r="AL41" i="40" s="1"/>
  <c r="AM41" i="40" s="1"/>
  <c r="AN41" i="40" s="1"/>
  <c r="AO41" i="40" s="1"/>
  <c r="AP41" i="40" s="1"/>
  <c r="AQ41" i="40" s="1"/>
  <c r="AR41" i="40" s="1"/>
  <c r="AS41" i="40" s="1"/>
  <c r="AT41" i="40" s="1"/>
  <c r="AU41" i="40" s="1"/>
  <c r="AV41" i="40" s="1"/>
  <c r="AW41" i="40" s="1"/>
  <c r="AX41" i="40" s="1"/>
  <c r="AY41" i="40" s="1"/>
  <c r="AZ41" i="40" s="1"/>
  <c r="BA41" i="40" s="1"/>
  <c r="BB41" i="40" s="1"/>
  <c r="BC41" i="40" s="1"/>
  <c r="BD41" i="40" s="1"/>
  <c r="BE41" i="40" s="1"/>
  <c r="BF41" i="40" s="1"/>
  <c r="BG41" i="40" s="1"/>
  <c r="BH41" i="40" s="1"/>
  <c r="BI41" i="40" s="1"/>
  <c r="AJ40" i="40"/>
  <c r="AK40" i="40" s="1"/>
  <c r="AL40" i="40" s="1"/>
  <c r="N39" i="40"/>
  <c r="AD38" i="40"/>
  <c r="AE38" i="40" s="1"/>
  <c r="AD37" i="40"/>
  <c r="AJ35" i="40"/>
  <c r="AK35" i="40" s="1"/>
  <c r="AL35" i="40" s="1"/>
  <c r="AM35" i="40" s="1"/>
  <c r="AN35" i="40" s="1"/>
  <c r="AO35" i="40" s="1"/>
  <c r="AP35" i="40" s="1"/>
  <c r="AQ35" i="40" s="1"/>
  <c r="AR35" i="40" s="1"/>
  <c r="AS35" i="40" s="1"/>
  <c r="AT35" i="40" s="1"/>
  <c r="AU35" i="40" s="1"/>
  <c r="AV35" i="40" s="1"/>
  <c r="AW35" i="40" s="1"/>
  <c r="AX35" i="40" s="1"/>
  <c r="AY35" i="40" s="1"/>
  <c r="AZ35" i="40" s="1"/>
  <c r="BA35" i="40" s="1"/>
  <c r="BB35" i="40" s="1"/>
  <c r="BC35" i="40" s="1"/>
  <c r="BD35" i="40" s="1"/>
  <c r="BE35" i="40" s="1"/>
  <c r="BF35" i="40" s="1"/>
  <c r="BG35" i="40" s="1"/>
  <c r="AJ34" i="40"/>
  <c r="AK34" i="40" s="1"/>
  <c r="AL34" i="40" s="1"/>
  <c r="N33" i="40"/>
  <c r="O33" i="40" s="1"/>
  <c r="P33" i="40" s="1"/>
  <c r="Q33" i="40" s="1"/>
  <c r="R33" i="40" s="1"/>
  <c r="S33" i="40" s="1"/>
  <c r="T33" i="40" s="1"/>
  <c r="U33" i="40" s="1"/>
  <c r="V33" i="40" s="1"/>
  <c r="W33" i="40" s="1"/>
  <c r="X33" i="40" s="1"/>
  <c r="Y33" i="40" s="1"/>
  <c r="Z33" i="40" s="1"/>
  <c r="AA33" i="40" s="1"/>
  <c r="AB33" i="40" s="1"/>
  <c r="AC33" i="40" s="1"/>
  <c r="AD33" i="40" s="1"/>
  <c r="AE33" i="40" s="1"/>
  <c r="AF33" i="40" s="1"/>
  <c r="AG33" i="40" s="1"/>
  <c r="AH33" i="40" s="1"/>
  <c r="AI33" i="40" s="1"/>
  <c r="AJ33" i="40" s="1"/>
  <c r="AK33" i="40" s="1"/>
  <c r="AL33" i="40" s="1"/>
  <c r="AM33" i="40" s="1"/>
  <c r="AD32" i="40"/>
  <c r="AE32" i="40" s="1"/>
  <c r="AF32" i="40" s="1"/>
  <c r="AG32" i="40" s="1"/>
  <c r="AH32" i="40" s="1"/>
  <c r="AI32" i="40" s="1"/>
  <c r="AJ32" i="40" s="1"/>
  <c r="AK32" i="40" s="1"/>
  <c r="AL32" i="40" s="1"/>
  <c r="AD31" i="40"/>
  <c r="AE31" i="40" s="1"/>
  <c r="AF31" i="40" s="1"/>
  <c r="AG31" i="40" s="1"/>
  <c r="AJ29" i="40"/>
  <c r="AK29" i="40" s="1"/>
  <c r="AL29" i="40" s="1"/>
  <c r="AJ28" i="40"/>
  <c r="AK28" i="40" s="1"/>
  <c r="AL28" i="40" s="1"/>
  <c r="AM28" i="40" s="1"/>
  <c r="N27" i="40"/>
  <c r="O27" i="40" s="1"/>
  <c r="P27" i="40" s="1"/>
  <c r="Q27" i="40" s="1"/>
  <c r="R27" i="40" s="1"/>
  <c r="S27" i="40" s="1"/>
  <c r="T27" i="40" s="1"/>
  <c r="U27" i="40" s="1"/>
  <c r="AD26" i="40"/>
  <c r="AE26" i="40" s="1"/>
  <c r="AD25" i="40"/>
  <c r="AJ17" i="40"/>
  <c r="AK17" i="40" s="1"/>
  <c r="AL17" i="40" s="1"/>
  <c r="AM17" i="40" s="1"/>
  <c r="AN17" i="40" s="1"/>
  <c r="AO17" i="40" s="1"/>
  <c r="AP17" i="40" s="1"/>
  <c r="AQ17" i="40" s="1"/>
  <c r="AR17" i="40" s="1"/>
  <c r="AS17" i="40" s="1"/>
  <c r="AT17" i="40" s="1"/>
  <c r="AU17" i="40" s="1"/>
  <c r="AV17" i="40" s="1"/>
  <c r="AW17" i="40" s="1"/>
  <c r="AX17" i="40" s="1"/>
  <c r="AY17" i="40" s="1"/>
  <c r="AZ17" i="40" s="1"/>
  <c r="BA17" i="40" s="1"/>
  <c r="BB17" i="40" s="1"/>
  <c r="AJ16" i="40"/>
  <c r="N15" i="40"/>
  <c r="O15" i="40" s="1"/>
  <c r="P15" i="40" s="1"/>
  <c r="AD14" i="40"/>
  <c r="AE14" i="40" s="1"/>
  <c r="AF14" i="40" s="1"/>
  <c r="AD13" i="40"/>
  <c r="K13" i="40" s="1"/>
  <c r="H958" i="36" s="1"/>
  <c r="AJ11" i="40"/>
  <c r="AK11" i="40" s="1"/>
  <c r="K10" i="40"/>
  <c r="H1014" i="36" s="1"/>
  <c r="N9" i="40"/>
  <c r="O9" i="40" s="1"/>
  <c r="P9" i="40" s="1"/>
  <c r="Q9" i="40" s="1"/>
  <c r="R9" i="40" s="1"/>
  <c r="S9" i="40" s="1"/>
  <c r="T9" i="40" s="1"/>
  <c r="U9" i="40" s="1"/>
  <c r="V9" i="40" s="1"/>
  <c r="W9" i="40" s="1"/>
  <c r="X9" i="40" s="1"/>
  <c r="Y9" i="40" s="1"/>
  <c r="Z9" i="40" s="1"/>
  <c r="AA9" i="40" s="1"/>
  <c r="AB9" i="40" s="1"/>
  <c r="AC9" i="40" s="1"/>
  <c r="AD9" i="40" s="1"/>
  <c r="AE9" i="40" s="1"/>
  <c r="AF9" i="40" s="1"/>
  <c r="AD8" i="40"/>
  <c r="K8" i="40" s="1"/>
  <c r="H976" i="36" s="1"/>
  <c r="K7" i="40"/>
  <c r="H957" i="36" s="1"/>
  <c r="AH119" i="39"/>
  <c r="AH118" i="39"/>
  <c r="AI118" i="39" s="1"/>
  <c r="N117" i="39"/>
  <c r="O117" i="39" s="1"/>
  <c r="AB116" i="39"/>
  <c r="AC116" i="39" s="1"/>
  <c r="AD116" i="39" s="1"/>
  <c r="AE116" i="39" s="1"/>
  <c r="AF116" i="39" s="1"/>
  <c r="AG116" i="39" s="1"/>
  <c r="AH116" i="39" s="1"/>
  <c r="AI116" i="39" s="1"/>
  <c r="AJ116" i="39" s="1"/>
  <c r="AK116" i="39" s="1"/>
  <c r="AL116" i="39" s="1"/>
  <c r="AM116" i="39" s="1"/>
  <c r="AN116" i="39" s="1"/>
  <c r="AO116" i="39" s="1"/>
  <c r="AP116" i="39" s="1"/>
  <c r="AQ116" i="39" s="1"/>
  <c r="AR116" i="39" s="1"/>
  <c r="AS116" i="39" s="1"/>
  <c r="AT116" i="39" s="1"/>
  <c r="AB115" i="39"/>
  <c r="AC115" i="39" s="1"/>
  <c r="AD115" i="39" s="1"/>
  <c r="AE115" i="39" s="1"/>
  <c r="AF115" i="39" s="1"/>
  <c r="AG115" i="39" s="1"/>
  <c r="AH113" i="39"/>
  <c r="AI113" i="39" s="1"/>
  <c r="AH112" i="39"/>
  <c r="N111" i="39"/>
  <c r="AB110" i="39"/>
  <c r="AC110" i="39" s="1"/>
  <c r="AD110" i="39" s="1"/>
  <c r="AB109" i="39"/>
  <c r="AH107" i="39"/>
  <c r="AI107" i="39" s="1"/>
  <c r="AH106" i="39"/>
  <c r="AI106" i="39" s="1"/>
  <c r="N105" i="39"/>
  <c r="O105" i="39" s="1"/>
  <c r="P105" i="39" s="1"/>
  <c r="Q105" i="39" s="1"/>
  <c r="R105" i="39" s="1"/>
  <c r="S105" i="39" s="1"/>
  <c r="T105" i="39" s="1"/>
  <c r="U105" i="39" s="1"/>
  <c r="V105" i="39" s="1"/>
  <c r="W105" i="39" s="1"/>
  <c r="X105" i="39" s="1"/>
  <c r="Y105" i="39" s="1"/>
  <c r="Z105" i="39" s="1"/>
  <c r="AA105" i="39" s="1"/>
  <c r="AB105" i="39" s="1"/>
  <c r="AC105" i="39" s="1"/>
  <c r="AD105" i="39" s="1"/>
  <c r="AE105" i="39" s="1"/>
  <c r="AF105" i="39" s="1"/>
  <c r="AG105" i="39" s="1"/>
  <c r="AH105" i="39" s="1"/>
  <c r="AI105" i="39" s="1"/>
  <c r="AJ105" i="39" s="1"/>
  <c r="AK105" i="39" s="1"/>
  <c r="AL105" i="39" s="1"/>
  <c r="AM105" i="39" s="1"/>
  <c r="AN105" i="39" s="1"/>
  <c r="AO105" i="39" s="1"/>
  <c r="AP105" i="39" s="1"/>
  <c r="AQ105" i="39" s="1"/>
  <c r="AR105" i="39" s="1"/>
  <c r="AS105" i="39" s="1"/>
  <c r="AB104" i="39"/>
  <c r="AC104" i="39" s="1"/>
  <c r="AD104" i="39" s="1"/>
  <c r="AE104" i="39" s="1"/>
  <c r="AF104" i="39" s="1"/>
  <c r="AG104" i="39" s="1"/>
  <c r="AH104" i="39" s="1"/>
  <c r="AI104" i="39" s="1"/>
  <c r="AJ104" i="39" s="1"/>
  <c r="AK104" i="39" s="1"/>
  <c r="AL104" i="39" s="1"/>
  <c r="AM104" i="39" s="1"/>
  <c r="AN104" i="39" s="1"/>
  <c r="AO104" i="39" s="1"/>
  <c r="AB103" i="39"/>
  <c r="AC103" i="39" s="1"/>
  <c r="AD103" i="39" s="1"/>
  <c r="AE103" i="39" s="1"/>
  <c r="AF103" i="39" s="1"/>
  <c r="AG103" i="39" s="1"/>
  <c r="AH103" i="39" s="1"/>
  <c r="AI103" i="39" s="1"/>
  <c r="AJ103" i="39" s="1"/>
  <c r="AK103" i="39" s="1"/>
  <c r="AL103" i="39" s="1"/>
  <c r="AH101" i="39"/>
  <c r="AI101" i="39" s="1"/>
  <c r="AH100" i="39"/>
  <c r="N99" i="39"/>
  <c r="O99" i="39" s="1"/>
  <c r="P99" i="39" s="1"/>
  <c r="AB98" i="39"/>
  <c r="AC98" i="39" s="1"/>
  <c r="AB97" i="39"/>
  <c r="AC97" i="39" s="1"/>
  <c r="AD97" i="39" s="1"/>
  <c r="AH95" i="39"/>
  <c r="AH94" i="39"/>
  <c r="N93" i="39"/>
  <c r="O93" i="39" s="1"/>
  <c r="P93" i="39" s="1"/>
  <c r="Q93" i="39" s="1"/>
  <c r="R93" i="39" s="1"/>
  <c r="S93" i="39" s="1"/>
  <c r="AB92" i="39"/>
  <c r="AB91" i="39"/>
  <c r="AC91" i="39" s="1"/>
  <c r="AD91" i="39" s="1"/>
  <c r="AE91" i="39" s="1"/>
  <c r="AF91" i="39" s="1"/>
  <c r="AG91" i="39" s="1"/>
  <c r="AH91" i="39" s="1"/>
  <c r="AH89" i="39"/>
  <c r="AI89" i="39" s="1"/>
  <c r="AJ89" i="39" s="1"/>
  <c r="AK89" i="39" s="1"/>
  <c r="AL89" i="39" s="1"/>
  <c r="AM89" i="39" s="1"/>
  <c r="AN89" i="39" s="1"/>
  <c r="AO89" i="39" s="1"/>
  <c r="AP89" i="39" s="1"/>
  <c r="AQ89" i="39" s="1"/>
  <c r="AR89" i="39" s="1"/>
  <c r="AS89" i="39" s="1"/>
  <c r="AT89" i="39" s="1"/>
  <c r="AU89" i="39" s="1"/>
  <c r="AV89" i="39" s="1"/>
  <c r="AW89" i="39" s="1"/>
  <c r="AX89" i="39" s="1"/>
  <c r="AY89" i="39" s="1"/>
  <c r="AZ89" i="39" s="1"/>
  <c r="BA89" i="39" s="1"/>
  <c r="BB89" i="39" s="1"/>
  <c r="BC89" i="39" s="1"/>
  <c r="AH88" i="39"/>
  <c r="N87" i="39"/>
  <c r="O87" i="39" s="1"/>
  <c r="P87" i="39" s="1"/>
  <c r="Q87" i="39" s="1"/>
  <c r="R87" i="39" s="1"/>
  <c r="S87" i="39" s="1"/>
  <c r="T87" i="39" s="1"/>
  <c r="U87" i="39" s="1"/>
  <c r="V87" i="39" s="1"/>
  <c r="W87" i="39" s="1"/>
  <c r="X87" i="39" s="1"/>
  <c r="Y87" i="39" s="1"/>
  <c r="Z87" i="39" s="1"/>
  <c r="AA87" i="39" s="1"/>
  <c r="AB87" i="39" s="1"/>
  <c r="AC87" i="39" s="1"/>
  <c r="AD87" i="39" s="1"/>
  <c r="AE87" i="39" s="1"/>
  <c r="AF87" i="39" s="1"/>
  <c r="AG87" i="39" s="1"/>
  <c r="AH87" i="39" s="1"/>
  <c r="AI87" i="39" s="1"/>
  <c r="AJ87" i="39" s="1"/>
  <c r="AK87" i="39" s="1"/>
  <c r="AL87" i="39" s="1"/>
  <c r="AB86" i="39"/>
  <c r="AB85" i="39"/>
  <c r="AC85" i="39" s="1"/>
  <c r="AD85" i="39" s="1"/>
  <c r="AE85" i="39" s="1"/>
  <c r="AF85" i="39" s="1"/>
  <c r="AH83" i="39"/>
  <c r="AH82" i="39"/>
  <c r="AI82" i="39" s="1"/>
  <c r="AJ82" i="39" s="1"/>
  <c r="AK82" i="39" s="1"/>
  <c r="AL82" i="39" s="1"/>
  <c r="N81" i="39"/>
  <c r="O81" i="39" s="1"/>
  <c r="AB80" i="39"/>
  <c r="AC80" i="39" s="1"/>
  <c r="AD80" i="39" s="1"/>
  <c r="AE80" i="39" s="1"/>
  <c r="AF80" i="39" s="1"/>
  <c r="AB79" i="39"/>
  <c r="AC79" i="39" s="1"/>
  <c r="AH77" i="39"/>
  <c r="AI77" i="39" s="1"/>
  <c r="AJ77" i="39" s="1"/>
  <c r="AK77" i="39" s="1"/>
  <c r="AL77" i="39" s="1"/>
  <c r="AM77" i="39" s="1"/>
  <c r="AN77" i="39" s="1"/>
  <c r="AO77" i="39" s="1"/>
  <c r="AP77" i="39" s="1"/>
  <c r="AQ77" i="39" s="1"/>
  <c r="AR77" i="39" s="1"/>
  <c r="AS77" i="39" s="1"/>
  <c r="AT77" i="39" s="1"/>
  <c r="AU77" i="39" s="1"/>
  <c r="AV77" i="39" s="1"/>
  <c r="AW77" i="39" s="1"/>
  <c r="AX77" i="39" s="1"/>
  <c r="AY77" i="39" s="1"/>
  <c r="AH76" i="39"/>
  <c r="N75" i="39"/>
  <c r="O75" i="39" s="1"/>
  <c r="P75" i="39" s="1"/>
  <c r="Q75" i="39" s="1"/>
  <c r="R75" i="39" s="1"/>
  <c r="S75" i="39" s="1"/>
  <c r="T75" i="39" s="1"/>
  <c r="U75" i="39" s="1"/>
  <c r="V75" i="39" s="1"/>
  <c r="W75" i="39" s="1"/>
  <c r="X75" i="39" s="1"/>
  <c r="Y75" i="39" s="1"/>
  <c r="Z75" i="39" s="1"/>
  <c r="AA75" i="39" s="1"/>
  <c r="AB75" i="39" s="1"/>
  <c r="AC75" i="39" s="1"/>
  <c r="AD75" i="39" s="1"/>
  <c r="AE75" i="39" s="1"/>
  <c r="AF75" i="39" s="1"/>
  <c r="AG75" i="39" s="1"/>
  <c r="AB74" i="39"/>
  <c r="AC74" i="39" s="1"/>
  <c r="AD74" i="39" s="1"/>
  <c r="AB73" i="39"/>
  <c r="K73" i="39" s="1"/>
  <c r="H778" i="36" s="1"/>
  <c r="AH71" i="39"/>
  <c r="K70" i="39"/>
  <c r="H834" i="36" s="1"/>
  <c r="N69" i="39"/>
  <c r="O69" i="39" s="1"/>
  <c r="P69" i="39" s="1"/>
  <c r="Q69" i="39" s="1"/>
  <c r="R69" i="39" s="1"/>
  <c r="S69" i="39" s="1"/>
  <c r="T69" i="39" s="1"/>
  <c r="U69" i="39" s="1"/>
  <c r="V69" i="39" s="1"/>
  <c r="W69" i="39" s="1"/>
  <c r="X69" i="39" s="1"/>
  <c r="Y69" i="39" s="1"/>
  <c r="Z69" i="39" s="1"/>
  <c r="AA69" i="39" s="1"/>
  <c r="AB69" i="39" s="1"/>
  <c r="AC69" i="39" s="1"/>
  <c r="AD69" i="39" s="1"/>
  <c r="AE69" i="39" s="1"/>
  <c r="AB68" i="39"/>
  <c r="K68" i="39" s="1"/>
  <c r="H796" i="36" s="1"/>
  <c r="K67" i="39"/>
  <c r="H777" i="36" s="1"/>
  <c r="AH65" i="39"/>
  <c r="AI65" i="39" s="1"/>
  <c r="AJ65" i="39" s="1"/>
  <c r="AK65" i="39" s="1"/>
  <c r="AL65" i="39" s="1"/>
  <c r="AM65" i="39" s="1"/>
  <c r="AN65" i="39" s="1"/>
  <c r="AO65" i="39" s="1"/>
  <c r="AP65" i="39" s="1"/>
  <c r="AQ65" i="39" s="1"/>
  <c r="AR65" i="39" s="1"/>
  <c r="AS65" i="39" s="1"/>
  <c r="AT65" i="39" s="1"/>
  <c r="AU65" i="39" s="1"/>
  <c r="AV65" i="39" s="1"/>
  <c r="AW65" i="39" s="1"/>
  <c r="AX65" i="39" s="1"/>
  <c r="AY65" i="39" s="1"/>
  <c r="AZ65" i="39" s="1"/>
  <c r="BA65" i="39" s="1"/>
  <c r="BB65" i="39" s="1"/>
  <c r="BC65" i="39" s="1"/>
  <c r="BD65" i="39" s="1"/>
  <c r="BE65" i="39" s="1"/>
  <c r="BF65" i="39" s="1"/>
  <c r="BG65" i="39" s="1"/>
  <c r="BH65" i="39" s="1"/>
  <c r="BI65" i="39" s="1"/>
  <c r="BJ65" i="39" s="1"/>
  <c r="BK65" i="39" s="1"/>
  <c r="BL65" i="39" s="1"/>
  <c r="BM65" i="39" s="1"/>
  <c r="AH64" i="39"/>
  <c r="N63" i="39"/>
  <c r="O63" i="39" s="1"/>
  <c r="P63" i="39" s="1"/>
  <c r="Q63" i="39" s="1"/>
  <c r="AB62" i="39"/>
  <c r="AB61" i="39"/>
  <c r="AC61" i="39" s="1"/>
  <c r="AD61" i="39" s="1"/>
  <c r="AE61" i="39" s="1"/>
  <c r="AF61" i="39" s="1"/>
  <c r="AG61" i="39" s="1"/>
  <c r="AH61" i="39" s="1"/>
  <c r="AI61" i="39" s="1"/>
  <c r="AJ61" i="39" s="1"/>
  <c r="AK61" i="39" s="1"/>
  <c r="AL61" i="39" s="1"/>
  <c r="AM61" i="39" s="1"/>
  <c r="AN61" i="39" s="1"/>
  <c r="AO61" i="39" s="1"/>
  <c r="AP61" i="39" s="1"/>
  <c r="AQ61" i="39" s="1"/>
  <c r="AR61" i="39" s="1"/>
  <c r="AH59" i="39"/>
  <c r="AI59" i="39" s="1"/>
  <c r="AJ59" i="39" s="1"/>
  <c r="AK59" i="39" s="1"/>
  <c r="AL59" i="39" s="1"/>
  <c r="AM59" i="39" s="1"/>
  <c r="AN59" i="39" s="1"/>
  <c r="AO59" i="39" s="1"/>
  <c r="AP59" i="39" s="1"/>
  <c r="AQ59" i="39" s="1"/>
  <c r="AR59" i="39" s="1"/>
  <c r="AS59" i="39" s="1"/>
  <c r="AT59" i="39" s="1"/>
  <c r="AU59" i="39" s="1"/>
  <c r="AV59" i="39" s="1"/>
  <c r="AW59" i="39" s="1"/>
  <c r="AX59" i="39" s="1"/>
  <c r="AY59" i="39" s="1"/>
  <c r="AZ59" i="39" s="1"/>
  <c r="BA59" i="39" s="1"/>
  <c r="BB59" i="39" s="1"/>
  <c r="BC59" i="39" s="1"/>
  <c r="BD59" i="39" s="1"/>
  <c r="BE59" i="39" s="1"/>
  <c r="BF59" i="39" s="1"/>
  <c r="BG59" i="39" s="1"/>
  <c r="BH59" i="39" s="1"/>
  <c r="BI59" i="39" s="1"/>
  <c r="BJ59" i="39" s="1"/>
  <c r="BK59" i="39" s="1"/>
  <c r="AH58" i="39"/>
  <c r="AI58" i="39" s="1"/>
  <c r="AJ58" i="39" s="1"/>
  <c r="AK58" i="39" s="1"/>
  <c r="AL58" i="39" s="1"/>
  <c r="AM58" i="39" s="1"/>
  <c r="AN58" i="39" s="1"/>
  <c r="AO58" i="39" s="1"/>
  <c r="AP58" i="39" s="1"/>
  <c r="AQ58" i="39" s="1"/>
  <c r="AR58" i="39" s="1"/>
  <c r="AS58" i="39" s="1"/>
  <c r="AT58" i="39" s="1"/>
  <c r="AU58" i="39" s="1"/>
  <c r="N57" i="39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AC57" i="39" s="1"/>
  <c r="AD57" i="39" s="1"/>
  <c r="AE57" i="39" s="1"/>
  <c r="AF57" i="39" s="1"/>
  <c r="AG57" i="39" s="1"/>
  <c r="AH57" i="39" s="1"/>
  <c r="AI57" i="39" s="1"/>
  <c r="AJ57" i="39" s="1"/>
  <c r="AK57" i="39" s="1"/>
  <c r="AL57" i="39" s="1"/>
  <c r="AM57" i="39" s="1"/>
  <c r="AN57" i="39" s="1"/>
  <c r="AO57" i="39" s="1"/>
  <c r="AP57" i="39" s="1"/>
  <c r="AQ57" i="39" s="1"/>
  <c r="AR57" i="39" s="1"/>
  <c r="AS57" i="39" s="1"/>
  <c r="AB56" i="39"/>
  <c r="AC56" i="39" s="1"/>
  <c r="AD56" i="39" s="1"/>
  <c r="AE56" i="39" s="1"/>
  <c r="AF56" i="39" s="1"/>
  <c r="AG56" i="39" s="1"/>
  <c r="AH56" i="39" s="1"/>
  <c r="AI56" i="39" s="1"/>
  <c r="AJ56" i="39" s="1"/>
  <c r="AK56" i="39" s="1"/>
  <c r="AL56" i="39" s="1"/>
  <c r="AM56" i="39" s="1"/>
  <c r="AN56" i="39" s="1"/>
  <c r="AO56" i="39" s="1"/>
  <c r="AP56" i="39" s="1"/>
  <c r="AQ56" i="39" s="1"/>
  <c r="AR56" i="39" s="1"/>
  <c r="AB55" i="39"/>
  <c r="AC55" i="39" s="1"/>
  <c r="AD55" i="39" s="1"/>
  <c r="AE55" i="39" s="1"/>
  <c r="AF55" i="39" s="1"/>
  <c r="AG55" i="39" s="1"/>
  <c r="AH55" i="39" s="1"/>
  <c r="AI55" i="39" s="1"/>
  <c r="AJ55" i="39" s="1"/>
  <c r="AK55" i="39" s="1"/>
  <c r="AL55" i="39" s="1"/>
  <c r="AM55" i="39" s="1"/>
  <c r="AN55" i="39" s="1"/>
  <c r="AO55" i="39" s="1"/>
  <c r="AP55" i="39" s="1"/>
  <c r="AH53" i="39"/>
  <c r="AI53" i="39" s="1"/>
  <c r="AJ53" i="39" s="1"/>
  <c r="AK53" i="39" s="1"/>
  <c r="AL53" i="39" s="1"/>
  <c r="AM53" i="39" s="1"/>
  <c r="AN53" i="39" s="1"/>
  <c r="AO53" i="39" s="1"/>
  <c r="AP53" i="39" s="1"/>
  <c r="AQ53" i="39" s="1"/>
  <c r="AR53" i="39" s="1"/>
  <c r="AS53" i="39" s="1"/>
  <c r="AT53" i="39" s="1"/>
  <c r="AU53" i="39" s="1"/>
  <c r="AV53" i="39" s="1"/>
  <c r="AW53" i="39" s="1"/>
  <c r="AX53" i="39" s="1"/>
  <c r="AY53" i="39" s="1"/>
  <c r="AZ53" i="39" s="1"/>
  <c r="BA53" i="39" s="1"/>
  <c r="BB53" i="39" s="1"/>
  <c r="BC53" i="39" s="1"/>
  <c r="BD53" i="39" s="1"/>
  <c r="BE53" i="39" s="1"/>
  <c r="BF53" i="39" s="1"/>
  <c r="BG53" i="39" s="1"/>
  <c r="BH53" i="39" s="1"/>
  <c r="BI53" i="39" s="1"/>
  <c r="AH52" i="39"/>
  <c r="AI52" i="39" s="1"/>
  <c r="N51" i="39"/>
  <c r="O51" i="39" s="1"/>
  <c r="P51" i="39" s="1"/>
  <c r="Q51" i="39" s="1"/>
  <c r="R51" i="39" s="1"/>
  <c r="S51" i="39" s="1"/>
  <c r="T51" i="39" s="1"/>
  <c r="U51" i="39" s="1"/>
  <c r="V51" i="39" s="1"/>
  <c r="W51" i="39" s="1"/>
  <c r="X51" i="39" s="1"/>
  <c r="Y51" i="39" s="1"/>
  <c r="Z51" i="39" s="1"/>
  <c r="AA51" i="39" s="1"/>
  <c r="AB51" i="39" s="1"/>
  <c r="AC51" i="39" s="1"/>
  <c r="AD51" i="39" s="1"/>
  <c r="AE51" i="39" s="1"/>
  <c r="AF51" i="39" s="1"/>
  <c r="AG51" i="39" s="1"/>
  <c r="AH51" i="39" s="1"/>
  <c r="AI51" i="39" s="1"/>
  <c r="AJ51" i="39" s="1"/>
  <c r="AK51" i="39" s="1"/>
  <c r="AL51" i="39" s="1"/>
  <c r="AM51" i="39" s="1"/>
  <c r="AN51" i="39" s="1"/>
  <c r="AO51" i="39" s="1"/>
  <c r="AP51" i="39" s="1"/>
  <c r="AQ51" i="39" s="1"/>
  <c r="AB50" i="39"/>
  <c r="AB49" i="39"/>
  <c r="AC49" i="39" s="1"/>
  <c r="AD49" i="39" s="1"/>
  <c r="AE49" i="39" s="1"/>
  <c r="AF49" i="39" s="1"/>
  <c r="AG49" i="39" s="1"/>
  <c r="AH49" i="39" s="1"/>
  <c r="AI49" i="39" s="1"/>
  <c r="AJ49" i="39" s="1"/>
  <c r="AK49" i="39" s="1"/>
  <c r="AL49" i="39" s="1"/>
  <c r="AM49" i="39" s="1"/>
  <c r="AN49" i="39" s="1"/>
  <c r="AH47" i="39"/>
  <c r="AI47" i="39" s="1"/>
  <c r="AJ47" i="39" s="1"/>
  <c r="AK47" i="39" s="1"/>
  <c r="AL47" i="39" s="1"/>
  <c r="AM47" i="39" s="1"/>
  <c r="AN47" i="39" s="1"/>
  <c r="AO47" i="39" s="1"/>
  <c r="AP47" i="39" s="1"/>
  <c r="AQ47" i="39" s="1"/>
  <c r="AR47" i="39" s="1"/>
  <c r="AS47" i="39" s="1"/>
  <c r="AT47" i="39" s="1"/>
  <c r="AU47" i="39" s="1"/>
  <c r="AV47" i="39" s="1"/>
  <c r="AW47" i="39" s="1"/>
  <c r="AX47" i="39" s="1"/>
  <c r="AY47" i="39" s="1"/>
  <c r="AZ47" i="39" s="1"/>
  <c r="BA47" i="39" s="1"/>
  <c r="BB47" i="39" s="1"/>
  <c r="BC47" i="39" s="1"/>
  <c r="BD47" i="39" s="1"/>
  <c r="BE47" i="39" s="1"/>
  <c r="BF47" i="39" s="1"/>
  <c r="BG47" i="39" s="1"/>
  <c r="AH46" i="39"/>
  <c r="AI46" i="39" s="1"/>
  <c r="AJ46" i="39" s="1"/>
  <c r="AK46" i="39" s="1"/>
  <c r="AL46" i="39" s="1"/>
  <c r="AM46" i="39" s="1"/>
  <c r="AN46" i="39" s="1"/>
  <c r="AO46" i="39" s="1"/>
  <c r="AP46" i="39" s="1"/>
  <c r="AQ46" i="39" s="1"/>
  <c r="N45" i="39"/>
  <c r="AB44" i="39"/>
  <c r="AC44" i="39" s="1"/>
  <c r="AD44" i="39" s="1"/>
  <c r="AE44" i="39" s="1"/>
  <c r="AF44" i="39" s="1"/>
  <c r="AG44" i="39" s="1"/>
  <c r="AH44" i="39" s="1"/>
  <c r="AI44" i="39" s="1"/>
  <c r="AJ44" i="39" s="1"/>
  <c r="AK44" i="39" s="1"/>
  <c r="AL44" i="39" s="1"/>
  <c r="AM44" i="39" s="1"/>
  <c r="AN44" i="39" s="1"/>
  <c r="AB43" i="39"/>
  <c r="AH41" i="39"/>
  <c r="AI41" i="39" s="1"/>
  <c r="AJ41" i="39" s="1"/>
  <c r="AK41" i="39" s="1"/>
  <c r="AL41" i="39" s="1"/>
  <c r="AM41" i="39" s="1"/>
  <c r="AN41" i="39" s="1"/>
  <c r="AO41" i="39" s="1"/>
  <c r="AP41" i="39" s="1"/>
  <c r="AQ41" i="39" s="1"/>
  <c r="AR41" i="39" s="1"/>
  <c r="AS41" i="39" s="1"/>
  <c r="AT41" i="39" s="1"/>
  <c r="AU41" i="39" s="1"/>
  <c r="AV41" i="39" s="1"/>
  <c r="AW41" i="39" s="1"/>
  <c r="AX41" i="39" s="1"/>
  <c r="AY41" i="39" s="1"/>
  <c r="AZ41" i="39" s="1"/>
  <c r="BA41" i="39" s="1"/>
  <c r="BB41" i="39" s="1"/>
  <c r="BC41" i="39" s="1"/>
  <c r="BD41" i="39" s="1"/>
  <c r="AH40" i="39"/>
  <c r="AI40" i="39" s="1"/>
  <c r="AJ40" i="39" s="1"/>
  <c r="AK40" i="39" s="1"/>
  <c r="AL40" i="39" s="1"/>
  <c r="AM40" i="39" s="1"/>
  <c r="AN40" i="39" s="1"/>
  <c r="N39" i="39"/>
  <c r="O39" i="39" s="1"/>
  <c r="P39" i="39" s="1"/>
  <c r="AB38" i="39"/>
  <c r="AC38" i="39" s="1"/>
  <c r="AD38" i="39" s="1"/>
  <c r="AE38" i="39" s="1"/>
  <c r="AF38" i="39" s="1"/>
  <c r="AG38" i="39" s="1"/>
  <c r="AH38" i="39" s="1"/>
  <c r="AI38" i="39" s="1"/>
  <c r="AJ38" i="39" s="1"/>
  <c r="AK38" i="39" s="1"/>
  <c r="AL38" i="39" s="1"/>
  <c r="AB37" i="39"/>
  <c r="AC37" i="39" s="1"/>
  <c r="AD37" i="39" s="1"/>
  <c r="AE37" i="39" s="1"/>
  <c r="AF37" i="39" s="1"/>
  <c r="AG37" i="39" s="1"/>
  <c r="AH37" i="39" s="1"/>
  <c r="AI37" i="39" s="1"/>
  <c r="AH35" i="39"/>
  <c r="AI35" i="39" s="1"/>
  <c r="AJ35" i="39" s="1"/>
  <c r="AK35" i="39" s="1"/>
  <c r="AL35" i="39" s="1"/>
  <c r="AM35" i="39" s="1"/>
  <c r="AN35" i="39" s="1"/>
  <c r="AO35" i="39" s="1"/>
  <c r="AP35" i="39" s="1"/>
  <c r="AQ35" i="39" s="1"/>
  <c r="AR35" i="39" s="1"/>
  <c r="AS35" i="39" s="1"/>
  <c r="AT35" i="39" s="1"/>
  <c r="AU35" i="39" s="1"/>
  <c r="AV35" i="39" s="1"/>
  <c r="AW35" i="39" s="1"/>
  <c r="AX35" i="39" s="1"/>
  <c r="AY35" i="39" s="1"/>
  <c r="AZ35" i="39" s="1"/>
  <c r="BA35" i="39" s="1"/>
  <c r="BB35" i="39" s="1"/>
  <c r="AH34" i="39"/>
  <c r="N33" i="39"/>
  <c r="O33" i="39" s="1"/>
  <c r="AB32" i="39"/>
  <c r="AC32" i="39" s="1"/>
  <c r="AD32" i="39" s="1"/>
  <c r="AE32" i="39" s="1"/>
  <c r="AF32" i="39" s="1"/>
  <c r="AG32" i="39" s="1"/>
  <c r="AH32" i="39" s="1"/>
  <c r="AI32" i="39" s="1"/>
  <c r="AB31" i="39"/>
  <c r="AC31" i="39" s="1"/>
  <c r="AD31" i="39" s="1"/>
  <c r="AE31" i="39" s="1"/>
  <c r="AF31" i="39" s="1"/>
  <c r="AH29" i="39"/>
  <c r="AH28" i="39"/>
  <c r="AI28" i="39" s="1"/>
  <c r="AJ28" i="39" s="1"/>
  <c r="K28" i="39" s="1"/>
  <c r="H827" i="36" s="1"/>
  <c r="N27" i="39"/>
  <c r="O27" i="39" s="1"/>
  <c r="P27" i="39" s="1"/>
  <c r="Q27" i="39" s="1"/>
  <c r="R27" i="39" s="1"/>
  <c r="S27" i="39" s="1"/>
  <c r="T27" i="39" s="1"/>
  <c r="U27" i="39" s="1"/>
  <c r="V27" i="39" s="1"/>
  <c r="W27" i="39" s="1"/>
  <c r="X27" i="39" s="1"/>
  <c r="Y27" i="39" s="1"/>
  <c r="Z27" i="39" s="1"/>
  <c r="AA27" i="39" s="1"/>
  <c r="AB27" i="39" s="1"/>
  <c r="AC27" i="39" s="1"/>
  <c r="AD27" i="39" s="1"/>
  <c r="AE27" i="39" s="1"/>
  <c r="AF27" i="39" s="1"/>
  <c r="AG27" i="39" s="1"/>
  <c r="AH27" i="39" s="1"/>
  <c r="AB26" i="39"/>
  <c r="AC26" i="39" s="1"/>
  <c r="AD26" i="39" s="1"/>
  <c r="AE26" i="39" s="1"/>
  <c r="AF26" i="39" s="1"/>
  <c r="AB25" i="39"/>
  <c r="AC25" i="39" s="1"/>
  <c r="AD25" i="39" s="1"/>
  <c r="AH17" i="39"/>
  <c r="AH16" i="39"/>
  <c r="K16" i="39" s="1"/>
  <c r="H825" i="36" s="1"/>
  <c r="N15" i="39"/>
  <c r="AB14" i="39"/>
  <c r="AC14" i="39" s="1"/>
  <c r="AB13" i="39"/>
  <c r="K13" i="39" s="1"/>
  <c r="H768" i="36" s="1"/>
  <c r="AH11" i="39"/>
  <c r="AI11" i="39" s="1"/>
  <c r="AJ11" i="39" s="1"/>
  <c r="AK11" i="39" s="1"/>
  <c r="AL11" i="39" s="1"/>
  <c r="AM11" i="39" s="1"/>
  <c r="AN11" i="39" s="1"/>
  <c r="AO11" i="39" s="1"/>
  <c r="AP11" i="39" s="1"/>
  <c r="AQ11" i="39" s="1"/>
  <c r="AR11" i="39" s="1"/>
  <c r="AS11" i="39" s="1"/>
  <c r="AT11" i="39" s="1"/>
  <c r="AU11" i="39" s="1"/>
  <c r="AV11" i="39" s="1"/>
  <c r="K10" i="39"/>
  <c r="H824" i="36" s="1"/>
  <c r="N9" i="39"/>
  <c r="O9" i="39" s="1"/>
  <c r="P9" i="39" s="1"/>
  <c r="Q9" i="39" s="1"/>
  <c r="R9" i="39" s="1"/>
  <c r="S9" i="39" s="1"/>
  <c r="T9" i="39" s="1"/>
  <c r="U9" i="39" s="1"/>
  <c r="V9" i="39" s="1"/>
  <c r="W9" i="39" s="1"/>
  <c r="X9" i="39" s="1"/>
  <c r="Y9" i="39" s="1"/>
  <c r="Z9" i="39" s="1"/>
  <c r="AA9" i="39" s="1"/>
  <c r="AB9" i="39" s="1"/>
  <c r="AC9" i="39" s="1"/>
  <c r="AD9" i="39" s="1"/>
  <c r="AB8" i="39"/>
  <c r="K8" i="39" s="1"/>
  <c r="H786" i="36" s="1"/>
  <c r="K7" i="39"/>
  <c r="H767" i="36" s="1"/>
  <c r="K98" i="40" l="1"/>
  <c r="H991" i="36" s="1"/>
  <c r="AH92" i="41"/>
  <c r="AI92" i="41" s="1"/>
  <c r="AJ92" i="41" s="1"/>
  <c r="AK92" i="41" s="1"/>
  <c r="AL92" i="41" s="1"/>
  <c r="AM92" i="41" s="1"/>
  <c r="AN92" i="41" s="1"/>
  <c r="AO92" i="41" s="1"/>
  <c r="AP92" i="41" s="1"/>
  <c r="AG25" i="41"/>
  <c r="AH25" i="41" s="1"/>
  <c r="AG91" i="41"/>
  <c r="AH91" i="41" s="1"/>
  <c r="AI91" i="41" s="1"/>
  <c r="AJ91" i="41" s="1"/>
  <c r="AK91" i="41" s="1"/>
  <c r="AL91" i="41" s="1"/>
  <c r="AM91" i="41" s="1"/>
  <c r="AN91" i="41" s="1"/>
  <c r="K74" i="41"/>
  <c r="H1082" i="36" s="1"/>
  <c r="AF79" i="41"/>
  <c r="AG79" i="41" s="1"/>
  <c r="AH79" i="41" s="1"/>
  <c r="K82" i="41"/>
  <c r="H1121" i="36" s="1"/>
  <c r="AF86" i="40"/>
  <c r="AG86" i="40" s="1"/>
  <c r="AH86" i="40" s="1"/>
  <c r="AI86" i="40" s="1"/>
  <c r="AJ86" i="40" s="1"/>
  <c r="AK86" i="40" s="1"/>
  <c r="AL86" i="40" s="1"/>
  <c r="AG110" i="40"/>
  <c r="AH110" i="40" s="1"/>
  <c r="AI110" i="40" s="1"/>
  <c r="AJ110" i="40" s="1"/>
  <c r="AK110" i="40" s="1"/>
  <c r="AL110" i="40" s="1"/>
  <c r="AM110" i="40" s="1"/>
  <c r="AN110" i="40" s="1"/>
  <c r="AO110" i="40" s="1"/>
  <c r="AP110" i="40" s="1"/>
  <c r="AQ110" i="40" s="1"/>
  <c r="AR110" i="40" s="1"/>
  <c r="AS110" i="40" s="1"/>
  <c r="AT110" i="40" s="1"/>
  <c r="AU110" i="40" s="1"/>
  <c r="AJ106" i="39"/>
  <c r="AK106" i="39" s="1"/>
  <c r="AL106" i="39" s="1"/>
  <c r="AM106" i="39" s="1"/>
  <c r="AN106" i="39" s="1"/>
  <c r="AO106" i="39" s="1"/>
  <c r="AP106" i="39" s="1"/>
  <c r="AQ106" i="39" s="1"/>
  <c r="AR106" i="39" s="1"/>
  <c r="AS106" i="39" s="1"/>
  <c r="AT106" i="39" s="1"/>
  <c r="AU106" i="39" s="1"/>
  <c r="AI76" i="39"/>
  <c r="K76" i="39" s="1"/>
  <c r="H835" i="36" s="1"/>
  <c r="AD79" i="39"/>
  <c r="K79" i="39" s="1"/>
  <c r="H779" i="36" s="1"/>
  <c r="K105" i="39"/>
  <c r="H821" i="36" s="1"/>
  <c r="AC92" i="39"/>
  <c r="AD92" i="39" s="1"/>
  <c r="AE92" i="39" s="1"/>
  <c r="AF92" i="39" s="1"/>
  <c r="AG92" i="39" s="1"/>
  <c r="AH92" i="39" s="1"/>
  <c r="AI92" i="39" s="1"/>
  <c r="AJ92" i="39" s="1"/>
  <c r="K91" i="39"/>
  <c r="H781" i="36" s="1"/>
  <c r="AU61" i="41"/>
  <c r="AV61" i="41" s="1"/>
  <c r="AW61" i="41" s="1"/>
  <c r="AQ56" i="41"/>
  <c r="AR56" i="41" s="1"/>
  <c r="AS56" i="41" s="1"/>
  <c r="AT56" i="41" s="1"/>
  <c r="AU56" i="41" s="1"/>
  <c r="AV56" i="41" s="1"/>
  <c r="AW56" i="41" s="1"/>
  <c r="Z39" i="41"/>
  <c r="AA39" i="41" s="1"/>
  <c r="AB39" i="41" s="1"/>
  <c r="AC39" i="41" s="1"/>
  <c r="AD39" i="41" s="1"/>
  <c r="AE39" i="41" s="1"/>
  <c r="AF39" i="41" s="1"/>
  <c r="AG39" i="41" s="1"/>
  <c r="AH39" i="41" s="1"/>
  <c r="AI39" i="41" s="1"/>
  <c r="AJ39" i="41" s="1"/>
  <c r="AK39" i="41" s="1"/>
  <c r="AL39" i="41" s="1"/>
  <c r="AM39" i="41" s="1"/>
  <c r="AN39" i="41" s="1"/>
  <c r="AO39" i="41" s="1"/>
  <c r="AP39" i="41" s="1"/>
  <c r="AQ39" i="41" s="1"/>
  <c r="AQ53" i="41"/>
  <c r="AR53" i="41" s="1"/>
  <c r="AS53" i="41" s="1"/>
  <c r="AT53" i="41" s="1"/>
  <c r="AU53" i="41" s="1"/>
  <c r="AV53" i="41" s="1"/>
  <c r="AW53" i="41" s="1"/>
  <c r="AX53" i="41" s="1"/>
  <c r="AY53" i="41" s="1"/>
  <c r="AZ53" i="41" s="1"/>
  <c r="BA53" i="41" s="1"/>
  <c r="BB53" i="41" s="1"/>
  <c r="BC53" i="41" s="1"/>
  <c r="BD53" i="41" s="1"/>
  <c r="BE53" i="41" s="1"/>
  <c r="BF53" i="41" s="1"/>
  <c r="BG53" i="41" s="1"/>
  <c r="BH53" i="41" s="1"/>
  <c r="BI53" i="41" s="1"/>
  <c r="BJ53" i="41" s="1"/>
  <c r="BK53" i="41" s="1"/>
  <c r="BL53" i="41" s="1"/>
  <c r="BM53" i="41" s="1"/>
  <c r="BN53" i="41" s="1"/>
  <c r="BO53" i="41" s="1"/>
  <c r="BP53" i="41" s="1"/>
  <c r="BQ53" i="41" s="1"/>
  <c r="AK50" i="41"/>
  <c r="AL50" i="41" s="1"/>
  <c r="AM50" i="41" s="1"/>
  <c r="AN50" i="41" s="1"/>
  <c r="AO50" i="41" s="1"/>
  <c r="AP50" i="41" s="1"/>
  <c r="AQ50" i="41" s="1"/>
  <c r="AR50" i="41" s="1"/>
  <c r="AS50" i="41" s="1"/>
  <c r="AT50" i="41" s="1"/>
  <c r="AQ65" i="41"/>
  <c r="AR65" i="41" s="1"/>
  <c r="AS65" i="41" s="1"/>
  <c r="AT65" i="41" s="1"/>
  <c r="AU65" i="41" s="1"/>
  <c r="AV65" i="41" s="1"/>
  <c r="AW65" i="41" s="1"/>
  <c r="AX65" i="41" s="1"/>
  <c r="AY65" i="41" s="1"/>
  <c r="AZ65" i="41" s="1"/>
  <c r="BA65" i="41" s="1"/>
  <c r="BB65" i="41" s="1"/>
  <c r="BC65" i="41" s="1"/>
  <c r="BD65" i="41" s="1"/>
  <c r="BE65" i="41" s="1"/>
  <c r="BF65" i="41" s="1"/>
  <c r="BG65" i="41" s="1"/>
  <c r="BH65" i="41" s="1"/>
  <c r="BI65" i="41" s="1"/>
  <c r="BJ65" i="41" s="1"/>
  <c r="BK65" i="41" s="1"/>
  <c r="BL65" i="41" s="1"/>
  <c r="BM65" i="41" s="1"/>
  <c r="BN65" i="41" s="1"/>
  <c r="BO65" i="41" s="1"/>
  <c r="BP65" i="41" s="1"/>
  <c r="BQ65" i="41" s="1"/>
  <c r="BR65" i="41" s="1"/>
  <c r="BS65" i="41" s="1"/>
  <c r="BT65" i="41" s="1"/>
  <c r="BU65" i="41" s="1"/>
  <c r="BV65" i="41" s="1"/>
  <c r="AF32" i="41"/>
  <c r="AG32" i="41" s="1"/>
  <c r="AH32" i="41" s="1"/>
  <c r="AI32" i="41" s="1"/>
  <c r="AJ32" i="41" s="1"/>
  <c r="AK32" i="41" s="1"/>
  <c r="AL32" i="41" s="1"/>
  <c r="AM32" i="41" s="1"/>
  <c r="AN32" i="41" s="1"/>
  <c r="K32" i="41" s="1"/>
  <c r="H1075" i="36" s="1"/>
  <c r="AL34" i="41"/>
  <c r="AM34" i="41" s="1"/>
  <c r="AN34" i="41" s="1"/>
  <c r="AO34" i="41" s="1"/>
  <c r="AP34" i="41" s="1"/>
  <c r="AQ34" i="41" s="1"/>
  <c r="AL59" i="41"/>
  <c r="AM59" i="41" s="1"/>
  <c r="AN59" i="41" s="1"/>
  <c r="AO59" i="41" s="1"/>
  <c r="AP59" i="41" s="1"/>
  <c r="AQ59" i="41" s="1"/>
  <c r="AR59" i="41" s="1"/>
  <c r="AS59" i="41" s="1"/>
  <c r="AT59" i="41" s="1"/>
  <c r="AU59" i="41" s="1"/>
  <c r="AV59" i="41" s="1"/>
  <c r="AW59" i="41" s="1"/>
  <c r="AX59" i="41" s="1"/>
  <c r="AY59" i="41" s="1"/>
  <c r="AZ59" i="41" s="1"/>
  <c r="BA59" i="41" s="1"/>
  <c r="BB59" i="41" s="1"/>
  <c r="BC59" i="41" s="1"/>
  <c r="BD59" i="41" s="1"/>
  <c r="BE59" i="41" s="1"/>
  <c r="BF59" i="41" s="1"/>
  <c r="BG59" i="41" s="1"/>
  <c r="BH59" i="41" s="1"/>
  <c r="BI59" i="41" s="1"/>
  <c r="BJ59" i="41" s="1"/>
  <c r="BK59" i="41" s="1"/>
  <c r="BL59" i="41" s="1"/>
  <c r="BM59" i="41" s="1"/>
  <c r="BN59" i="41" s="1"/>
  <c r="BO59" i="41" s="1"/>
  <c r="BP59" i="41" s="1"/>
  <c r="BQ59" i="41" s="1"/>
  <c r="BR59" i="41" s="1"/>
  <c r="BS59" i="41" s="1"/>
  <c r="AF43" i="41"/>
  <c r="AG43" i="41" s="1"/>
  <c r="AH43" i="41" s="1"/>
  <c r="AI43" i="41" s="1"/>
  <c r="AJ43" i="41" s="1"/>
  <c r="AK43" i="41" s="1"/>
  <c r="AL43" i="41" s="1"/>
  <c r="AM43" i="41" s="1"/>
  <c r="AN43" i="41" s="1"/>
  <c r="AO43" i="41" s="1"/>
  <c r="AP43" i="41" s="1"/>
  <c r="AL47" i="41"/>
  <c r="AM47" i="41" s="1"/>
  <c r="AN47" i="41" s="1"/>
  <c r="AO47" i="41" s="1"/>
  <c r="AP47" i="41" s="1"/>
  <c r="AQ47" i="41" s="1"/>
  <c r="AR47" i="41" s="1"/>
  <c r="AS47" i="41" s="1"/>
  <c r="AT47" i="41" s="1"/>
  <c r="AU47" i="41" s="1"/>
  <c r="AV47" i="41" s="1"/>
  <c r="AW47" i="41" s="1"/>
  <c r="AX47" i="41" s="1"/>
  <c r="AY47" i="41" s="1"/>
  <c r="AZ47" i="41" s="1"/>
  <c r="BA47" i="41" s="1"/>
  <c r="BB47" i="41" s="1"/>
  <c r="BC47" i="41" s="1"/>
  <c r="BD47" i="41" s="1"/>
  <c r="BE47" i="41" s="1"/>
  <c r="BF47" i="41" s="1"/>
  <c r="BG47" i="41" s="1"/>
  <c r="BH47" i="41" s="1"/>
  <c r="BI47" i="41" s="1"/>
  <c r="BJ47" i="41" s="1"/>
  <c r="BK47" i="41" s="1"/>
  <c r="BL47" i="41" s="1"/>
  <c r="BM47" i="41" s="1"/>
  <c r="BN47" i="41" s="1"/>
  <c r="AL16" i="41"/>
  <c r="AM16" i="41" s="1"/>
  <c r="AL95" i="41"/>
  <c r="AM95" i="41" s="1"/>
  <c r="AN95" i="41" s="1"/>
  <c r="AO95" i="41" s="1"/>
  <c r="AP95" i="41" s="1"/>
  <c r="AQ95" i="41" s="1"/>
  <c r="AR95" i="41" s="1"/>
  <c r="AS95" i="41" s="1"/>
  <c r="AT95" i="41" s="1"/>
  <c r="AU95" i="41" s="1"/>
  <c r="AV95" i="41" s="1"/>
  <c r="AW95" i="41" s="1"/>
  <c r="AX95" i="41" s="1"/>
  <c r="AY95" i="41" s="1"/>
  <c r="AZ95" i="41" s="1"/>
  <c r="BA95" i="41" s="1"/>
  <c r="BB95" i="41" s="1"/>
  <c r="BC95" i="41" s="1"/>
  <c r="BD95" i="41" s="1"/>
  <c r="BE95" i="41" s="1"/>
  <c r="BF95" i="41" s="1"/>
  <c r="BG95" i="41" s="1"/>
  <c r="BH95" i="41" s="1"/>
  <c r="BI95" i="41" s="1"/>
  <c r="BJ95" i="41" s="1"/>
  <c r="BK95" i="41" s="1"/>
  <c r="BL95" i="41" s="1"/>
  <c r="BM95" i="41" s="1"/>
  <c r="K17" i="41"/>
  <c r="H1129" i="36" s="1"/>
  <c r="AG44" i="41"/>
  <c r="AH44" i="41" s="1"/>
  <c r="AI44" i="41" s="1"/>
  <c r="AJ44" i="41" s="1"/>
  <c r="AK44" i="41" s="1"/>
  <c r="AL44" i="41" s="1"/>
  <c r="AM44" i="41" s="1"/>
  <c r="AN44" i="41" s="1"/>
  <c r="AO44" i="41" s="1"/>
  <c r="AP44" i="41" s="1"/>
  <c r="AQ44" i="41" s="1"/>
  <c r="AR44" i="41" s="1"/>
  <c r="K55" i="41"/>
  <c r="H1060" i="36" s="1"/>
  <c r="K37" i="41"/>
  <c r="H1057" i="36" s="1"/>
  <c r="AM41" i="41"/>
  <c r="AN41" i="41" s="1"/>
  <c r="AO41" i="41" s="1"/>
  <c r="AP41" i="41" s="1"/>
  <c r="AQ41" i="41" s="1"/>
  <c r="AR41" i="41" s="1"/>
  <c r="AS41" i="41" s="1"/>
  <c r="AT41" i="41" s="1"/>
  <c r="AU41" i="41" s="1"/>
  <c r="AV41" i="41" s="1"/>
  <c r="AW41" i="41" s="1"/>
  <c r="AX41" i="41" s="1"/>
  <c r="AY41" i="41" s="1"/>
  <c r="AZ41" i="41" s="1"/>
  <c r="BA41" i="41" s="1"/>
  <c r="BB41" i="41" s="1"/>
  <c r="BC41" i="41" s="1"/>
  <c r="BD41" i="41" s="1"/>
  <c r="BE41" i="41" s="1"/>
  <c r="BF41" i="41" s="1"/>
  <c r="BG41" i="41" s="1"/>
  <c r="BH41" i="41" s="1"/>
  <c r="BI41" i="41" s="1"/>
  <c r="BJ41" i="41" s="1"/>
  <c r="BK41" i="41" s="1"/>
  <c r="BL41" i="41" s="1"/>
  <c r="AF14" i="41"/>
  <c r="AG14" i="41" s="1"/>
  <c r="O33" i="41"/>
  <c r="P33" i="41" s="1"/>
  <c r="Q33" i="41" s="1"/>
  <c r="R33" i="41" s="1"/>
  <c r="S33" i="41" s="1"/>
  <c r="T33" i="41" s="1"/>
  <c r="U33" i="41" s="1"/>
  <c r="V33" i="41" s="1"/>
  <c r="W33" i="41" s="1"/>
  <c r="X33" i="41" s="1"/>
  <c r="Y33" i="41" s="1"/>
  <c r="Z33" i="41" s="1"/>
  <c r="AA33" i="41" s="1"/>
  <c r="AB33" i="41" s="1"/>
  <c r="AC33" i="41" s="1"/>
  <c r="AD33" i="41" s="1"/>
  <c r="AE33" i="41" s="1"/>
  <c r="AF33" i="41" s="1"/>
  <c r="AG33" i="41" s="1"/>
  <c r="AH33" i="41" s="1"/>
  <c r="AI33" i="41" s="1"/>
  <c r="AJ33" i="41" s="1"/>
  <c r="AK33" i="41" s="1"/>
  <c r="AL33" i="41" s="1"/>
  <c r="AM33" i="41" s="1"/>
  <c r="AN33" i="41" s="1"/>
  <c r="AO33" i="41" s="1"/>
  <c r="K35" i="41"/>
  <c r="H1132" i="36" s="1"/>
  <c r="K9" i="41"/>
  <c r="H1090" i="36" s="1"/>
  <c r="AF110" i="41"/>
  <c r="AG110" i="41" s="1"/>
  <c r="AH110" i="41" s="1"/>
  <c r="AI110" i="41" s="1"/>
  <c r="AJ110" i="41" s="1"/>
  <c r="AK110" i="41" s="1"/>
  <c r="AL110" i="41" s="1"/>
  <c r="AM110" i="41" s="1"/>
  <c r="AN110" i="41" s="1"/>
  <c r="AO110" i="41" s="1"/>
  <c r="AP110" i="41" s="1"/>
  <c r="AQ110" i="41" s="1"/>
  <c r="AR110" i="41" s="1"/>
  <c r="AS110" i="41" s="1"/>
  <c r="AT110" i="41" s="1"/>
  <c r="AU110" i="41" s="1"/>
  <c r="AV110" i="41" s="1"/>
  <c r="AW110" i="41" s="1"/>
  <c r="AL11" i="41"/>
  <c r="AM11" i="41" s="1"/>
  <c r="AN11" i="41" s="1"/>
  <c r="AO11" i="41" s="1"/>
  <c r="AP11" i="41" s="1"/>
  <c r="AQ11" i="41" s="1"/>
  <c r="AR11" i="41" s="1"/>
  <c r="AS11" i="41" s="1"/>
  <c r="AT11" i="41" s="1"/>
  <c r="AU11" i="41" s="1"/>
  <c r="AV11" i="41" s="1"/>
  <c r="AW11" i="41" s="1"/>
  <c r="AX11" i="41" s="1"/>
  <c r="AY11" i="41" s="1"/>
  <c r="AZ11" i="41" s="1"/>
  <c r="BA11" i="41" s="1"/>
  <c r="BB11" i="41" s="1"/>
  <c r="O15" i="41"/>
  <c r="P15" i="41" s="1"/>
  <c r="Q15" i="41" s="1"/>
  <c r="R15" i="41" s="1"/>
  <c r="S15" i="41" s="1"/>
  <c r="T15" i="41" s="1"/>
  <c r="U15" i="41" s="1"/>
  <c r="V15" i="41" s="1"/>
  <c r="W15" i="41" s="1"/>
  <c r="X15" i="41" s="1"/>
  <c r="Y15" i="41" s="1"/>
  <c r="Z15" i="41" s="1"/>
  <c r="AA15" i="41" s="1"/>
  <c r="AB15" i="41" s="1"/>
  <c r="AC15" i="41" s="1"/>
  <c r="AD15" i="41" s="1"/>
  <c r="AE15" i="41" s="1"/>
  <c r="AF15" i="41" s="1"/>
  <c r="AG15" i="41" s="1"/>
  <c r="AH15" i="41" s="1"/>
  <c r="AI15" i="41" s="1"/>
  <c r="AJ15" i="41" s="1"/>
  <c r="AL28" i="41"/>
  <c r="AM28" i="41" s="1"/>
  <c r="AN28" i="41" s="1"/>
  <c r="AO28" i="41" s="1"/>
  <c r="K38" i="41"/>
  <c r="H1076" i="36" s="1"/>
  <c r="K57" i="41"/>
  <c r="H1098" i="36" s="1"/>
  <c r="AM58" i="41"/>
  <c r="AN58" i="41" s="1"/>
  <c r="AO58" i="41" s="1"/>
  <c r="AP58" i="41" s="1"/>
  <c r="AQ58" i="41" s="1"/>
  <c r="AR58" i="41" s="1"/>
  <c r="AS58" i="41" s="1"/>
  <c r="AT58" i="41" s="1"/>
  <c r="AU58" i="41" s="1"/>
  <c r="AV58" i="41" s="1"/>
  <c r="AW58" i="41" s="1"/>
  <c r="AX58" i="41" s="1"/>
  <c r="AY58" i="41" s="1"/>
  <c r="AZ58" i="41" s="1"/>
  <c r="BA58" i="41" s="1"/>
  <c r="K89" i="41"/>
  <c r="H1141" i="36" s="1"/>
  <c r="O93" i="41"/>
  <c r="P93" i="41" s="1"/>
  <c r="Q93" i="41" s="1"/>
  <c r="R93" i="41" s="1"/>
  <c r="S93" i="41" s="1"/>
  <c r="T93" i="41" s="1"/>
  <c r="U93" i="41" s="1"/>
  <c r="V93" i="41" s="1"/>
  <c r="W93" i="41" s="1"/>
  <c r="X93" i="41" s="1"/>
  <c r="Y93" i="41" s="1"/>
  <c r="Z93" i="41" s="1"/>
  <c r="AA93" i="41" s="1"/>
  <c r="AB93" i="41" s="1"/>
  <c r="AC93" i="41" s="1"/>
  <c r="AD93" i="41" s="1"/>
  <c r="AE93" i="41" s="1"/>
  <c r="AF93" i="41" s="1"/>
  <c r="AG93" i="41" s="1"/>
  <c r="AH93" i="41" s="1"/>
  <c r="AI93" i="41" s="1"/>
  <c r="AJ93" i="41" s="1"/>
  <c r="AK93" i="41" s="1"/>
  <c r="AL93" i="41" s="1"/>
  <c r="AM93" i="41" s="1"/>
  <c r="AN93" i="41" s="1"/>
  <c r="AO93" i="41" s="1"/>
  <c r="AP93" i="41" s="1"/>
  <c r="AQ93" i="41" s="1"/>
  <c r="AR93" i="41" s="1"/>
  <c r="AS93" i="41" s="1"/>
  <c r="AW112" i="41"/>
  <c r="AX112" i="41" s="1"/>
  <c r="AY112" i="41" s="1"/>
  <c r="AZ112" i="41" s="1"/>
  <c r="BA112" i="41" s="1"/>
  <c r="AG116" i="41"/>
  <c r="AH116" i="41" s="1"/>
  <c r="AI116" i="41" s="1"/>
  <c r="AJ116" i="41" s="1"/>
  <c r="AK116" i="41" s="1"/>
  <c r="AL116" i="41" s="1"/>
  <c r="AM116" i="41" s="1"/>
  <c r="AN116" i="41" s="1"/>
  <c r="AO116" i="41" s="1"/>
  <c r="AP116" i="41" s="1"/>
  <c r="AQ116" i="41" s="1"/>
  <c r="AR116" i="41" s="1"/>
  <c r="AS116" i="41" s="1"/>
  <c r="AT116" i="41" s="1"/>
  <c r="AU116" i="41" s="1"/>
  <c r="AV116" i="41" s="1"/>
  <c r="AW116" i="41" s="1"/>
  <c r="AX116" i="41" s="1"/>
  <c r="AY116" i="41" s="1"/>
  <c r="AZ116" i="41" s="1"/>
  <c r="O45" i="41"/>
  <c r="P45" i="41" s="1"/>
  <c r="Q45" i="41" s="1"/>
  <c r="R45" i="41" s="1"/>
  <c r="S45" i="41" s="1"/>
  <c r="T45" i="41" s="1"/>
  <c r="U45" i="41" s="1"/>
  <c r="V45" i="41" s="1"/>
  <c r="W45" i="41" s="1"/>
  <c r="X45" i="41" s="1"/>
  <c r="Y45" i="41" s="1"/>
  <c r="Z45" i="41" s="1"/>
  <c r="AA45" i="41" s="1"/>
  <c r="AB45" i="41" s="1"/>
  <c r="AC45" i="41" s="1"/>
  <c r="AD45" i="41" s="1"/>
  <c r="AE45" i="41" s="1"/>
  <c r="AF45" i="41" s="1"/>
  <c r="AG45" i="41" s="1"/>
  <c r="AH45" i="41" s="1"/>
  <c r="AI45" i="41" s="1"/>
  <c r="AJ45" i="41" s="1"/>
  <c r="AK45" i="41" s="1"/>
  <c r="AL45" i="41" s="1"/>
  <c r="AM45" i="41" s="1"/>
  <c r="AN45" i="41" s="1"/>
  <c r="AO45" i="41" s="1"/>
  <c r="AP45" i="41" s="1"/>
  <c r="AQ45" i="41" s="1"/>
  <c r="AR45" i="41" s="1"/>
  <c r="AS45" i="41" s="1"/>
  <c r="AT45" i="41" s="1"/>
  <c r="AT107" i="41"/>
  <c r="AU107" i="41" s="1"/>
  <c r="AV107" i="41" s="1"/>
  <c r="AW107" i="41" s="1"/>
  <c r="AX107" i="41" s="1"/>
  <c r="AY107" i="41" s="1"/>
  <c r="AZ107" i="41" s="1"/>
  <c r="BA107" i="41" s="1"/>
  <c r="BB107" i="41" s="1"/>
  <c r="BC107" i="41" s="1"/>
  <c r="BD107" i="41" s="1"/>
  <c r="BE107" i="41" s="1"/>
  <c r="BF107" i="41" s="1"/>
  <c r="BG107" i="41" s="1"/>
  <c r="BH107" i="41" s="1"/>
  <c r="BI107" i="41" s="1"/>
  <c r="BJ107" i="41" s="1"/>
  <c r="BK107" i="41" s="1"/>
  <c r="BL107" i="41" s="1"/>
  <c r="BM107" i="41" s="1"/>
  <c r="BN107" i="41" s="1"/>
  <c r="BO107" i="41" s="1"/>
  <c r="BP107" i="41" s="1"/>
  <c r="BQ107" i="41" s="1"/>
  <c r="BR107" i="41" s="1"/>
  <c r="K29" i="41"/>
  <c r="H1131" i="36" s="1"/>
  <c r="AL40" i="41"/>
  <c r="AM40" i="41" s="1"/>
  <c r="AN40" i="41" s="1"/>
  <c r="AO40" i="41" s="1"/>
  <c r="AP40" i="41" s="1"/>
  <c r="AQ40" i="41" s="1"/>
  <c r="AR40" i="41" s="1"/>
  <c r="AS40" i="41" s="1"/>
  <c r="K40" i="41" s="1"/>
  <c r="H1114" i="36" s="1"/>
  <c r="AG49" i="41"/>
  <c r="AH49" i="41" s="1"/>
  <c r="AI49" i="41" s="1"/>
  <c r="AJ49" i="41" s="1"/>
  <c r="AK49" i="41" s="1"/>
  <c r="AL49" i="41" s="1"/>
  <c r="AM49" i="41" s="1"/>
  <c r="AN49" i="41" s="1"/>
  <c r="AO49" i="41" s="1"/>
  <c r="AP49" i="41" s="1"/>
  <c r="AQ49" i="41" s="1"/>
  <c r="AR49" i="41" s="1"/>
  <c r="AM52" i="41"/>
  <c r="AN52" i="41" s="1"/>
  <c r="AO52" i="41" s="1"/>
  <c r="AP52" i="41" s="1"/>
  <c r="AQ52" i="41" s="1"/>
  <c r="AR52" i="41" s="1"/>
  <c r="AS52" i="41" s="1"/>
  <c r="AT52" i="41" s="1"/>
  <c r="AU52" i="41" s="1"/>
  <c r="AV52" i="41" s="1"/>
  <c r="AW52" i="41" s="1"/>
  <c r="AX52" i="41" s="1"/>
  <c r="AY52" i="41" s="1"/>
  <c r="P105" i="41"/>
  <c r="Q105" i="41" s="1"/>
  <c r="R105" i="41" s="1"/>
  <c r="S105" i="41" s="1"/>
  <c r="T105" i="41" s="1"/>
  <c r="U105" i="41" s="1"/>
  <c r="V105" i="41" s="1"/>
  <c r="W105" i="41" s="1"/>
  <c r="X105" i="41" s="1"/>
  <c r="Y105" i="41" s="1"/>
  <c r="Z105" i="41" s="1"/>
  <c r="AA105" i="41" s="1"/>
  <c r="AB105" i="41" s="1"/>
  <c r="AC105" i="41" s="1"/>
  <c r="AD105" i="41" s="1"/>
  <c r="AE105" i="41" s="1"/>
  <c r="AF105" i="41" s="1"/>
  <c r="AG105" i="41" s="1"/>
  <c r="AH105" i="41" s="1"/>
  <c r="AI105" i="41" s="1"/>
  <c r="AJ105" i="41" s="1"/>
  <c r="AK105" i="41" s="1"/>
  <c r="AL105" i="41" s="1"/>
  <c r="AM105" i="41" s="1"/>
  <c r="AN105" i="41" s="1"/>
  <c r="AO105" i="41" s="1"/>
  <c r="AP105" i="41" s="1"/>
  <c r="AQ105" i="41" s="1"/>
  <c r="AR105" i="41" s="1"/>
  <c r="AS105" i="41" s="1"/>
  <c r="AT105" i="41" s="1"/>
  <c r="AU105" i="41" s="1"/>
  <c r="AV105" i="41" s="1"/>
  <c r="AW105" i="41" s="1"/>
  <c r="AX105" i="41" s="1"/>
  <c r="K113" i="41"/>
  <c r="H1145" i="36" s="1"/>
  <c r="K51" i="41"/>
  <c r="H1097" i="36" s="1"/>
  <c r="AN94" i="41"/>
  <c r="AO94" i="41" s="1"/>
  <c r="AP94" i="41" s="1"/>
  <c r="AQ94" i="41" s="1"/>
  <c r="AR94" i="41" s="1"/>
  <c r="AS94" i="41" s="1"/>
  <c r="AT94" i="41" s="1"/>
  <c r="AU94" i="41" s="1"/>
  <c r="AV94" i="41" s="1"/>
  <c r="AG85" i="41"/>
  <c r="AH85" i="41" s="1"/>
  <c r="AI85" i="41" s="1"/>
  <c r="AJ85" i="41" s="1"/>
  <c r="AK85" i="41" s="1"/>
  <c r="AL85" i="41" s="1"/>
  <c r="AL119" i="41"/>
  <c r="AM119" i="41" s="1"/>
  <c r="AN119" i="41" s="1"/>
  <c r="AO119" i="41" s="1"/>
  <c r="AP119" i="41" s="1"/>
  <c r="AQ119" i="41" s="1"/>
  <c r="AR119" i="41" s="1"/>
  <c r="AS119" i="41" s="1"/>
  <c r="AT119" i="41" s="1"/>
  <c r="AU119" i="41" s="1"/>
  <c r="AV119" i="41" s="1"/>
  <c r="AW119" i="41" s="1"/>
  <c r="AX119" i="41" s="1"/>
  <c r="AY119" i="41" s="1"/>
  <c r="AZ119" i="41" s="1"/>
  <c r="BA119" i="41" s="1"/>
  <c r="BB119" i="41" s="1"/>
  <c r="BC119" i="41" s="1"/>
  <c r="BD119" i="41" s="1"/>
  <c r="BE119" i="41" s="1"/>
  <c r="BF119" i="41" s="1"/>
  <c r="BG119" i="41" s="1"/>
  <c r="BH119" i="41" s="1"/>
  <c r="BI119" i="41" s="1"/>
  <c r="BJ119" i="41" s="1"/>
  <c r="BK119" i="41" s="1"/>
  <c r="BL119" i="41" s="1"/>
  <c r="BM119" i="41" s="1"/>
  <c r="BN119" i="41" s="1"/>
  <c r="BO119" i="41" s="1"/>
  <c r="BP119" i="41" s="1"/>
  <c r="BQ119" i="41" s="1"/>
  <c r="BR119" i="41" s="1"/>
  <c r="BS119" i="41" s="1"/>
  <c r="BT119" i="41" s="1"/>
  <c r="BU119" i="41" s="1"/>
  <c r="BV119" i="41" s="1"/>
  <c r="BW119" i="41" s="1"/>
  <c r="K83" i="41"/>
  <c r="H1140" i="36" s="1"/>
  <c r="K98" i="41"/>
  <c r="H1086" i="36" s="1"/>
  <c r="K27" i="41"/>
  <c r="H1093" i="36" s="1"/>
  <c r="K31" i="41"/>
  <c r="H1056" i="36" s="1"/>
  <c r="K69" i="41"/>
  <c r="H1100" i="36" s="1"/>
  <c r="K76" i="41"/>
  <c r="H1120" i="36" s="1"/>
  <c r="AF86" i="41"/>
  <c r="AG86" i="41" s="1"/>
  <c r="AH86" i="41" s="1"/>
  <c r="AI86" i="41" s="1"/>
  <c r="AJ86" i="41" s="1"/>
  <c r="AK86" i="41" s="1"/>
  <c r="AL86" i="41" s="1"/>
  <c r="AM86" i="41" s="1"/>
  <c r="AN86" i="41" s="1"/>
  <c r="K104" i="41"/>
  <c r="H1087" i="36" s="1"/>
  <c r="AF62" i="41"/>
  <c r="AG62" i="41" s="1"/>
  <c r="AH62" i="41" s="1"/>
  <c r="AI62" i="41" s="1"/>
  <c r="AJ62" i="41" s="1"/>
  <c r="AK62" i="41" s="1"/>
  <c r="AL62" i="41" s="1"/>
  <c r="AM62" i="41" s="1"/>
  <c r="AN62" i="41" s="1"/>
  <c r="AO62" i="41" s="1"/>
  <c r="AP62" i="41" s="1"/>
  <c r="AQ62" i="41" s="1"/>
  <c r="AR62" i="41" s="1"/>
  <c r="AS62" i="41" s="1"/>
  <c r="AT62" i="41" s="1"/>
  <c r="AU62" i="41" s="1"/>
  <c r="AV62" i="41" s="1"/>
  <c r="AW62" i="41" s="1"/>
  <c r="AX62" i="41" s="1"/>
  <c r="AY62" i="41" s="1"/>
  <c r="AZ62" i="41" s="1"/>
  <c r="K26" i="41"/>
  <c r="H1074" i="36" s="1"/>
  <c r="K46" i="41"/>
  <c r="H1115" i="36" s="1"/>
  <c r="K71" i="41"/>
  <c r="H1138" i="36" s="1"/>
  <c r="K88" i="41"/>
  <c r="H1122" i="36" s="1"/>
  <c r="AL100" i="41"/>
  <c r="AM100" i="41" s="1"/>
  <c r="AN100" i="41" s="1"/>
  <c r="AO100" i="41" s="1"/>
  <c r="AP100" i="41" s="1"/>
  <c r="AQ100" i="41" s="1"/>
  <c r="AR100" i="41" s="1"/>
  <c r="AS100" i="41" s="1"/>
  <c r="AT100" i="41" s="1"/>
  <c r="AU100" i="41" s="1"/>
  <c r="AV100" i="41" s="1"/>
  <c r="AW100" i="41" s="1"/>
  <c r="AX100" i="41" s="1"/>
  <c r="K109" i="41"/>
  <c r="H1069" i="36" s="1"/>
  <c r="AG115" i="41"/>
  <c r="AH115" i="41" s="1"/>
  <c r="AI115" i="41" s="1"/>
  <c r="AJ115" i="41" s="1"/>
  <c r="AK115" i="41" s="1"/>
  <c r="AL115" i="41" s="1"/>
  <c r="AM115" i="41" s="1"/>
  <c r="AN115" i="41" s="1"/>
  <c r="AO115" i="41" s="1"/>
  <c r="AP115" i="41" s="1"/>
  <c r="AQ115" i="41" s="1"/>
  <c r="AR115" i="41" s="1"/>
  <c r="AS115" i="41" s="1"/>
  <c r="AT115" i="41" s="1"/>
  <c r="AU115" i="41" s="1"/>
  <c r="AV115" i="41" s="1"/>
  <c r="AW115" i="41" s="1"/>
  <c r="K118" i="41"/>
  <c r="H1127" i="36" s="1"/>
  <c r="AL64" i="41"/>
  <c r="AM64" i="41" s="1"/>
  <c r="AN64" i="41" s="1"/>
  <c r="AO64" i="41" s="1"/>
  <c r="AP64" i="41" s="1"/>
  <c r="AQ64" i="41" s="1"/>
  <c r="AR64" i="41" s="1"/>
  <c r="AS64" i="41" s="1"/>
  <c r="AT64" i="41" s="1"/>
  <c r="AU64" i="41" s="1"/>
  <c r="AV64" i="41" s="1"/>
  <c r="AW64" i="41" s="1"/>
  <c r="AX64" i="41" s="1"/>
  <c r="AY64" i="41" s="1"/>
  <c r="AZ64" i="41" s="1"/>
  <c r="BA64" i="41" s="1"/>
  <c r="BB64" i="41" s="1"/>
  <c r="BC64" i="41" s="1"/>
  <c r="BD64" i="41" s="1"/>
  <c r="K77" i="41"/>
  <c r="H1139" i="36" s="1"/>
  <c r="K111" i="41"/>
  <c r="H1107" i="36" s="1"/>
  <c r="P117" i="41"/>
  <c r="Q117" i="41" s="1"/>
  <c r="R117" i="41" s="1"/>
  <c r="S117" i="41" s="1"/>
  <c r="T117" i="41" s="1"/>
  <c r="U117" i="41" s="1"/>
  <c r="V117" i="41" s="1"/>
  <c r="W117" i="41" s="1"/>
  <c r="X117" i="41" s="1"/>
  <c r="Y117" i="41" s="1"/>
  <c r="Z117" i="41" s="1"/>
  <c r="AA117" i="41" s="1"/>
  <c r="AB117" i="41" s="1"/>
  <c r="AC117" i="41" s="1"/>
  <c r="AD117" i="41" s="1"/>
  <c r="AE117" i="41" s="1"/>
  <c r="AF117" i="41" s="1"/>
  <c r="AG117" i="41" s="1"/>
  <c r="AH117" i="41" s="1"/>
  <c r="AI117" i="41" s="1"/>
  <c r="AJ117" i="41" s="1"/>
  <c r="AK117" i="41" s="1"/>
  <c r="AL117" i="41" s="1"/>
  <c r="AM117" i="41" s="1"/>
  <c r="AN117" i="41" s="1"/>
  <c r="AO117" i="41" s="1"/>
  <c r="AP117" i="41" s="1"/>
  <c r="AQ117" i="41" s="1"/>
  <c r="AR117" i="41" s="1"/>
  <c r="AS117" i="41" s="1"/>
  <c r="AT117" i="41" s="1"/>
  <c r="AU117" i="41" s="1"/>
  <c r="AV117" i="41" s="1"/>
  <c r="AW117" i="41" s="1"/>
  <c r="AX117" i="41" s="1"/>
  <c r="AY117" i="41" s="1"/>
  <c r="AZ117" i="41" s="1"/>
  <c r="BA117" i="41" s="1"/>
  <c r="BB117" i="41" s="1"/>
  <c r="K75" i="41"/>
  <c r="H1101" i="36" s="1"/>
  <c r="K80" i="41"/>
  <c r="H1083" i="36" s="1"/>
  <c r="O87" i="41"/>
  <c r="P87" i="41" s="1"/>
  <c r="Q87" i="41" s="1"/>
  <c r="R87" i="41" s="1"/>
  <c r="S87" i="41" s="1"/>
  <c r="T87" i="41" s="1"/>
  <c r="U87" i="41" s="1"/>
  <c r="V87" i="41" s="1"/>
  <c r="W87" i="41" s="1"/>
  <c r="X87" i="41" s="1"/>
  <c r="Y87" i="41" s="1"/>
  <c r="Z87" i="41" s="1"/>
  <c r="AA87" i="41" s="1"/>
  <c r="AB87" i="41" s="1"/>
  <c r="AC87" i="41" s="1"/>
  <c r="AD87" i="41" s="1"/>
  <c r="AE87" i="41" s="1"/>
  <c r="AF87" i="41" s="1"/>
  <c r="AG87" i="41" s="1"/>
  <c r="AH87" i="41" s="1"/>
  <c r="AI87" i="41" s="1"/>
  <c r="AJ87" i="41" s="1"/>
  <c r="AK87" i="41" s="1"/>
  <c r="AL87" i="41" s="1"/>
  <c r="AM87" i="41" s="1"/>
  <c r="AN87" i="41" s="1"/>
  <c r="AO87" i="41" s="1"/>
  <c r="AP87" i="41" s="1"/>
  <c r="AQ87" i="41" s="1"/>
  <c r="O99" i="41"/>
  <c r="P99" i="41" s="1"/>
  <c r="Q99" i="41" s="1"/>
  <c r="R99" i="41" s="1"/>
  <c r="S99" i="41" s="1"/>
  <c r="T99" i="41" s="1"/>
  <c r="U99" i="41" s="1"/>
  <c r="V99" i="41" s="1"/>
  <c r="W99" i="41" s="1"/>
  <c r="X99" i="41" s="1"/>
  <c r="Y99" i="41" s="1"/>
  <c r="Z99" i="41" s="1"/>
  <c r="AA99" i="41" s="1"/>
  <c r="AB99" i="41" s="1"/>
  <c r="AC99" i="41" s="1"/>
  <c r="AD99" i="41" s="1"/>
  <c r="AE99" i="41" s="1"/>
  <c r="AF99" i="41" s="1"/>
  <c r="AG99" i="41" s="1"/>
  <c r="AH99" i="41" s="1"/>
  <c r="AI99" i="41" s="1"/>
  <c r="AJ99" i="41" s="1"/>
  <c r="AK99" i="41" s="1"/>
  <c r="AL99" i="41" s="1"/>
  <c r="AM99" i="41" s="1"/>
  <c r="AN99" i="41" s="1"/>
  <c r="AO99" i="41" s="1"/>
  <c r="AP99" i="41" s="1"/>
  <c r="AQ99" i="41" s="1"/>
  <c r="AR99" i="41" s="1"/>
  <c r="AS99" i="41" s="1"/>
  <c r="AT99" i="41" s="1"/>
  <c r="AU99" i="41" s="1"/>
  <c r="AV99" i="41" s="1"/>
  <c r="AF97" i="41"/>
  <c r="AG97" i="41" s="1"/>
  <c r="AH97" i="41" s="1"/>
  <c r="AI97" i="41" s="1"/>
  <c r="AJ97" i="41" s="1"/>
  <c r="AK97" i="41" s="1"/>
  <c r="AL97" i="41" s="1"/>
  <c r="AM97" i="41" s="1"/>
  <c r="AN97" i="41" s="1"/>
  <c r="AO97" i="41" s="1"/>
  <c r="AP97" i="41" s="1"/>
  <c r="O63" i="41"/>
  <c r="P63" i="41" s="1"/>
  <c r="Q63" i="41" s="1"/>
  <c r="R63" i="41" s="1"/>
  <c r="S63" i="41" s="1"/>
  <c r="T63" i="41" s="1"/>
  <c r="U63" i="41" s="1"/>
  <c r="V63" i="41" s="1"/>
  <c r="W63" i="41" s="1"/>
  <c r="X63" i="41" s="1"/>
  <c r="Y63" i="41" s="1"/>
  <c r="Z63" i="41" s="1"/>
  <c r="AA63" i="41" s="1"/>
  <c r="AB63" i="41" s="1"/>
  <c r="AC63" i="41" s="1"/>
  <c r="AD63" i="41" s="1"/>
  <c r="AE63" i="41" s="1"/>
  <c r="AF63" i="41" s="1"/>
  <c r="AG63" i="41" s="1"/>
  <c r="AH63" i="41" s="1"/>
  <c r="AI63" i="41" s="1"/>
  <c r="AJ63" i="41" s="1"/>
  <c r="AK63" i="41" s="1"/>
  <c r="AL63" i="41" s="1"/>
  <c r="AM63" i="41" s="1"/>
  <c r="AN63" i="41" s="1"/>
  <c r="AO63" i="41" s="1"/>
  <c r="AP63" i="41" s="1"/>
  <c r="AQ63" i="41" s="1"/>
  <c r="AR63" i="41" s="1"/>
  <c r="AS63" i="41" s="1"/>
  <c r="AT63" i="41" s="1"/>
  <c r="AU63" i="41" s="1"/>
  <c r="AV63" i="41" s="1"/>
  <c r="AW63" i="41" s="1"/>
  <c r="AX63" i="41" s="1"/>
  <c r="AY63" i="41" s="1"/>
  <c r="AZ63" i="41" s="1"/>
  <c r="BA63" i="41" s="1"/>
  <c r="BB63" i="41" s="1"/>
  <c r="K81" i="41"/>
  <c r="H1102" i="36" s="1"/>
  <c r="K103" i="41"/>
  <c r="H1068" i="36" s="1"/>
  <c r="K101" i="41"/>
  <c r="H1143" i="36" s="1"/>
  <c r="K106" i="41"/>
  <c r="H1125" i="36" s="1"/>
  <c r="AA57" i="40"/>
  <c r="AB57" i="40" s="1"/>
  <c r="AC57" i="40" s="1"/>
  <c r="AD57" i="40" s="1"/>
  <c r="AE57" i="40" s="1"/>
  <c r="AF57" i="40" s="1"/>
  <c r="AG57" i="40" s="1"/>
  <c r="AH57" i="40" s="1"/>
  <c r="AI57" i="40" s="1"/>
  <c r="AJ57" i="40" s="1"/>
  <c r="AK57" i="40" s="1"/>
  <c r="AL57" i="40" s="1"/>
  <c r="AM57" i="40" s="1"/>
  <c r="AN57" i="40" s="1"/>
  <c r="AO57" i="40" s="1"/>
  <c r="AP57" i="40" s="1"/>
  <c r="AQ57" i="40" s="1"/>
  <c r="AR57" i="40" s="1"/>
  <c r="AS57" i="40" s="1"/>
  <c r="AT57" i="40" s="1"/>
  <c r="AU57" i="40" s="1"/>
  <c r="AV57" i="40" s="1"/>
  <c r="AW57" i="40" s="1"/>
  <c r="AM29" i="40"/>
  <c r="AN29" i="40" s="1"/>
  <c r="AO29" i="40" s="1"/>
  <c r="AP29" i="40" s="1"/>
  <c r="AQ29" i="40" s="1"/>
  <c r="AR29" i="40" s="1"/>
  <c r="AS29" i="40" s="1"/>
  <c r="AT29" i="40" s="1"/>
  <c r="AU29" i="40" s="1"/>
  <c r="AV29" i="40" s="1"/>
  <c r="AW29" i="40" s="1"/>
  <c r="AX29" i="40" s="1"/>
  <c r="AY29" i="40" s="1"/>
  <c r="AZ29" i="40" s="1"/>
  <c r="BA29" i="40" s="1"/>
  <c r="BB29" i="40" s="1"/>
  <c r="BC29" i="40" s="1"/>
  <c r="BD29" i="40" s="1"/>
  <c r="AO117" i="40"/>
  <c r="AP117" i="40" s="1"/>
  <c r="AQ117" i="40" s="1"/>
  <c r="AR117" i="40" s="1"/>
  <c r="AS117" i="40" s="1"/>
  <c r="AT117" i="40" s="1"/>
  <c r="AU117" i="40" s="1"/>
  <c r="AV117" i="40" s="1"/>
  <c r="AW117" i="40" s="1"/>
  <c r="AX117" i="40" s="1"/>
  <c r="AY117" i="40" s="1"/>
  <c r="V27" i="40"/>
  <c r="W27" i="40" s="1"/>
  <c r="X27" i="40" s="1"/>
  <c r="Y27" i="40" s="1"/>
  <c r="Z27" i="40" s="1"/>
  <c r="AA27" i="40" s="1"/>
  <c r="AB27" i="40" s="1"/>
  <c r="AC27" i="40" s="1"/>
  <c r="AD27" i="40" s="1"/>
  <c r="AE27" i="40" s="1"/>
  <c r="AF27" i="40" s="1"/>
  <c r="AG27" i="40" s="1"/>
  <c r="AH27" i="40" s="1"/>
  <c r="AI27" i="40" s="1"/>
  <c r="AJ27" i="40" s="1"/>
  <c r="AK27" i="40" s="1"/>
  <c r="AM34" i="40"/>
  <c r="AN34" i="40" s="1"/>
  <c r="AO34" i="40" s="1"/>
  <c r="AH31" i="40"/>
  <c r="AI31" i="40" s="1"/>
  <c r="AJ31" i="40" s="1"/>
  <c r="K31" i="40" s="1"/>
  <c r="H961" i="36" s="1"/>
  <c r="AF38" i="40"/>
  <c r="AG38" i="40" s="1"/>
  <c r="AH38" i="40" s="1"/>
  <c r="AI38" i="40" s="1"/>
  <c r="AJ38" i="40" s="1"/>
  <c r="AK38" i="40" s="1"/>
  <c r="AL38" i="40" s="1"/>
  <c r="AM38" i="40" s="1"/>
  <c r="AN38" i="40" s="1"/>
  <c r="Q15" i="40"/>
  <c r="R15" i="40" s="1"/>
  <c r="S15" i="40" s="1"/>
  <c r="T15" i="40" s="1"/>
  <c r="U15" i="40" s="1"/>
  <c r="V15" i="40" s="1"/>
  <c r="W15" i="40" s="1"/>
  <c r="X15" i="40" s="1"/>
  <c r="Y15" i="40" s="1"/>
  <c r="Z15" i="40" s="1"/>
  <c r="AA15" i="40" s="1"/>
  <c r="AB15" i="40" s="1"/>
  <c r="AC15" i="40" s="1"/>
  <c r="AD15" i="40" s="1"/>
  <c r="AE15" i="40" s="1"/>
  <c r="AF15" i="40" s="1"/>
  <c r="AG15" i="40" s="1"/>
  <c r="AH15" i="40" s="1"/>
  <c r="AF50" i="40"/>
  <c r="AG50" i="40" s="1"/>
  <c r="AH50" i="40" s="1"/>
  <c r="AI50" i="40" s="1"/>
  <c r="AJ50" i="40" s="1"/>
  <c r="AK50" i="40" s="1"/>
  <c r="AL50" i="40" s="1"/>
  <c r="AM50" i="40" s="1"/>
  <c r="AN50" i="40" s="1"/>
  <c r="AO50" i="40" s="1"/>
  <c r="AP50" i="40" s="1"/>
  <c r="AQ50" i="40" s="1"/>
  <c r="AR50" i="40" s="1"/>
  <c r="K53" i="40"/>
  <c r="H1040" i="36" s="1"/>
  <c r="AL59" i="40"/>
  <c r="AM59" i="40" s="1"/>
  <c r="AN59" i="40" s="1"/>
  <c r="AO59" i="40" s="1"/>
  <c r="AP59" i="40" s="1"/>
  <c r="AQ59" i="40" s="1"/>
  <c r="AR59" i="40" s="1"/>
  <c r="AS59" i="40" s="1"/>
  <c r="AT59" i="40" s="1"/>
  <c r="AU59" i="40" s="1"/>
  <c r="AV59" i="40" s="1"/>
  <c r="AW59" i="40" s="1"/>
  <c r="AX59" i="40" s="1"/>
  <c r="AY59" i="40" s="1"/>
  <c r="AZ59" i="40" s="1"/>
  <c r="BA59" i="40" s="1"/>
  <c r="BB59" i="40" s="1"/>
  <c r="BC59" i="40" s="1"/>
  <c r="BD59" i="40" s="1"/>
  <c r="BE59" i="40" s="1"/>
  <c r="BF59" i="40" s="1"/>
  <c r="BG59" i="40" s="1"/>
  <c r="BH59" i="40" s="1"/>
  <c r="BI59" i="40" s="1"/>
  <c r="BJ59" i="40" s="1"/>
  <c r="BK59" i="40" s="1"/>
  <c r="BL59" i="40" s="1"/>
  <c r="BM59" i="40" s="1"/>
  <c r="BN59" i="40" s="1"/>
  <c r="BO59" i="40" s="1"/>
  <c r="BP59" i="40" s="1"/>
  <c r="AL76" i="40"/>
  <c r="K76" i="40" s="1"/>
  <c r="H1025" i="36" s="1"/>
  <c r="K46" i="40"/>
  <c r="H1020" i="36" s="1"/>
  <c r="O39" i="40"/>
  <c r="P39" i="40" s="1"/>
  <c r="Q39" i="40" s="1"/>
  <c r="R39" i="40" s="1"/>
  <c r="S39" i="40" s="1"/>
  <c r="T39" i="40" s="1"/>
  <c r="U39" i="40" s="1"/>
  <c r="V39" i="40" s="1"/>
  <c r="W39" i="40" s="1"/>
  <c r="X39" i="40" s="1"/>
  <c r="Y39" i="40" s="1"/>
  <c r="Z39" i="40" s="1"/>
  <c r="AA39" i="40" s="1"/>
  <c r="AB39" i="40" s="1"/>
  <c r="AC39" i="40" s="1"/>
  <c r="AD39" i="40" s="1"/>
  <c r="AE39" i="40" s="1"/>
  <c r="AF39" i="40" s="1"/>
  <c r="AG39" i="40" s="1"/>
  <c r="AH39" i="40" s="1"/>
  <c r="AI39" i="40" s="1"/>
  <c r="AJ39" i="40" s="1"/>
  <c r="AK39" i="40" s="1"/>
  <c r="AL39" i="40" s="1"/>
  <c r="AM39" i="40" s="1"/>
  <c r="AN39" i="40" s="1"/>
  <c r="AO39" i="40" s="1"/>
  <c r="K63" i="40"/>
  <c r="H1004" i="36" s="1"/>
  <c r="AM94" i="40"/>
  <c r="AN94" i="40" s="1"/>
  <c r="AO94" i="40" s="1"/>
  <c r="AP94" i="40" s="1"/>
  <c r="AQ94" i="40" s="1"/>
  <c r="AR94" i="40" s="1"/>
  <c r="AS94" i="40" s="1"/>
  <c r="AT94" i="40" s="1"/>
  <c r="AM40" i="40"/>
  <c r="AN40" i="40" s="1"/>
  <c r="AO40" i="40" s="1"/>
  <c r="AP40" i="40" s="1"/>
  <c r="AQ40" i="40" s="1"/>
  <c r="AL77" i="40"/>
  <c r="AM77" i="40" s="1"/>
  <c r="AN77" i="40" s="1"/>
  <c r="AO77" i="40" s="1"/>
  <c r="AP77" i="40" s="1"/>
  <c r="AQ77" i="40" s="1"/>
  <c r="AR77" i="40" s="1"/>
  <c r="AS77" i="40" s="1"/>
  <c r="AT77" i="40" s="1"/>
  <c r="AU77" i="40" s="1"/>
  <c r="AV77" i="40" s="1"/>
  <c r="AW77" i="40" s="1"/>
  <c r="AX77" i="40" s="1"/>
  <c r="AY77" i="40" s="1"/>
  <c r="AZ77" i="40" s="1"/>
  <c r="BA77" i="40" s="1"/>
  <c r="BB77" i="40" s="1"/>
  <c r="BC77" i="40" s="1"/>
  <c r="AE91" i="40"/>
  <c r="AF91" i="40" s="1"/>
  <c r="AG91" i="40" s="1"/>
  <c r="AH91" i="40" s="1"/>
  <c r="AI91" i="40" s="1"/>
  <c r="AJ91" i="40" s="1"/>
  <c r="AK91" i="40" s="1"/>
  <c r="AL91" i="40" s="1"/>
  <c r="AE25" i="40"/>
  <c r="AF25" i="40" s="1"/>
  <c r="AG25" i="40" s="1"/>
  <c r="AE37" i="40"/>
  <c r="AF37" i="40" s="1"/>
  <c r="AG37" i="40" s="1"/>
  <c r="AH37" i="40" s="1"/>
  <c r="AI37" i="40" s="1"/>
  <c r="AJ37" i="40" s="1"/>
  <c r="AK37" i="40" s="1"/>
  <c r="AL37" i="40" s="1"/>
  <c r="AK16" i="40"/>
  <c r="K16" i="40" s="1"/>
  <c r="H1015" i="36" s="1"/>
  <c r="K35" i="40"/>
  <c r="H1037" i="36" s="1"/>
  <c r="K49" i="40"/>
  <c r="H964" i="36" s="1"/>
  <c r="AL11" i="40"/>
  <c r="AM11" i="40" s="1"/>
  <c r="AN11" i="40" s="1"/>
  <c r="AO11" i="40" s="1"/>
  <c r="AP11" i="40" s="1"/>
  <c r="AQ11" i="40" s="1"/>
  <c r="AR11" i="40" s="1"/>
  <c r="AS11" i="40" s="1"/>
  <c r="AT11" i="40" s="1"/>
  <c r="AU11" i="40" s="1"/>
  <c r="AV11" i="40" s="1"/>
  <c r="AW11" i="40" s="1"/>
  <c r="AX11" i="40" s="1"/>
  <c r="AY11" i="40" s="1"/>
  <c r="AZ11" i="40" s="1"/>
  <c r="K51" i="40"/>
  <c r="H1002" i="36" s="1"/>
  <c r="K75" i="40"/>
  <c r="H1006" i="36" s="1"/>
  <c r="K33" i="40"/>
  <c r="H999" i="36" s="1"/>
  <c r="AE55" i="40"/>
  <c r="AF55" i="40" s="1"/>
  <c r="AG55" i="40" s="1"/>
  <c r="AH55" i="40" s="1"/>
  <c r="AI55" i="40" s="1"/>
  <c r="AJ55" i="40" s="1"/>
  <c r="AK55" i="40" s="1"/>
  <c r="AL55" i="40" s="1"/>
  <c r="AM55" i="40" s="1"/>
  <c r="AN55" i="40" s="1"/>
  <c r="AO55" i="40" s="1"/>
  <c r="AP55" i="40" s="1"/>
  <c r="AQ55" i="40" s="1"/>
  <c r="AR55" i="40" s="1"/>
  <c r="K17" i="40"/>
  <c r="H1034" i="36" s="1"/>
  <c r="AF26" i="40"/>
  <c r="AG26" i="40" s="1"/>
  <c r="AH26" i="40" s="1"/>
  <c r="AI26" i="40" s="1"/>
  <c r="AJ26" i="40" s="1"/>
  <c r="K41" i="40"/>
  <c r="H1038" i="36" s="1"/>
  <c r="AN64" i="40"/>
  <c r="AO64" i="40" s="1"/>
  <c r="AP64" i="40" s="1"/>
  <c r="AQ64" i="40" s="1"/>
  <c r="AR64" i="40" s="1"/>
  <c r="AS64" i="40" s="1"/>
  <c r="AT64" i="40" s="1"/>
  <c r="AU64" i="40" s="1"/>
  <c r="AV64" i="40" s="1"/>
  <c r="AW64" i="40" s="1"/>
  <c r="AX64" i="40" s="1"/>
  <c r="AY64" i="40" s="1"/>
  <c r="AZ64" i="40" s="1"/>
  <c r="BA64" i="40" s="1"/>
  <c r="BB64" i="40" s="1"/>
  <c r="AE79" i="40"/>
  <c r="AF79" i="40" s="1"/>
  <c r="AG79" i="40" s="1"/>
  <c r="P45" i="40"/>
  <c r="Q45" i="40" s="1"/>
  <c r="R45" i="40" s="1"/>
  <c r="S45" i="40" s="1"/>
  <c r="T45" i="40" s="1"/>
  <c r="U45" i="40" s="1"/>
  <c r="V45" i="40" s="1"/>
  <c r="W45" i="40" s="1"/>
  <c r="X45" i="40" s="1"/>
  <c r="Y45" i="40" s="1"/>
  <c r="Z45" i="40" s="1"/>
  <c r="AA45" i="40" s="1"/>
  <c r="AB45" i="40" s="1"/>
  <c r="AC45" i="40" s="1"/>
  <c r="AD45" i="40" s="1"/>
  <c r="AE45" i="40" s="1"/>
  <c r="AF45" i="40" s="1"/>
  <c r="AG45" i="40" s="1"/>
  <c r="AH45" i="40" s="1"/>
  <c r="AI45" i="40" s="1"/>
  <c r="AJ45" i="40" s="1"/>
  <c r="AK45" i="40" s="1"/>
  <c r="AL45" i="40" s="1"/>
  <c r="AM45" i="40" s="1"/>
  <c r="AN45" i="40" s="1"/>
  <c r="AO45" i="40" s="1"/>
  <c r="AP45" i="40" s="1"/>
  <c r="AQ45" i="40" s="1"/>
  <c r="AR45" i="40" s="1"/>
  <c r="Y87" i="40"/>
  <c r="Z87" i="40" s="1"/>
  <c r="AA87" i="40" s="1"/>
  <c r="AB87" i="40" s="1"/>
  <c r="AC87" i="40" s="1"/>
  <c r="AD87" i="40" s="1"/>
  <c r="AE87" i="40" s="1"/>
  <c r="AF87" i="40" s="1"/>
  <c r="AG87" i="40" s="1"/>
  <c r="AH87" i="40" s="1"/>
  <c r="AI87" i="40" s="1"/>
  <c r="AJ87" i="40" s="1"/>
  <c r="AK87" i="40" s="1"/>
  <c r="AL87" i="40" s="1"/>
  <c r="AM87" i="40" s="1"/>
  <c r="AN87" i="40" s="1"/>
  <c r="AO87" i="40" s="1"/>
  <c r="AK52" i="40"/>
  <c r="AL52" i="40" s="1"/>
  <c r="AM52" i="40" s="1"/>
  <c r="AN52" i="40" s="1"/>
  <c r="AO52" i="40" s="1"/>
  <c r="AP52" i="40" s="1"/>
  <c r="AQ52" i="40" s="1"/>
  <c r="AR52" i="40" s="1"/>
  <c r="AS52" i="40" s="1"/>
  <c r="AT52" i="40" s="1"/>
  <c r="AU52" i="40" s="1"/>
  <c r="AV52" i="40" s="1"/>
  <c r="AW52" i="40" s="1"/>
  <c r="AL106" i="40"/>
  <c r="AM106" i="40" s="1"/>
  <c r="AN106" i="40" s="1"/>
  <c r="AO106" i="40" s="1"/>
  <c r="AP106" i="40" s="1"/>
  <c r="AQ106" i="40" s="1"/>
  <c r="AR106" i="40" s="1"/>
  <c r="AS106" i="40" s="1"/>
  <c r="AT106" i="40" s="1"/>
  <c r="AU106" i="40" s="1"/>
  <c r="AV106" i="40" s="1"/>
  <c r="AW106" i="40" s="1"/>
  <c r="AX106" i="40" s="1"/>
  <c r="AG43" i="40"/>
  <c r="AH43" i="40" s="1"/>
  <c r="AI43" i="40" s="1"/>
  <c r="AJ43" i="40" s="1"/>
  <c r="AK43" i="40" s="1"/>
  <c r="AL43" i="40" s="1"/>
  <c r="AM43" i="40" s="1"/>
  <c r="AN43" i="40" s="1"/>
  <c r="AL83" i="40"/>
  <c r="AM83" i="40" s="1"/>
  <c r="AN83" i="40" s="1"/>
  <c r="AO83" i="40" s="1"/>
  <c r="AP83" i="40" s="1"/>
  <c r="AQ83" i="40" s="1"/>
  <c r="AR83" i="40" s="1"/>
  <c r="AS83" i="40" s="1"/>
  <c r="AT83" i="40" s="1"/>
  <c r="AU83" i="40" s="1"/>
  <c r="AV83" i="40" s="1"/>
  <c r="AW83" i="40" s="1"/>
  <c r="AX83" i="40" s="1"/>
  <c r="AY83" i="40" s="1"/>
  <c r="AZ83" i="40" s="1"/>
  <c r="BA83" i="40" s="1"/>
  <c r="BB83" i="40" s="1"/>
  <c r="BC83" i="40" s="1"/>
  <c r="BD83" i="40" s="1"/>
  <c r="BE83" i="40" s="1"/>
  <c r="BF83" i="40" s="1"/>
  <c r="AM100" i="40"/>
  <c r="AN100" i="40" s="1"/>
  <c r="AO100" i="40" s="1"/>
  <c r="AP100" i="40" s="1"/>
  <c r="AQ100" i="40" s="1"/>
  <c r="AR100" i="40" s="1"/>
  <c r="AS100" i="40" s="1"/>
  <c r="AT100" i="40" s="1"/>
  <c r="AU100" i="40" s="1"/>
  <c r="AV100" i="40" s="1"/>
  <c r="K112" i="40"/>
  <c r="H1031" i="36" s="1"/>
  <c r="AK119" i="40"/>
  <c r="AL119" i="40" s="1"/>
  <c r="AM119" i="40" s="1"/>
  <c r="AN119" i="40" s="1"/>
  <c r="AO119" i="40" s="1"/>
  <c r="AP119" i="40" s="1"/>
  <c r="AQ119" i="40" s="1"/>
  <c r="AR119" i="40" s="1"/>
  <c r="AS119" i="40" s="1"/>
  <c r="AT119" i="40" s="1"/>
  <c r="AU119" i="40" s="1"/>
  <c r="AV119" i="40" s="1"/>
  <c r="AW119" i="40" s="1"/>
  <c r="AX119" i="40" s="1"/>
  <c r="AY119" i="40" s="1"/>
  <c r="AZ119" i="40" s="1"/>
  <c r="BA119" i="40" s="1"/>
  <c r="BB119" i="40" s="1"/>
  <c r="BC119" i="40" s="1"/>
  <c r="BD119" i="40" s="1"/>
  <c r="BE119" i="40" s="1"/>
  <c r="BF119" i="40" s="1"/>
  <c r="BG119" i="40" s="1"/>
  <c r="BH119" i="40" s="1"/>
  <c r="BI119" i="40" s="1"/>
  <c r="BJ119" i="40" s="1"/>
  <c r="BK119" i="40" s="1"/>
  <c r="BL119" i="40" s="1"/>
  <c r="BM119" i="40" s="1"/>
  <c r="BN119" i="40" s="1"/>
  <c r="BO119" i="40" s="1"/>
  <c r="BP119" i="40" s="1"/>
  <c r="BQ119" i="40" s="1"/>
  <c r="BR119" i="40" s="1"/>
  <c r="BS119" i="40" s="1"/>
  <c r="BT119" i="40" s="1"/>
  <c r="K14" i="40"/>
  <c r="H977" i="36" s="1"/>
  <c r="K28" i="40"/>
  <c r="H1017" i="36" s="1"/>
  <c r="K56" i="40"/>
  <c r="H984" i="36" s="1"/>
  <c r="K61" i="40"/>
  <c r="H966" i="36" s="1"/>
  <c r="AE62" i="40"/>
  <c r="AF62" i="40" s="1"/>
  <c r="AG62" i="40" s="1"/>
  <c r="AH62" i="40" s="1"/>
  <c r="AI62" i="40" s="1"/>
  <c r="AJ62" i="40" s="1"/>
  <c r="AK62" i="40" s="1"/>
  <c r="AL62" i="40" s="1"/>
  <c r="AM62" i="40" s="1"/>
  <c r="AN62" i="40" s="1"/>
  <c r="AO62" i="40" s="1"/>
  <c r="AP62" i="40" s="1"/>
  <c r="AQ62" i="40" s="1"/>
  <c r="AR62" i="40" s="1"/>
  <c r="AS62" i="40" s="1"/>
  <c r="AT62" i="40" s="1"/>
  <c r="AU62" i="40" s="1"/>
  <c r="AV62" i="40" s="1"/>
  <c r="AW62" i="40" s="1"/>
  <c r="AX62" i="40" s="1"/>
  <c r="K116" i="40"/>
  <c r="H994" i="36" s="1"/>
  <c r="K118" i="40"/>
  <c r="H1032" i="36" s="1"/>
  <c r="K9" i="40"/>
  <c r="H995" i="36" s="1"/>
  <c r="AK58" i="40"/>
  <c r="AL58" i="40" s="1"/>
  <c r="AM58" i="40" s="1"/>
  <c r="AN58" i="40" s="1"/>
  <c r="AO58" i="40" s="1"/>
  <c r="AP58" i="40" s="1"/>
  <c r="AQ58" i="40" s="1"/>
  <c r="AR58" i="40" s="1"/>
  <c r="AS58" i="40" s="1"/>
  <c r="AT58" i="40" s="1"/>
  <c r="AU58" i="40" s="1"/>
  <c r="AV58" i="40" s="1"/>
  <c r="AW58" i="40" s="1"/>
  <c r="AX58" i="40" s="1"/>
  <c r="AY58" i="40" s="1"/>
  <c r="AK65" i="40"/>
  <c r="AL65" i="40" s="1"/>
  <c r="AM65" i="40" s="1"/>
  <c r="AN65" i="40" s="1"/>
  <c r="AO65" i="40" s="1"/>
  <c r="AP65" i="40" s="1"/>
  <c r="AQ65" i="40" s="1"/>
  <c r="AR65" i="40" s="1"/>
  <c r="AS65" i="40" s="1"/>
  <c r="AT65" i="40" s="1"/>
  <c r="AU65" i="40" s="1"/>
  <c r="AV65" i="40" s="1"/>
  <c r="AW65" i="40" s="1"/>
  <c r="AX65" i="40" s="1"/>
  <c r="AY65" i="40" s="1"/>
  <c r="AZ65" i="40" s="1"/>
  <c r="BA65" i="40" s="1"/>
  <c r="BB65" i="40" s="1"/>
  <c r="BC65" i="40" s="1"/>
  <c r="BD65" i="40" s="1"/>
  <c r="BE65" i="40" s="1"/>
  <c r="BF65" i="40" s="1"/>
  <c r="BG65" i="40" s="1"/>
  <c r="BH65" i="40" s="1"/>
  <c r="BI65" i="40" s="1"/>
  <c r="BJ65" i="40" s="1"/>
  <c r="BK65" i="40" s="1"/>
  <c r="BL65" i="40" s="1"/>
  <c r="BM65" i="40" s="1"/>
  <c r="BN65" i="40" s="1"/>
  <c r="BO65" i="40" s="1"/>
  <c r="BP65" i="40" s="1"/>
  <c r="BQ65" i="40" s="1"/>
  <c r="BR65" i="40" s="1"/>
  <c r="BS65" i="40" s="1"/>
  <c r="K69" i="40"/>
  <c r="H1005" i="36" s="1"/>
  <c r="AF92" i="40"/>
  <c r="AG92" i="40" s="1"/>
  <c r="AH92" i="40" s="1"/>
  <c r="AI92" i="40" s="1"/>
  <c r="AJ92" i="40" s="1"/>
  <c r="AK92" i="40" s="1"/>
  <c r="AL92" i="40" s="1"/>
  <c r="AM92" i="40" s="1"/>
  <c r="AN92" i="40" s="1"/>
  <c r="AG103" i="40"/>
  <c r="AH103" i="40" s="1"/>
  <c r="AI103" i="40" s="1"/>
  <c r="AJ103" i="40" s="1"/>
  <c r="AK103" i="40" s="1"/>
  <c r="AL103" i="40" s="1"/>
  <c r="AM103" i="40" s="1"/>
  <c r="AN103" i="40" s="1"/>
  <c r="AO103" i="40" s="1"/>
  <c r="AP103" i="40" s="1"/>
  <c r="K32" i="40"/>
  <c r="H980" i="36" s="1"/>
  <c r="K44" i="40"/>
  <c r="H982" i="36" s="1"/>
  <c r="K47" i="40"/>
  <c r="H1039" i="36" s="1"/>
  <c r="K97" i="40"/>
  <c r="H972" i="36" s="1"/>
  <c r="K105" i="40"/>
  <c r="H1011" i="36" s="1"/>
  <c r="Q99" i="40"/>
  <c r="R99" i="40" s="1"/>
  <c r="S99" i="40" s="1"/>
  <c r="T99" i="40" s="1"/>
  <c r="U99" i="40" s="1"/>
  <c r="V99" i="40" s="1"/>
  <c r="W99" i="40" s="1"/>
  <c r="X99" i="40" s="1"/>
  <c r="Y99" i="40" s="1"/>
  <c r="Z99" i="40" s="1"/>
  <c r="AA99" i="40" s="1"/>
  <c r="AB99" i="40" s="1"/>
  <c r="AC99" i="40" s="1"/>
  <c r="AD99" i="40" s="1"/>
  <c r="AE99" i="40" s="1"/>
  <c r="AF99" i="40" s="1"/>
  <c r="AG99" i="40" s="1"/>
  <c r="AH99" i="40" s="1"/>
  <c r="AI99" i="40" s="1"/>
  <c r="AJ99" i="40" s="1"/>
  <c r="AK99" i="40" s="1"/>
  <c r="AL99" i="40" s="1"/>
  <c r="AM99" i="40" s="1"/>
  <c r="AN99" i="40" s="1"/>
  <c r="AO99" i="40" s="1"/>
  <c r="AP99" i="40" s="1"/>
  <c r="AQ99" i="40" s="1"/>
  <c r="AR99" i="40" s="1"/>
  <c r="AS99" i="40" s="1"/>
  <c r="AT99" i="40" s="1"/>
  <c r="K113" i="40"/>
  <c r="H1050" i="36" s="1"/>
  <c r="AN71" i="40"/>
  <c r="AO71" i="40" s="1"/>
  <c r="AP71" i="40" s="1"/>
  <c r="AQ71" i="40" s="1"/>
  <c r="AR71" i="40" s="1"/>
  <c r="AS71" i="40" s="1"/>
  <c r="AT71" i="40" s="1"/>
  <c r="AU71" i="40" s="1"/>
  <c r="AV71" i="40" s="1"/>
  <c r="AW71" i="40" s="1"/>
  <c r="AX71" i="40" s="1"/>
  <c r="AY71" i="40" s="1"/>
  <c r="AZ71" i="40" s="1"/>
  <c r="BA71" i="40" s="1"/>
  <c r="O93" i="40"/>
  <c r="P93" i="40" s="1"/>
  <c r="Q93" i="40" s="1"/>
  <c r="R93" i="40" s="1"/>
  <c r="S93" i="40" s="1"/>
  <c r="T93" i="40" s="1"/>
  <c r="U93" i="40" s="1"/>
  <c r="V93" i="40" s="1"/>
  <c r="W93" i="40" s="1"/>
  <c r="X93" i="40" s="1"/>
  <c r="Y93" i="40" s="1"/>
  <c r="Z93" i="40" s="1"/>
  <c r="AA93" i="40" s="1"/>
  <c r="AB93" i="40" s="1"/>
  <c r="AC93" i="40" s="1"/>
  <c r="AD93" i="40" s="1"/>
  <c r="AE93" i="40" s="1"/>
  <c r="AF93" i="40" s="1"/>
  <c r="AG93" i="40" s="1"/>
  <c r="AH93" i="40" s="1"/>
  <c r="AI93" i="40" s="1"/>
  <c r="AJ93" i="40" s="1"/>
  <c r="AK93" i="40" s="1"/>
  <c r="AL93" i="40" s="1"/>
  <c r="AM93" i="40" s="1"/>
  <c r="AN93" i="40" s="1"/>
  <c r="AO93" i="40" s="1"/>
  <c r="AP93" i="40" s="1"/>
  <c r="AQ93" i="40" s="1"/>
  <c r="AR93" i="40" s="1"/>
  <c r="AF115" i="40"/>
  <c r="AG115" i="40" s="1"/>
  <c r="AH115" i="40" s="1"/>
  <c r="AI115" i="40" s="1"/>
  <c r="AJ115" i="40" s="1"/>
  <c r="AK115" i="40" s="1"/>
  <c r="AL115" i="40" s="1"/>
  <c r="AM115" i="40" s="1"/>
  <c r="AN115" i="40" s="1"/>
  <c r="AO115" i="40" s="1"/>
  <c r="AP115" i="40" s="1"/>
  <c r="AQ115" i="40" s="1"/>
  <c r="AR115" i="40" s="1"/>
  <c r="AS115" i="40" s="1"/>
  <c r="AT115" i="40" s="1"/>
  <c r="AU115" i="40" s="1"/>
  <c r="K81" i="40"/>
  <c r="H1007" i="36" s="1"/>
  <c r="K109" i="40"/>
  <c r="H974" i="36" s="1"/>
  <c r="K74" i="40"/>
  <c r="H987" i="36" s="1"/>
  <c r="K85" i="40"/>
  <c r="H970" i="36" s="1"/>
  <c r="K89" i="40"/>
  <c r="H1046" i="36" s="1"/>
  <c r="K107" i="40"/>
  <c r="H1049" i="36" s="1"/>
  <c r="K95" i="40"/>
  <c r="H1047" i="36" s="1"/>
  <c r="K101" i="40"/>
  <c r="H1048" i="36" s="1"/>
  <c r="K104" i="40"/>
  <c r="H992" i="36" s="1"/>
  <c r="K111" i="40"/>
  <c r="H1012" i="36" s="1"/>
  <c r="K80" i="40"/>
  <c r="H988" i="36" s="1"/>
  <c r="K82" i="40"/>
  <c r="H1026" i="36" s="1"/>
  <c r="K88" i="40"/>
  <c r="H1027" i="36" s="1"/>
  <c r="K11" i="39"/>
  <c r="H843" i="36" s="1"/>
  <c r="K26" i="39"/>
  <c r="H789" i="36" s="1"/>
  <c r="AI34" i="39"/>
  <c r="AJ34" i="39" s="1"/>
  <c r="AK34" i="39" s="1"/>
  <c r="AL34" i="39" s="1"/>
  <c r="K37" i="39"/>
  <c r="H772" i="36" s="1"/>
  <c r="Q39" i="39"/>
  <c r="R39" i="39" s="1"/>
  <c r="S39" i="39" s="1"/>
  <c r="T39" i="39" s="1"/>
  <c r="U39" i="39" s="1"/>
  <c r="V39" i="39" s="1"/>
  <c r="W39" i="39" s="1"/>
  <c r="X39" i="39" s="1"/>
  <c r="Y39" i="39" s="1"/>
  <c r="Z39" i="39" s="1"/>
  <c r="AA39" i="39" s="1"/>
  <c r="AB39" i="39" s="1"/>
  <c r="AC39" i="39" s="1"/>
  <c r="AD39" i="39" s="1"/>
  <c r="AE39" i="39" s="1"/>
  <c r="AF39" i="39" s="1"/>
  <c r="AG39" i="39" s="1"/>
  <c r="AH39" i="39" s="1"/>
  <c r="AI39" i="39" s="1"/>
  <c r="AJ39" i="39" s="1"/>
  <c r="AK39" i="39" s="1"/>
  <c r="AL39" i="39" s="1"/>
  <c r="AC50" i="39"/>
  <c r="AD50" i="39" s="1"/>
  <c r="AE50" i="39" s="1"/>
  <c r="AF50" i="39" s="1"/>
  <c r="AG50" i="39" s="1"/>
  <c r="AH50" i="39" s="1"/>
  <c r="AI50" i="39" s="1"/>
  <c r="AJ50" i="39" s="1"/>
  <c r="AK50" i="39" s="1"/>
  <c r="AL50" i="39" s="1"/>
  <c r="AM50" i="39" s="1"/>
  <c r="AN50" i="39" s="1"/>
  <c r="AO50" i="39" s="1"/>
  <c r="AP50" i="39" s="1"/>
  <c r="T93" i="39"/>
  <c r="U93" i="39" s="1"/>
  <c r="V93" i="39" s="1"/>
  <c r="W93" i="39" s="1"/>
  <c r="X93" i="39" s="1"/>
  <c r="Y93" i="39" s="1"/>
  <c r="Z93" i="39" s="1"/>
  <c r="AA93" i="39" s="1"/>
  <c r="AB93" i="39" s="1"/>
  <c r="AC93" i="39" s="1"/>
  <c r="AD93" i="39" s="1"/>
  <c r="AE93" i="39" s="1"/>
  <c r="AF93" i="39" s="1"/>
  <c r="AG93" i="39" s="1"/>
  <c r="AH93" i="39" s="1"/>
  <c r="AI93" i="39" s="1"/>
  <c r="AJ93" i="39" s="1"/>
  <c r="AK93" i="39" s="1"/>
  <c r="AL93" i="39" s="1"/>
  <c r="AM93" i="39" s="1"/>
  <c r="AN93" i="39" s="1"/>
  <c r="AO93" i="39" s="1"/>
  <c r="O15" i="39"/>
  <c r="P15" i="39" s="1"/>
  <c r="Q15" i="39" s="1"/>
  <c r="R15" i="39" s="1"/>
  <c r="S15" i="39" s="1"/>
  <c r="T15" i="39" s="1"/>
  <c r="U15" i="39" s="1"/>
  <c r="V15" i="39" s="1"/>
  <c r="W15" i="39" s="1"/>
  <c r="X15" i="39" s="1"/>
  <c r="Y15" i="39" s="1"/>
  <c r="Z15" i="39" s="1"/>
  <c r="AA15" i="39" s="1"/>
  <c r="AB15" i="39" s="1"/>
  <c r="AC15" i="39" s="1"/>
  <c r="AD15" i="39" s="1"/>
  <c r="AE15" i="39" s="1"/>
  <c r="AF15" i="39" s="1"/>
  <c r="K44" i="39"/>
  <c r="H792" i="36" s="1"/>
  <c r="K35" i="39"/>
  <c r="H847" i="36" s="1"/>
  <c r="K65" i="39"/>
  <c r="H852" i="36" s="1"/>
  <c r="K87" i="39"/>
  <c r="H818" i="36" s="1"/>
  <c r="K47" i="39"/>
  <c r="H849" i="36" s="1"/>
  <c r="P81" i="39"/>
  <c r="Q81" i="39" s="1"/>
  <c r="R81" i="39" s="1"/>
  <c r="S81" i="39" s="1"/>
  <c r="T81" i="39" s="1"/>
  <c r="U81" i="39" s="1"/>
  <c r="V81" i="39" s="1"/>
  <c r="W81" i="39" s="1"/>
  <c r="X81" i="39" s="1"/>
  <c r="Y81" i="39" s="1"/>
  <c r="Z81" i="39" s="1"/>
  <c r="AA81" i="39" s="1"/>
  <c r="AB81" i="39" s="1"/>
  <c r="AC81" i="39" s="1"/>
  <c r="AD81" i="39" s="1"/>
  <c r="AE81" i="39" s="1"/>
  <c r="AF81" i="39" s="1"/>
  <c r="AG81" i="39" s="1"/>
  <c r="AH81" i="39" s="1"/>
  <c r="AI81" i="39" s="1"/>
  <c r="AJ81" i="39" s="1"/>
  <c r="K31" i="39"/>
  <c r="H771" i="36" s="1"/>
  <c r="AJ52" i="39"/>
  <c r="AK52" i="39" s="1"/>
  <c r="AL52" i="39" s="1"/>
  <c r="AM52" i="39" s="1"/>
  <c r="AN52" i="39" s="1"/>
  <c r="AO52" i="39" s="1"/>
  <c r="AP52" i="39" s="1"/>
  <c r="AQ52" i="39" s="1"/>
  <c r="AR52" i="39" s="1"/>
  <c r="AS52" i="39" s="1"/>
  <c r="K103" i="39"/>
  <c r="H783" i="36" s="1"/>
  <c r="K27" i="39"/>
  <c r="H808" i="36" s="1"/>
  <c r="AE110" i="39"/>
  <c r="AF110" i="39" s="1"/>
  <c r="AG110" i="39" s="1"/>
  <c r="AH110" i="39" s="1"/>
  <c r="AI110" i="39" s="1"/>
  <c r="AJ110" i="39" s="1"/>
  <c r="AK110" i="39" s="1"/>
  <c r="AL110" i="39" s="1"/>
  <c r="AM110" i="39" s="1"/>
  <c r="AN110" i="39" s="1"/>
  <c r="AO110" i="39" s="1"/>
  <c r="AP110" i="39" s="1"/>
  <c r="AQ110" i="39" s="1"/>
  <c r="AI17" i="39"/>
  <c r="AJ17" i="39" s="1"/>
  <c r="AK17" i="39" s="1"/>
  <c r="AL17" i="39" s="1"/>
  <c r="AM17" i="39" s="1"/>
  <c r="AN17" i="39" s="1"/>
  <c r="AO17" i="39" s="1"/>
  <c r="AP17" i="39" s="1"/>
  <c r="AQ17" i="39" s="1"/>
  <c r="AR17" i="39" s="1"/>
  <c r="AS17" i="39" s="1"/>
  <c r="AT17" i="39" s="1"/>
  <c r="AU17" i="39" s="1"/>
  <c r="AV17" i="39" s="1"/>
  <c r="AW17" i="39" s="1"/>
  <c r="AX17" i="39" s="1"/>
  <c r="K41" i="39"/>
  <c r="H848" i="36" s="1"/>
  <c r="P33" i="39"/>
  <c r="Q33" i="39" s="1"/>
  <c r="R33" i="39" s="1"/>
  <c r="S33" i="39" s="1"/>
  <c r="T33" i="39" s="1"/>
  <c r="U33" i="39" s="1"/>
  <c r="V33" i="39" s="1"/>
  <c r="W33" i="39" s="1"/>
  <c r="X33" i="39" s="1"/>
  <c r="Y33" i="39" s="1"/>
  <c r="Z33" i="39" s="1"/>
  <c r="AA33" i="39" s="1"/>
  <c r="AB33" i="39" s="1"/>
  <c r="AC33" i="39" s="1"/>
  <c r="AD33" i="39" s="1"/>
  <c r="AE33" i="39" s="1"/>
  <c r="AF33" i="39" s="1"/>
  <c r="AG33" i="39" s="1"/>
  <c r="AH33" i="39" s="1"/>
  <c r="AI33" i="39" s="1"/>
  <c r="AJ33" i="39" s="1"/>
  <c r="K46" i="39"/>
  <c r="H830" i="36" s="1"/>
  <c r="AH115" i="39"/>
  <c r="AI115" i="39" s="1"/>
  <c r="AJ115" i="39" s="1"/>
  <c r="AK115" i="39" s="1"/>
  <c r="AL115" i="39" s="1"/>
  <c r="AM115" i="39" s="1"/>
  <c r="AN115" i="39" s="1"/>
  <c r="AO115" i="39" s="1"/>
  <c r="AP115" i="39" s="1"/>
  <c r="AQ115" i="39" s="1"/>
  <c r="K9" i="39"/>
  <c r="H805" i="36" s="1"/>
  <c r="K25" i="39"/>
  <c r="H770" i="36" s="1"/>
  <c r="K32" i="39"/>
  <c r="H790" i="36" s="1"/>
  <c r="O45" i="39"/>
  <c r="P45" i="39" s="1"/>
  <c r="Q45" i="39" s="1"/>
  <c r="R45" i="39" s="1"/>
  <c r="S45" i="39" s="1"/>
  <c r="T45" i="39" s="1"/>
  <c r="U45" i="39" s="1"/>
  <c r="V45" i="39" s="1"/>
  <c r="W45" i="39" s="1"/>
  <c r="X45" i="39" s="1"/>
  <c r="Y45" i="39" s="1"/>
  <c r="Z45" i="39" s="1"/>
  <c r="AA45" i="39" s="1"/>
  <c r="AB45" i="39" s="1"/>
  <c r="AC45" i="39" s="1"/>
  <c r="AD45" i="39" s="1"/>
  <c r="AE45" i="39" s="1"/>
  <c r="AF45" i="39" s="1"/>
  <c r="AG45" i="39" s="1"/>
  <c r="AH45" i="39" s="1"/>
  <c r="AI45" i="39" s="1"/>
  <c r="AJ45" i="39" s="1"/>
  <c r="AK45" i="39" s="1"/>
  <c r="AL45" i="39" s="1"/>
  <c r="AM45" i="39" s="1"/>
  <c r="AN45" i="39" s="1"/>
  <c r="AO45" i="39" s="1"/>
  <c r="AI29" i="39"/>
  <c r="AJ29" i="39" s="1"/>
  <c r="AK29" i="39" s="1"/>
  <c r="AL29" i="39" s="1"/>
  <c r="AM29" i="39" s="1"/>
  <c r="AN29" i="39" s="1"/>
  <c r="AO29" i="39" s="1"/>
  <c r="AP29" i="39" s="1"/>
  <c r="AQ29" i="39" s="1"/>
  <c r="AR29" i="39" s="1"/>
  <c r="AS29" i="39" s="1"/>
  <c r="AT29" i="39" s="1"/>
  <c r="AU29" i="39" s="1"/>
  <c r="AV29" i="39" s="1"/>
  <c r="AW29" i="39" s="1"/>
  <c r="AX29" i="39" s="1"/>
  <c r="AY29" i="39" s="1"/>
  <c r="AZ29" i="39" s="1"/>
  <c r="K40" i="39"/>
  <c r="H829" i="36" s="1"/>
  <c r="R63" i="39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AC63" i="39" s="1"/>
  <c r="AD63" i="39" s="1"/>
  <c r="AE63" i="39" s="1"/>
  <c r="AF63" i="39" s="1"/>
  <c r="AG63" i="39" s="1"/>
  <c r="AH63" i="39" s="1"/>
  <c r="AI63" i="39" s="1"/>
  <c r="AJ63" i="39" s="1"/>
  <c r="AK63" i="39" s="1"/>
  <c r="AL63" i="39" s="1"/>
  <c r="AM63" i="39" s="1"/>
  <c r="AN63" i="39" s="1"/>
  <c r="AO63" i="39" s="1"/>
  <c r="AP63" i="39" s="1"/>
  <c r="AQ63" i="39" s="1"/>
  <c r="AR63" i="39" s="1"/>
  <c r="AS63" i="39" s="1"/>
  <c r="AT63" i="39" s="1"/>
  <c r="AU63" i="39" s="1"/>
  <c r="AV63" i="39" s="1"/>
  <c r="K14" i="39"/>
  <c r="H787" i="36" s="1"/>
  <c r="AC43" i="39"/>
  <c r="AD43" i="39" s="1"/>
  <c r="AE43" i="39" s="1"/>
  <c r="AF43" i="39" s="1"/>
  <c r="AG43" i="39" s="1"/>
  <c r="AH43" i="39" s="1"/>
  <c r="AI43" i="39" s="1"/>
  <c r="AJ43" i="39" s="1"/>
  <c r="AK43" i="39" s="1"/>
  <c r="AL43" i="39" s="1"/>
  <c r="K56" i="39"/>
  <c r="H794" i="36" s="1"/>
  <c r="K116" i="39"/>
  <c r="H804" i="36" s="1"/>
  <c r="AI100" i="39"/>
  <c r="AJ100" i="39" s="1"/>
  <c r="AK100" i="39" s="1"/>
  <c r="AL100" i="39" s="1"/>
  <c r="AM100" i="39" s="1"/>
  <c r="AN100" i="39" s="1"/>
  <c r="AO100" i="39" s="1"/>
  <c r="AP100" i="39" s="1"/>
  <c r="AQ100" i="39" s="1"/>
  <c r="AR100" i="39" s="1"/>
  <c r="AS100" i="39" s="1"/>
  <c r="K51" i="39"/>
  <c r="H812" i="36" s="1"/>
  <c r="K61" i="39"/>
  <c r="H776" i="36" s="1"/>
  <c r="AI64" i="39"/>
  <c r="AJ64" i="39" s="1"/>
  <c r="AK64" i="39" s="1"/>
  <c r="AL64" i="39" s="1"/>
  <c r="AM64" i="39" s="1"/>
  <c r="AN64" i="39" s="1"/>
  <c r="AO64" i="39" s="1"/>
  <c r="AP64" i="39" s="1"/>
  <c r="AQ64" i="39" s="1"/>
  <c r="AR64" i="39" s="1"/>
  <c r="AS64" i="39" s="1"/>
  <c r="AT64" i="39" s="1"/>
  <c r="AU64" i="39" s="1"/>
  <c r="AV64" i="39" s="1"/>
  <c r="AW64" i="39" s="1"/>
  <c r="AX64" i="39" s="1"/>
  <c r="AI112" i="39"/>
  <c r="AJ112" i="39" s="1"/>
  <c r="AK112" i="39" s="1"/>
  <c r="AL112" i="39" s="1"/>
  <c r="AM112" i="39" s="1"/>
  <c r="AN112" i="39" s="1"/>
  <c r="AO112" i="39" s="1"/>
  <c r="AP112" i="39" s="1"/>
  <c r="AQ112" i="39" s="1"/>
  <c r="AR112" i="39" s="1"/>
  <c r="AS112" i="39" s="1"/>
  <c r="AT112" i="39" s="1"/>
  <c r="AU112" i="39" s="1"/>
  <c r="AV112" i="39" s="1"/>
  <c r="AI119" i="39"/>
  <c r="AJ119" i="39" s="1"/>
  <c r="AK119" i="39" s="1"/>
  <c r="AL119" i="39" s="1"/>
  <c r="AM119" i="39" s="1"/>
  <c r="AN119" i="39" s="1"/>
  <c r="AO119" i="39" s="1"/>
  <c r="AP119" i="39" s="1"/>
  <c r="AQ119" i="39" s="1"/>
  <c r="AR119" i="39" s="1"/>
  <c r="AS119" i="39" s="1"/>
  <c r="AT119" i="39" s="1"/>
  <c r="AU119" i="39" s="1"/>
  <c r="AV119" i="39" s="1"/>
  <c r="AW119" i="39" s="1"/>
  <c r="AX119" i="39" s="1"/>
  <c r="AY119" i="39" s="1"/>
  <c r="AZ119" i="39" s="1"/>
  <c r="BA119" i="39" s="1"/>
  <c r="BB119" i="39" s="1"/>
  <c r="BC119" i="39" s="1"/>
  <c r="BD119" i="39" s="1"/>
  <c r="BE119" i="39" s="1"/>
  <c r="BF119" i="39" s="1"/>
  <c r="BG119" i="39" s="1"/>
  <c r="BH119" i="39" s="1"/>
  <c r="BI119" i="39" s="1"/>
  <c r="BJ119" i="39" s="1"/>
  <c r="BK119" i="39" s="1"/>
  <c r="BL119" i="39" s="1"/>
  <c r="BM119" i="39" s="1"/>
  <c r="BN119" i="39" s="1"/>
  <c r="K38" i="39"/>
  <c r="H791" i="36" s="1"/>
  <c r="K57" i="39"/>
  <c r="H813" i="36" s="1"/>
  <c r="AC62" i="39"/>
  <c r="AD62" i="39" s="1"/>
  <c r="AE62" i="39" s="1"/>
  <c r="AF62" i="39" s="1"/>
  <c r="AG62" i="39" s="1"/>
  <c r="AH62" i="39" s="1"/>
  <c r="AI62" i="39" s="1"/>
  <c r="AJ62" i="39" s="1"/>
  <c r="AK62" i="39" s="1"/>
  <c r="AL62" i="39" s="1"/>
  <c r="AM62" i="39" s="1"/>
  <c r="AN62" i="39" s="1"/>
  <c r="AO62" i="39" s="1"/>
  <c r="AP62" i="39" s="1"/>
  <c r="AQ62" i="39" s="1"/>
  <c r="AR62" i="39" s="1"/>
  <c r="AS62" i="39" s="1"/>
  <c r="AT62" i="39" s="1"/>
  <c r="K74" i="39"/>
  <c r="H797" i="36" s="1"/>
  <c r="AI94" i="39"/>
  <c r="AJ94" i="39" s="1"/>
  <c r="AK94" i="39" s="1"/>
  <c r="AL94" i="39" s="1"/>
  <c r="AM94" i="39" s="1"/>
  <c r="AN94" i="39" s="1"/>
  <c r="AO94" i="39" s="1"/>
  <c r="AP94" i="39" s="1"/>
  <c r="AQ94" i="39" s="1"/>
  <c r="Q99" i="39"/>
  <c r="R99" i="39" s="1"/>
  <c r="S99" i="39" s="1"/>
  <c r="T99" i="39" s="1"/>
  <c r="U99" i="39" s="1"/>
  <c r="V99" i="39" s="1"/>
  <c r="W99" i="39" s="1"/>
  <c r="X99" i="39" s="1"/>
  <c r="Y99" i="39" s="1"/>
  <c r="Z99" i="39" s="1"/>
  <c r="AA99" i="39" s="1"/>
  <c r="AB99" i="39" s="1"/>
  <c r="AC99" i="39" s="1"/>
  <c r="AD99" i="39" s="1"/>
  <c r="AE99" i="39" s="1"/>
  <c r="AF99" i="39" s="1"/>
  <c r="AG99" i="39" s="1"/>
  <c r="AH99" i="39" s="1"/>
  <c r="AI99" i="39" s="1"/>
  <c r="AJ99" i="39" s="1"/>
  <c r="AK99" i="39" s="1"/>
  <c r="AL99" i="39" s="1"/>
  <c r="AM99" i="39" s="1"/>
  <c r="AN99" i="39" s="1"/>
  <c r="AO99" i="39" s="1"/>
  <c r="AP99" i="39" s="1"/>
  <c r="AQ99" i="39" s="1"/>
  <c r="AJ101" i="39"/>
  <c r="AK101" i="39" s="1"/>
  <c r="AL101" i="39" s="1"/>
  <c r="AM101" i="39" s="1"/>
  <c r="AN101" i="39" s="1"/>
  <c r="AO101" i="39" s="1"/>
  <c r="AP101" i="39" s="1"/>
  <c r="AQ101" i="39" s="1"/>
  <c r="AR101" i="39" s="1"/>
  <c r="AS101" i="39" s="1"/>
  <c r="AT101" i="39" s="1"/>
  <c r="AU101" i="39" s="1"/>
  <c r="AV101" i="39" s="1"/>
  <c r="AW101" i="39" s="1"/>
  <c r="AX101" i="39" s="1"/>
  <c r="AY101" i="39" s="1"/>
  <c r="AZ101" i="39" s="1"/>
  <c r="BA101" i="39" s="1"/>
  <c r="BB101" i="39" s="1"/>
  <c r="BC101" i="39" s="1"/>
  <c r="BD101" i="39" s="1"/>
  <c r="BE101" i="39" s="1"/>
  <c r="BF101" i="39" s="1"/>
  <c r="BG101" i="39" s="1"/>
  <c r="BH101" i="39" s="1"/>
  <c r="AC109" i="39"/>
  <c r="AD109" i="39" s="1"/>
  <c r="AE109" i="39" s="1"/>
  <c r="AF109" i="39" s="1"/>
  <c r="AG109" i="39" s="1"/>
  <c r="AH109" i="39" s="1"/>
  <c r="AI109" i="39" s="1"/>
  <c r="AJ109" i="39" s="1"/>
  <c r="AK109" i="39" s="1"/>
  <c r="AL109" i="39" s="1"/>
  <c r="AM109" i="39" s="1"/>
  <c r="AN109" i="39" s="1"/>
  <c r="AO109" i="39" s="1"/>
  <c r="O111" i="39"/>
  <c r="P111" i="39" s="1"/>
  <c r="Q111" i="39" s="1"/>
  <c r="R111" i="39" s="1"/>
  <c r="S111" i="39" s="1"/>
  <c r="T111" i="39" s="1"/>
  <c r="U111" i="39" s="1"/>
  <c r="V111" i="39" s="1"/>
  <c r="W111" i="39" s="1"/>
  <c r="X111" i="39" s="1"/>
  <c r="Y111" i="39" s="1"/>
  <c r="Z111" i="39" s="1"/>
  <c r="AA111" i="39" s="1"/>
  <c r="AB111" i="39" s="1"/>
  <c r="AC111" i="39" s="1"/>
  <c r="AD111" i="39" s="1"/>
  <c r="AE111" i="39" s="1"/>
  <c r="AF111" i="39" s="1"/>
  <c r="AG111" i="39" s="1"/>
  <c r="AH111" i="39" s="1"/>
  <c r="AI111" i="39" s="1"/>
  <c r="AJ111" i="39" s="1"/>
  <c r="AK111" i="39" s="1"/>
  <c r="AL111" i="39" s="1"/>
  <c r="AM111" i="39" s="1"/>
  <c r="AN111" i="39" s="1"/>
  <c r="AO111" i="39" s="1"/>
  <c r="AP111" i="39" s="1"/>
  <c r="AQ111" i="39" s="1"/>
  <c r="AR111" i="39" s="1"/>
  <c r="AS111" i="39" s="1"/>
  <c r="AT111" i="39" s="1"/>
  <c r="K53" i="39"/>
  <c r="H850" i="36" s="1"/>
  <c r="K59" i="39"/>
  <c r="H851" i="36" s="1"/>
  <c r="K82" i="39"/>
  <c r="H836" i="36" s="1"/>
  <c r="K85" i="39"/>
  <c r="H780" i="36" s="1"/>
  <c r="AE97" i="39"/>
  <c r="AF97" i="39" s="1"/>
  <c r="AG97" i="39" s="1"/>
  <c r="AH97" i="39" s="1"/>
  <c r="AI97" i="39" s="1"/>
  <c r="AJ97" i="39" s="1"/>
  <c r="K58" i="39"/>
  <c r="H832" i="36" s="1"/>
  <c r="AI71" i="39"/>
  <c r="AJ71" i="39" s="1"/>
  <c r="AK71" i="39" s="1"/>
  <c r="AL71" i="39" s="1"/>
  <c r="AM71" i="39" s="1"/>
  <c r="AN71" i="39" s="1"/>
  <c r="AO71" i="39" s="1"/>
  <c r="AP71" i="39" s="1"/>
  <c r="AQ71" i="39" s="1"/>
  <c r="AR71" i="39" s="1"/>
  <c r="AS71" i="39" s="1"/>
  <c r="AT71" i="39" s="1"/>
  <c r="AU71" i="39" s="1"/>
  <c r="AV71" i="39" s="1"/>
  <c r="AW71" i="39" s="1"/>
  <c r="K75" i="39"/>
  <c r="H816" i="36" s="1"/>
  <c r="AI95" i="39"/>
  <c r="AJ95" i="39" s="1"/>
  <c r="AK95" i="39" s="1"/>
  <c r="AL95" i="39" s="1"/>
  <c r="AM95" i="39" s="1"/>
  <c r="AN95" i="39" s="1"/>
  <c r="AO95" i="39" s="1"/>
  <c r="AP95" i="39" s="1"/>
  <c r="AQ95" i="39" s="1"/>
  <c r="AR95" i="39" s="1"/>
  <c r="AS95" i="39" s="1"/>
  <c r="AT95" i="39" s="1"/>
  <c r="AU95" i="39" s="1"/>
  <c r="AV95" i="39" s="1"/>
  <c r="AW95" i="39" s="1"/>
  <c r="AX95" i="39" s="1"/>
  <c r="AY95" i="39" s="1"/>
  <c r="AZ95" i="39" s="1"/>
  <c r="BA95" i="39" s="1"/>
  <c r="BB95" i="39" s="1"/>
  <c r="BC95" i="39" s="1"/>
  <c r="BD95" i="39" s="1"/>
  <c r="BE95" i="39" s="1"/>
  <c r="BF95" i="39" s="1"/>
  <c r="AJ107" i="39"/>
  <c r="AK107" i="39" s="1"/>
  <c r="AL107" i="39" s="1"/>
  <c r="AM107" i="39" s="1"/>
  <c r="AN107" i="39" s="1"/>
  <c r="AO107" i="39" s="1"/>
  <c r="AP107" i="39" s="1"/>
  <c r="AQ107" i="39" s="1"/>
  <c r="AR107" i="39" s="1"/>
  <c r="AS107" i="39" s="1"/>
  <c r="AT107" i="39" s="1"/>
  <c r="AU107" i="39" s="1"/>
  <c r="AV107" i="39" s="1"/>
  <c r="AW107" i="39" s="1"/>
  <c r="AX107" i="39" s="1"/>
  <c r="AY107" i="39" s="1"/>
  <c r="AZ107" i="39" s="1"/>
  <c r="BA107" i="39" s="1"/>
  <c r="BB107" i="39" s="1"/>
  <c r="BC107" i="39" s="1"/>
  <c r="BD107" i="39" s="1"/>
  <c r="BE107" i="39" s="1"/>
  <c r="BF107" i="39" s="1"/>
  <c r="BG107" i="39" s="1"/>
  <c r="BH107" i="39" s="1"/>
  <c r="BI107" i="39" s="1"/>
  <c r="BJ107" i="39" s="1"/>
  <c r="K104" i="39"/>
  <c r="H802" i="36" s="1"/>
  <c r="K49" i="39"/>
  <c r="H774" i="36" s="1"/>
  <c r="K55" i="39"/>
  <c r="H775" i="36" s="1"/>
  <c r="AC86" i="39"/>
  <c r="AD86" i="39" s="1"/>
  <c r="AE86" i="39" s="1"/>
  <c r="AF86" i="39" s="1"/>
  <c r="AG86" i="39" s="1"/>
  <c r="AH86" i="39" s="1"/>
  <c r="AJ113" i="39"/>
  <c r="AK113" i="39" s="1"/>
  <c r="AL113" i="39" s="1"/>
  <c r="AM113" i="39" s="1"/>
  <c r="AN113" i="39" s="1"/>
  <c r="AO113" i="39" s="1"/>
  <c r="AP113" i="39" s="1"/>
  <c r="AQ113" i="39" s="1"/>
  <c r="AR113" i="39" s="1"/>
  <c r="AS113" i="39" s="1"/>
  <c r="AT113" i="39" s="1"/>
  <c r="AU113" i="39" s="1"/>
  <c r="AV113" i="39" s="1"/>
  <c r="AW113" i="39" s="1"/>
  <c r="AX113" i="39" s="1"/>
  <c r="AY113" i="39" s="1"/>
  <c r="AZ113" i="39" s="1"/>
  <c r="BA113" i="39" s="1"/>
  <c r="BB113" i="39" s="1"/>
  <c r="BC113" i="39" s="1"/>
  <c r="BD113" i="39" s="1"/>
  <c r="BE113" i="39" s="1"/>
  <c r="BF113" i="39" s="1"/>
  <c r="BG113" i="39" s="1"/>
  <c r="BH113" i="39" s="1"/>
  <c r="BI113" i="39" s="1"/>
  <c r="BJ113" i="39" s="1"/>
  <c r="BK113" i="39" s="1"/>
  <c r="BL113" i="39" s="1"/>
  <c r="K77" i="39"/>
  <c r="H854" i="36" s="1"/>
  <c r="AI88" i="39"/>
  <c r="AJ88" i="39" s="1"/>
  <c r="AK88" i="39" s="1"/>
  <c r="AL88" i="39" s="1"/>
  <c r="AM88" i="39" s="1"/>
  <c r="AN88" i="39" s="1"/>
  <c r="AI83" i="39"/>
  <c r="AJ83" i="39" s="1"/>
  <c r="AK83" i="39" s="1"/>
  <c r="AL83" i="39" s="1"/>
  <c r="AM83" i="39" s="1"/>
  <c r="AN83" i="39" s="1"/>
  <c r="AO83" i="39" s="1"/>
  <c r="AP83" i="39" s="1"/>
  <c r="AQ83" i="39" s="1"/>
  <c r="AR83" i="39" s="1"/>
  <c r="AS83" i="39" s="1"/>
  <c r="AT83" i="39" s="1"/>
  <c r="AU83" i="39" s="1"/>
  <c r="AV83" i="39" s="1"/>
  <c r="AW83" i="39" s="1"/>
  <c r="AX83" i="39" s="1"/>
  <c r="AY83" i="39" s="1"/>
  <c r="AZ83" i="39" s="1"/>
  <c r="BA83" i="39" s="1"/>
  <c r="AD98" i="39"/>
  <c r="AE98" i="39" s="1"/>
  <c r="AF98" i="39" s="1"/>
  <c r="AG98" i="39" s="1"/>
  <c r="AH98" i="39" s="1"/>
  <c r="AI98" i="39" s="1"/>
  <c r="AJ98" i="39" s="1"/>
  <c r="AK98" i="39" s="1"/>
  <c r="AL98" i="39" s="1"/>
  <c r="AJ118" i="39"/>
  <c r="AK118" i="39" s="1"/>
  <c r="AL118" i="39" s="1"/>
  <c r="AM118" i="39" s="1"/>
  <c r="AN118" i="39" s="1"/>
  <c r="AO118" i="39" s="1"/>
  <c r="AP118" i="39" s="1"/>
  <c r="AQ118" i="39" s="1"/>
  <c r="AR118" i="39" s="1"/>
  <c r="AS118" i="39" s="1"/>
  <c r="AT118" i="39" s="1"/>
  <c r="AU118" i="39" s="1"/>
  <c r="AV118" i="39" s="1"/>
  <c r="AW118" i="39" s="1"/>
  <c r="AX118" i="39" s="1"/>
  <c r="K89" i="39"/>
  <c r="H856" i="36" s="1"/>
  <c r="P117" i="39"/>
  <c r="Q117" i="39" s="1"/>
  <c r="R117" i="39" s="1"/>
  <c r="S117" i="39" s="1"/>
  <c r="T117" i="39" s="1"/>
  <c r="U117" i="39" s="1"/>
  <c r="V117" i="39" s="1"/>
  <c r="W117" i="39" s="1"/>
  <c r="X117" i="39" s="1"/>
  <c r="Y117" i="39" s="1"/>
  <c r="Z117" i="39" s="1"/>
  <c r="AA117" i="39" s="1"/>
  <c r="AB117" i="39" s="1"/>
  <c r="AC117" i="39" s="1"/>
  <c r="AD117" i="39" s="1"/>
  <c r="AE117" i="39" s="1"/>
  <c r="AF117" i="39" s="1"/>
  <c r="AG117" i="39" s="1"/>
  <c r="AH117" i="39" s="1"/>
  <c r="AI117" i="39" s="1"/>
  <c r="AJ117" i="39" s="1"/>
  <c r="AK117" i="39" s="1"/>
  <c r="AL117" i="39" s="1"/>
  <c r="AM117" i="39" s="1"/>
  <c r="AN117" i="39" s="1"/>
  <c r="AO117" i="39" s="1"/>
  <c r="AP117" i="39" s="1"/>
  <c r="AQ117" i="39" s="1"/>
  <c r="AR117" i="39" s="1"/>
  <c r="AS117" i="39" s="1"/>
  <c r="AT117" i="39" s="1"/>
  <c r="AU117" i="39" s="1"/>
  <c r="AV117" i="39" s="1"/>
  <c r="K69" i="39"/>
  <c r="H815" i="36" s="1"/>
  <c r="K80" i="39"/>
  <c r="H798" i="36" s="1"/>
  <c r="K79" i="40" l="1"/>
  <c r="H969" i="36" s="1"/>
  <c r="K112" i="41"/>
  <c r="H1126" i="36" s="1"/>
  <c r="K110" i="40"/>
  <c r="H993" i="36" s="1"/>
  <c r="K92" i="41"/>
  <c r="H1085" i="36" s="1"/>
  <c r="AZ117" i="40"/>
  <c r="K117" i="40" s="1"/>
  <c r="H1013" i="36" s="1"/>
  <c r="K86" i="40"/>
  <c r="H989" i="36" s="1"/>
  <c r="K99" i="40"/>
  <c r="H1010" i="36" s="1"/>
  <c r="K37" i="40"/>
  <c r="H962" i="36" s="1"/>
  <c r="K94" i="39"/>
  <c r="H838" i="36" s="1"/>
  <c r="K110" i="39"/>
  <c r="H803" i="36" s="1"/>
  <c r="K43" i="39"/>
  <c r="H773" i="36" s="1"/>
  <c r="K16" i="41"/>
  <c r="H1110" i="36" s="1"/>
  <c r="K61" i="41"/>
  <c r="H1061" i="36" s="1"/>
  <c r="K58" i="41"/>
  <c r="H1117" i="36" s="1"/>
  <c r="K14" i="41"/>
  <c r="H1072" i="36" s="1"/>
  <c r="K41" i="41"/>
  <c r="H1133" i="36" s="1"/>
  <c r="K28" i="41"/>
  <c r="H1112" i="36" s="1"/>
  <c r="K119" i="39"/>
  <c r="H861" i="36" s="1"/>
  <c r="K106" i="39"/>
  <c r="H840" i="36" s="1"/>
  <c r="K105" i="41"/>
  <c r="H1106" i="36" s="1"/>
  <c r="K97" i="41"/>
  <c r="H1067" i="36" s="1"/>
  <c r="K87" i="41"/>
  <c r="H1103" i="36" s="1"/>
  <c r="K45" i="41"/>
  <c r="H1096" i="36" s="1"/>
  <c r="K94" i="41"/>
  <c r="H1123" i="36" s="1"/>
  <c r="K44" i="41"/>
  <c r="H1077" i="36" s="1"/>
  <c r="K107" i="41"/>
  <c r="H1144" i="36" s="1"/>
  <c r="K86" i="41"/>
  <c r="H1084" i="36" s="1"/>
  <c r="K15" i="41"/>
  <c r="H1091" i="36" s="1"/>
  <c r="K65" i="41"/>
  <c r="H1137" i="36" s="1"/>
  <c r="K91" i="41"/>
  <c r="H1066" i="36" s="1"/>
  <c r="K110" i="41"/>
  <c r="H1088" i="36" s="1"/>
  <c r="K25" i="41"/>
  <c r="H1055" i="36" s="1"/>
  <c r="K52" i="41"/>
  <c r="H1116" i="36" s="1"/>
  <c r="K79" i="41"/>
  <c r="H1064" i="36" s="1"/>
  <c r="K40" i="40"/>
  <c r="H1019" i="36" s="1"/>
  <c r="K94" i="40"/>
  <c r="H1028" i="36" s="1"/>
  <c r="K38" i="40"/>
  <c r="H981" i="36" s="1"/>
  <c r="K103" i="40"/>
  <c r="H973" i="36" s="1"/>
  <c r="K39" i="40"/>
  <c r="H1000" i="36" s="1"/>
  <c r="K45" i="40"/>
  <c r="H1001" i="36" s="1"/>
  <c r="K65" i="40"/>
  <c r="H1042" i="36" s="1"/>
  <c r="K91" i="40"/>
  <c r="H971" i="36" s="1"/>
  <c r="K34" i="40"/>
  <c r="H1018" i="36" s="1"/>
  <c r="K58" i="40"/>
  <c r="H1022" i="36" s="1"/>
  <c r="K55" i="40"/>
  <c r="H965" i="36" s="1"/>
  <c r="K115" i="40"/>
  <c r="H975" i="36" s="1"/>
  <c r="K27" i="40"/>
  <c r="H998" i="36" s="1"/>
  <c r="K11" i="40"/>
  <c r="H1033" i="36" s="1"/>
  <c r="K93" i="40"/>
  <c r="H1009" i="36" s="1"/>
  <c r="K50" i="40"/>
  <c r="H983" i="36" s="1"/>
  <c r="K64" i="40"/>
  <c r="H1023" i="36" s="1"/>
  <c r="K57" i="40"/>
  <c r="H1003" i="36" s="1"/>
  <c r="K62" i="39"/>
  <c r="H795" i="36" s="1"/>
  <c r="K88" i="39"/>
  <c r="H837" i="36" s="1"/>
  <c r="K86" i="39"/>
  <c r="H799" i="36" s="1"/>
  <c r="K64" i="39"/>
  <c r="H833" i="36" s="1"/>
  <c r="K29" i="39"/>
  <c r="H846" i="36" s="1"/>
  <c r="K95" i="39"/>
  <c r="H857" i="36" s="1"/>
  <c r="K97" i="39"/>
  <c r="H782" i="36" s="1"/>
  <c r="K100" i="39"/>
  <c r="H839" i="36" s="1"/>
  <c r="K92" i="39"/>
  <c r="H800" i="36" s="1"/>
  <c r="K117" i="41"/>
  <c r="H1108" i="36" s="1"/>
  <c r="K116" i="41"/>
  <c r="H1089" i="36" s="1"/>
  <c r="K47" i="41"/>
  <c r="H1134" i="36" s="1"/>
  <c r="K50" i="41"/>
  <c r="H1078" i="36" s="1"/>
  <c r="K64" i="41"/>
  <c r="H1118" i="36" s="1"/>
  <c r="K43" i="41"/>
  <c r="H1058" i="36" s="1"/>
  <c r="K53" i="41"/>
  <c r="H1135" i="36" s="1"/>
  <c r="K63" i="41"/>
  <c r="H1099" i="36" s="1"/>
  <c r="K119" i="41"/>
  <c r="H1146" i="36" s="1"/>
  <c r="K49" i="41"/>
  <c r="H1059" i="36" s="1"/>
  <c r="K11" i="41"/>
  <c r="H1128" i="36" s="1"/>
  <c r="K39" i="41"/>
  <c r="H1095" i="36" s="1"/>
  <c r="K62" i="41"/>
  <c r="H1080" i="36" s="1"/>
  <c r="K93" i="41"/>
  <c r="H1104" i="36" s="1"/>
  <c r="K59" i="41"/>
  <c r="H1136" i="36" s="1"/>
  <c r="K99" i="41"/>
  <c r="H1105" i="36" s="1"/>
  <c r="K115" i="41"/>
  <c r="H1070" i="36" s="1"/>
  <c r="K85" i="41"/>
  <c r="H1065" i="36" s="1"/>
  <c r="K34" i="41"/>
  <c r="H1113" i="36" s="1"/>
  <c r="K56" i="41"/>
  <c r="H1079" i="36" s="1"/>
  <c r="K100" i="41"/>
  <c r="H1124" i="36" s="1"/>
  <c r="K33" i="41"/>
  <c r="H1094" i="36" s="1"/>
  <c r="K95" i="41"/>
  <c r="H1142" i="36" s="1"/>
  <c r="K119" i="40"/>
  <c r="H1051" i="36" s="1"/>
  <c r="K71" i="40"/>
  <c r="H1043" i="36" s="1"/>
  <c r="K92" i="40"/>
  <c r="H990" i="36" s="1"/>
  <c r="K106" i="40"/>
  <c r="H1030" i="36" s="1"/>
  <c r="K26" i="40"/>
  <c r="H979" i="36" s="1"/>
  <c r="K52" i="40"/>
  <c r="H1021" i="36" s="1"/>
  <c r="K87" i="40"/>
  <c r="H1008" i="36" s="1"/>
  <c r="K29" i="40"/>
  <c r="H1036" i="36" s="1"/>
  <c r="K62" i="40"/>
  <c r="H985" i="36" s="1"/>
  <c r="K25" i="40"/>
  <c r="H960" i="36" s="1"/>
  <c r="K43" i="40"/>
  <c r="H963" i="36" s="1"/>
  <c r="K83" i="40"/>
  <c r="H1045" i="36" s="1"/>
  <c r="K59" i="40"/>
  <c r="H1041" i="36" s="1"/>
  <c r="K100" i="40"/>
  <c r="H1029" i="36" s="1"/>
  <c r="K77" i="40"/>
  <c r="H1044" i="36" s="1"/>
  <c r="K15" i="40"/>
  <c r="H996" i="36" s="1"/>
  <c r="K101" i="39"/>
  <c r="H858" i="36" s="1"/>
  <c r="K115" i="39"/>
  <c r="H785" i="36" s="1"/>
  <c r="K52" i="39"/>
  <c r="H831" i="36" s="1"/>
  <c r="K93" i="39"/>
  <c r="H819" i="36" s="1"/>
  <c r="K99" i="39"/>
  <c r="H820" i="36" s="1"/>
  <c r="K112" i="39"/>
  <c r="H841" i="36" s="1"/>
  <c r="K63" i="39"/>
  <c r="H814" i="36" s="1"/>
  <c r="K81" i="39"/>
  <c r="H817" i="36" s="1"/>
  <c r="K50" i="39"/>
  <c r="H793" i="36" s="1"/>
  <c r="K33" i="39"/>
  <c r="H809" i="36" s="1"/>
  <c r="K39" i="39"/>
  <c r="H810" i="36" s="1"/>
  <c r="K71" i="39"/>
  <c r="H853" i="36" s="1"/>
  <c r="K113" i="39"/>
  <c r="H860" i="36" s="1"/>
  <c r="K118" i="39"/>
  <c r="H842" i="36" s="1"/>
  <c r="K98" i="39"/>
  <c r="H801" i="36" s="1"/>
  <c r="K83" i="39"/>
  <c r="H855" i="36" s="1"/>
  <c r="K107" i="39"/>
  <c r="H859" i="36" s="1"/>
  <c r="K17" i="39"/>
  <c r="H844" i="36" s="1"/>
  <c r="K45" i="39"/>
  <c r="H811" i="36" s="1"/>
  <c r="K34" i="39"/>
  <c r="H828" i="36" s="1"/>
  <c r="K117" i="39"/>
  <c r="H823" i="36" s="1"/>
  <c r="K111" i="39"/>
  <c r="H822" i="36" s="1"/>
  <c r="K109" i="39"/>
  <c r="H784" i="36" s="1"/>
  <c r="K15" i="39"/>
  <c r="H806" i="36" s="1"/>
  <c r="AF119" i="38" l="1"/>
  <c r="AG119" i="38" s="1"/>
  <c r="AF118" i="38"/>
  <c r="AG118" i="38" s="1"/>
  <c r="AH118" i="38" s="1"/>
  <c r="AI118" i="38" s="1"/>
  <c r="AJ118" i="38" s="1"/>
  <c r="AK118" i="38" s="1"/>
  <c r="AL118" i="38" s="1"/>
  <c r="AM118" i="38" s="1"/>
  <c r="AN118" i="38" s="1"/>
  <c r="AO118" i="38" s="1"/>
  <c r="AP118" i="38" s="1"/>
  <c r="AQ118" i="38" s="1"/>
  <c r="AR118" i="38" s="1"/>
  <c r="AS118" i="38" s="1"/>
  <c r="AT118" i="38" s="1"/>
  <c r="N117" i="38"/>
  <c r="O117" i="38" s="1"/>
  <c r="P117" i="38" s="1"/>
  <c r="Q117" i="38" s="1"/>
  <c r="R117" i="38" s="1"/>
  <c r="S117" i="38" s="1"/>
  <c r="T117" i="38" s="1"/>
  <c r="U117" i="38" s="1"/>
  <c r="V117" i="38" s="1"/>
  <c r="W117" i="38" s="1"/>
  <c r="X117" i="38" s="1"/>
  <c r="Y117" i="38" s="1"/>
  <c r="Z117" i="38" s="1"/>
  <c r="AA117" i="38" s="1"/>
  <c r="AB117" i="38" s="1"/>
  <c r="AC117" i="38" s="1"/>
  <c r="AD117" i="38" s="1"/>
  <c r="AE117" i="38" s="1"/>
  <c r="AF117" i="38" s="1"/>
  <c r="AG117" i="38" s="1"/>
  <c r="AH117" i="38" s="1"/>
  <c r="AI117" i="38" s="1"/>
  <c r="AJ117" i="38" s="1"/>
  <c r="AK117" i="38" s="1"/>
  <c r="AL117" i="38" s="1"/>
  <c r="AM117" i="38" s="1"/>
  <c r="AN117" i="38" s="1"/>
  <c r="AO117" i="38" s="1"/>
  <c r="AP117" i="38" s="1"/>
  <c r="AQ117" i="38" s="1"/>
  <c r="AR117" i="38" s="1"/>
  <c r="AS117" i="38" s="1"/>
  <c r="Z116" i="38"/>
  <c r="AA116" i="38" s="1"/>
  <c r="Z115" i="38"/>
  <c r="AA115" i="38" s="1"/>
  <c r="AB115" i="38" s="1"/>
  <c r="AC115" i="38" s="1"/>
  <c r="AD115" i="38" s="1"/>
  <c r="AE115" i="38" s="1"/>
  <c r="AF115" i="38" s="1"/>
  <c r="AG115" i="38" s="1"/>
  <c r="AH115" i="38" s="1"/>
  <c r="AI115" i="38" s="1"/>
  <c r="AJ115" i="38" s="1"/>
  <c r="AK115" i="38" s="1"/>
  <c r="AL115" i="38" s="1"/>
  <c r="AM115" i="38" s="1"/>
  <c r="AN115" i="38" s="1"/>
  <c r="AF113" i="38"/>
  <c r="AG113" i="38" s="1"/>
  <c r="AH113" i="38" s="1"/>
  <c r="AI113" i="38" s="1"/>
  <c r="AJ113" i="38" s="1"/>
  <c r="AK113" i="38" s="1"/>
  <c r="AL113" i="38" s="1"/>
  <c r="AM113" i="38" s="1"/>
  <c r="AN113" i="38" s="1"/>
  <c r="AO113" i="38" s="1"/>
  <c r="AP113" i="38" s="1"/>
  <c r="AQ113" i="38" s="1"/>
  <c r="AR113" i="38" s="1"/>
  <c r="AS113" i="38" s="1"/>
  <c r="AT113" i="38" s="1"/>
  <c r="AU113" i="38" s="1"/>
  <c r="AV113" i="38" s="1"/>
  <c r="AW113" i="38" s="1"/>
  <c r="AX113" i="38" s="1"/>
  <c r="AY113" i="38" s="1"/>
  <c r="AZ113" i="38" s="1"/>
  <c r="BA113" i="38" s="1"/>
  <c r="BB113" i="38" s="1"/>
  <c r="BC113" i="38" s="1"/>
  <c r="BD113" i="38" s="1"/>
  <c r="BE113" i="38" s="1"/>
  <c r="BF113" i="38" s="1"/>
  <c r="BG113" i="38" s="1"/>
  <c r="AF112" i="38"/>
  <c r="AG112" i="38" s="1"/>
  <c r="AH112" i="38" s="1"/>
  <c r="AI112" i="38" s="1"/>
  <c r="AJ112" i="38" s="1"/>
  <c r="AK112" i="38" s="1"/>
  <c r="AL112" i="38" s="1"/>
  <c r="AM112" i="38" s="1"/>
  <c r="AN112" i="38" s="1"/>
  <c r="AO112" i="38" s="1"/>
  <c r="AP112" i="38" s="1"/>
  <c r="AQ112" i="38" s="1"/>
  <c r="AR112" i="38" s="1"/>
  <c r="N111" i="38"/>
  <c r="O111" i="38" s="1"/>
  <c r="P111" i="38" s="1"/>
  <c r="Q111" i="38" s="1"/>
  <c r="R111" i="38" s="1"/>
  <c r="S111" i="38" s="1"/>
  <c r="T111" i="38" s="1"/>
  <c r="U111" i="38" s="1"/>
  <c r="V111" i="38" s="1"/>
  <c r="W111" i="38" s="1"/>
  <c r="X111" i="38" s="1"/>
  <c r="Y111" i="38" s="1"/>
  <c r="Z111" i="38" s="1"/>
  <c r="AA111" i="38" s="1"/>
  <c r="AB111" i="38" s="1"/>
  <c r="AC111" i="38" s="1"/>
  <c r="AD111" i="38" s="1"/>
  <c r="AE111" i="38" s="1"/>
  <c r="AF111" i="38" s="1"/>
  <c r="AG111" i="38" s="1"/>
  <c r="AH111" i="38" s="1"/>
  <c r="AI111" i="38" s="1"/>
  <c r="AJ111" i="38" s="1"/>
  <c r="AK111" i="38" s="1"/>
  <c r="AL111" i="38" s="1"/>
  <c r="AM111" i="38" s="1"/>
  <c r="AN111" i="38" s="1"/>
  <c r="AO111" i="38" s="1"/>
  <c r="AP111" i="38" s="1"/>
  <c r="AQ111" i="38" s="1"/>
  <c r="Z110" i="38"/>
  <c r="AA110" i="38" s="1"/>
  <c r="AB110" i="38" s="1"/>
  <c r="AC110" i="38" s="1"/>
  <c r="AD110" i="38" s="1"/>
  <c r="AE110" i="38" s="1"/>
  <c r="AF110" i="38" s="1"/>
  <c r="AG110" i="38" s="1"/>
  <c r="AH110" i="38" s="1"/>
  <c r="AI110" i="38" s="1"/>
  <c r="AJ110" i="38" s="1"/>
  <c r="AK110" i="38" s="1"/>
  <c r="AL110" i="38" s="1"/>
  <c r="AM110" i="38" s="1"/>
  <c r="AN110" i="38" s="1"/>
  <c r="Z109" i="38"/>
  <c r="AA109" i="38" s="1"/>
  <c r="AB109" i="38" s="1"/>
  <c r="AC109" i="38" s="1"/>
  <c r="AD109" i="38" s="1"/>
  <c r="AE109" i="38" s="1"/>
  <c r="AF109" i="38" s="1"/>
  <c r="AG109" i="38" s="1"/>
  <c r="AH109" i="38" s="1"/>
  <c r="AI109" i="38" s="1"/>
  <c r="AJ109" i="38" s="1"/>
  <c r="AK109" i="38" s="1"/>
  <c r="AL109" i="38" s="1"/>
  <c r="AF107" i="38"/>
  <c r="AF106" i="38"/>
  <c r="AG106" i="38" s="1"/>
  <c r="AH106" i="38" s="1"/>
  <c r="AI106" i="38" s="1"/>
  <c r="AJ106" i="38" s="1"/>
  <c r="AK106" i="38" s="1"/>
  <c r="AL106" i="38" s="1"/>
  <c r="AM106" i="38" s="1"/>
  <c r="AN106" i="38" s="1"/>
  <c r="AO106" i="38" s="1"/>
  <c r="AP106" i="38" s="1"/>
  <c r="AQ106" i="38" s="1"/>
  <c r="N105" i="38"/>
  <c r="O105" i="38" s="1"/>
  <c r="P105" i="38" s="1"/>
  <c r="Q105" i="38" s="1"/>
  <c r="R105" i="38" s="1"/>
  <c r="S105" i="38" s="1"/>
  <c r="T105" i="38" s="1"/>
  <c r="U105" i="38" s="1"/>
  <c r="V105" i="38" s="1"/>
  <c r="W105" i="38" s="1"/>
  <c r="X105" i="38" s="1"/>
  <c r="Y105" i="38" s="1"/>
  <c r="Z105" i="38" s="1"/>
  <c r="AA105" i="38" s="1"/>
  <c r="AB105" i="38" s="1"/>
  <c r="AC105" i="38" s="1"/>
  <c r="AD105" i="38" s="1"/>
  <c r="AE105" i="38" s="1"/>
  <c r="AF105" i="38" s="1"/>
  <c r="AG105" i="38" s="1"/>
  <c r="AH105" i="38" s="1"/>
  <c r="AI105" i="38" s="1"/>
  <c r="AJ105" i="38" s="1"/>
  <c r="AK105" i="38" s="1"/>
  <c r="AL105" i="38" s="1"/>
  <c r="AM105" i="38" s="1"/>
  <c r="AN105" i="38" s="1"/>
  <c r="AO105" i="38" s="1"/>
  <c r="Z104" i="38"/>
  <c r="AA104" i="38" s="1"/>
  <c r="AB104" i="38" s="1"/>
  <c r="AC104" i="38" s="1"/>
  <c r="AD104" i="38" s="1"/>
  <c r="AE104" i="38" s="1"/>
  <c r="AF104" i="38" s="1"/>
  <c r="AG104" i="38" s="1"/>
  <c r="AH104" i="38" s="1"/>
  <c r="AI104" i="38" s="1"/>
  <c r="AJ104" i="38" s="1"/>
  <c r="Z103" i="38"/>
  <c r="AA103" i="38" s="1"/>
  <c r="AB103" i="38" s="1"/>
  <c r="AC103" i="38" s="1"/>
  <c r="AD103" i="38" s="1"/>
  <c r="AE103" i="38" s="1"/>
  <c r="AF103" i="38" s="1"/>
  <c r="AG103" i="38" s="1"/>
  <c r="AH103" i="38" s="1"/>
  <c r="AI103" i="38" s="1"/>
  <c r="AJ103" i="38" s="1"/>
  <c r="AF101" i="38"/>
  <c r="AG101" i="38" s="1"/>
  <c r="AH101" i="38" s="1"/>
  <c r="AI101" i="38" s="1"/>
  <c r="AJ101" i="38" s="1"/>
  <c r="AK101" i="38" s="1"/>
  <c r="AL101" i="38" s="1"/>
  <c r="AM101" i="38" s="1"/>
  <c r="AN101" i="38" s="1"/>
  <c r="AO101" i="38" s="1"/>
  <c r="AP101" i="38" s="1"/>
  <c r="AQ101" i="38" s="1"/>
  <c r="AR101" i="38" s="1"/>
  <c r="AS101" i="38" s="1"/>
  <c r="AT101" i="38" s="1"/>
  <c r="AU101" i="38" s="1"/>
  <c r="AV101" i="38" s="1"/>
  <c r="AW101" i="38" s="1"/>
  <c r="AX101" i="38" s="1"/>
  <c r="AY101" i="38" s="1"/>
  <c r="AZ101" i="38" s="1"/>
  <c r="BA101" i="38" s="1"/>
  <c r="BB101" i="38" s="1"/>
  <c r="BC101" i="38" s="1"/>
  <c r="AF100" i="38"/>
  <c r="AG100" i="38" s="1"/>
  <c r="AH100" i="38" s="1"/>
  <c r="AI100" i="38" s="1"/>
  <c r="AJ100" i="38" s="1"/>
  <c r="AK100" i="38" s="1"/>
  <c r="AL100" i="38" s="1"/>
  <c r="AM100" i="38" s="1"/>
  <c r="AN100" i="38" s="1"/>
  <c r="AO100" i="38" s="1"/>
  <c r="N99" i="38"/>
  <c r="O99" i="38" s="1"/>
  <c r="P99" i="38" s="1"/>
  <c r="Q99" i="38" s="1"/>
  <c r="R99" i="38" s="1"/>
  <c r="S99" i="38" s="1"/>
  <c r="T99" i="38" s="1"/>
  <c r="U99" i="38" s="1"/>
  <c r="V99" i="38" s="1"/>
  <c r="W99" i="38" s="1"/>
  <c r="X99" i="38" s="1"/>
  <c r="Y99" i="38" s="1"/>
  <c r="Z99" i="38" s="1"/>
  <c r="AA99" i="38" s="1"/>
  <c r="AB99" i="38" s="1"/>
  <c r="AC99" i="38" s="1"/>
  <c r="AD99" i="38" s="1"/>
  <c r="AE99" i="38" s="1"/>
  <c r="AF99" i="38" s="1"/>
  <c r="AG99" i="38" s="1"/>
  <c r="AH99" i="38" s="1"/>
  <c r="AI99" i="38" s="1"/>
  <c r="AJ99" i="38" s="1"/>
  <c r="AK99" i="38" s="1"/>
  <c r="AL99" i="38" s="1"/>
  <c r="AM99" i="38" s="1"/>
  <c r="Z98" i="38"/>
  <c r="AA98" i="38" s="1"/>
  <c r="AB98" i="38" s="1"/>
  <c r="AC98" i="38" s="1"/>
  <c r="AD98" i="38" s="1"/>
  <c r="AE98" i="38" s="1"/>
  <c r="AF98" i="38" s="1"/>
  <c r="AG98" i="38" s="1"/>
  <c r="AH98" i="38" s="1"/>
  <c r="AI98" i="38" s="1"/>
  <c r="AJ98" i="38" s="1"/>
  <c r="Z97" i="38"/>
  <c r="AA97" i="38" s="1"/>
  <c r="AB97" i="38" s="1"/>
  <c r="AC97" i="38" s="1"/>
  <c r="AD97" i="38" s="1"/>
  <c r="AE97" i="38" s="1"/>
  <c r="AF97" i="38" s="1"/>
  <c r="AG97" i="38" s="1"/>
  <c r="AH97" i="38" s="1"/>
  <c r="AF95" i="38"/>
  <c r="AG95" i="38" s="1"/>
  <c r="AH95" i="38" s="1"/>
  <c r="AI95" i="38" s="1"/>
  <c r="AJ95" i="38" s="1"/>
  <c r="AK95" i="38" s="1"/>
  <c r="AL95" i="38" s="1"/>
  <c r="AM95" i="38" s="1"/>
  <c r="AN95" i="38" s="1"/>
  <c r="AO95" i="38" s="1"/>
  <c r="AP95" i="38" s="1"/>
  <c r="AQ95" i="38" s="1"/>
  <c r="AR95" i="38" s="1"/>
  <c r="AS95" i="38" s="1"/>
  <c r="AT95" i="38" s="1"/>
  <c r="AU95" i="38" s="1"/>
  <c r="AV95" i="38" s="1"/>
  <c r="AW95" i="38" s="1"/>
  <c r="AX95" i="38" s="1"/>
  <c r="AY95" i="38" s="1"/>
  <c r="AZ95" i="38" s="1"/>
  <c r="BA95" i="38" s="1"/>
  <c r="AF94" i="38"/>
  <c r="AG94" i="38" s="1"/>
  <c r="AH94" i="38" s="1"/>
  <c r="AI94" i="38" s="1"/>
  <c r="AJ94" i="38" s="1"/>
  <c r="AK94" i="38" s="1"/>
  <c r="AL94" i="38" s="1"/>
  <c r="AM94" i="38" s="1"/>
  <c r="AN94" i="38" s="1"/>
  <c r="N93" i="38"/>
  <c r="O93" i="38" s="1"/>
  <c r="P93" i="38" s="1"/>
  <c r="Q93" i="38" s="1"/>
  <c r="R93" i="38" s="1"/>
  <c r="S93" i="38" s="1"/>
  <c r="T93" i="38" s="1"/>
  <c r="U93" i="38" s="1"/>
  <c r="V93" i="38" s="1"/>
  <c r="W93" i="38" s="1"/>
  <c r="X93" i="38" s="1"/>
  <c r="Y93" i="38" s="1"/>
  <c r="Z93" i="38" s="1"/>
  <c r="AA93" i="38" s="1"/>
  <c r="AB93" i="38" s="1"/>
  <c r="AC93" i="38" s="1"/>
  <c r="AD93" i="38" s="1"/>
  <c r="AE93" i="38" s="1"/>
  <c r="AF93" i="38" s="1"/>
  <c r="AG93" i="38" s="1"/>
  <c r="AH93" i="38" s="1"/>
  <c r="AI93" i="38" s="1"/>
  <c r="AJ93" i="38" s="1"/>
  <c r="AK93" i="38" s="1"/>
  <c r="Z92" i="38"/>
  <c r="AA92" i="38" s="1"/>
  <c r="AB92" i="38" s="1"/>
  <c r="AC92" i="38" s="1"/>
  <c r="AD92" i="38" s="1"/>
  <c r="AE92" i="38" s="1"/>
  <c r="AF92" i="38" s="1"/>
  <c r="AG92" i="38" s="1"/>
  <c r="AH92" i="38" s="1"/>
  <c r="Z91" i="38"/>
  <c r="AF89" i="38"/>
  <c r="AG89" i="38" s="1"/>
  <c r="AH89" i="38" s="1"/>
  <c r="AI89" i="38" s="1"/>
  <c r="AJ89" i="38" s="1"/>
  <c r="AK89" i="38" s="1"/>
  <c r="AL89" i="38" s="1"/>
  <c r="AM89" i="38" s="1"/>
  <c r="AN89" i="38" s="1"/>
  <c r="AO89" i="38" s="1"/>
  <c r="AP89" i="38" s="1"/>
  <c r="AQ89" i="38" s="1"/>
  <c r="AR89" i="38" s="1"/>
  <c r="AS89" i="38" s="1"/>
  <c r="AT89" i="38" s="1"/>
  <c r="AU89" i="38" s="1"/>
  <c r="AV89" i="38" s="1"/>
  <c r="AW89" i="38" s="1"/>
  <c r="AX89" i="38" s="1"/>
  <c r="AY89" i="38" s="1"/>
  <c r="AF88" i="38"/>
  <c r="AG88" i="38" s="1"/>
  <c r="AH88" i="38" s="1"/>
  <c r="AI88" i="38" s="1"/>
  <c r="AJ88" i="38" s="1"/>
  <c r="AK88" i="38" s="1"/>
  <c r="N87" i="38"/>
  <c r="O87" i="38" s="1"/>
  <c r="Z86" i="38"/>
  <c r="AA86" i="38" s="1"/>
  <c r="AB86" i="38" s="1"/>
  <c r="Z85" i="38"/>
  <c r="AA85" i="38" s="1"/>
  <c r="AB85" i="38" s="1"/>
  <c r="AC85" i="38" s="1"/>
  <c r="AD85" i="38" s="1"/>
  <c r="AF83" i="38"/>
  <c r="AG83" i="38" s="1"/>
  <c r="AH83" i="38" s="1"/>
  <c r="AI83" i="38" s="1"/>
  <c r="AF82" i="38"/>
  <c r="AG82" i="38" s="1"/>
  <c r="AH82" i="38" s="1"/>
  <c r="AI82" i="38" s="1"/>
  <c r="N81" i="38"/>
  <c r="O81" i="38" s="1"/>
  <c r="P81" i="38" s="1"/>
  <c r="Q81" i="38" s="1"/>
  <c r="R81" i="38" s="1"/>
  <c r="S81" i="38" s="1"/>
  <c r="T81" i="38" s="1"/>
  <c r="U81" i="38" s="1"/>
  <c r="V81" i="38" s="1"/>
  <c r="W81" i="38" s="1"/>
  <c r="X81" i="38" s="1"/>
  <c r="Y81" i="38" s="1"/>
  <c r="Z81" i="38" s="1"/>
  <c r="AA81" i="38" s="1"/>
  <c r="AB81" i="38" s="1"/>
  <c r="AC81" i="38" s="1"/>
  <c r="AD81" i="38" s="1"/>
  <c r="AE81" i="38" s="1"/>
  <c r="AF81" i="38" s="1"/>
  <c r="AG81" i="38" s="1"/>
  <c r="Z80" i="38"/>
  <c r="AA80" i="38" s="1"/>
  <c r="AB80" i="38" s="1"/>
  <c r="AC80" i="38" s="1"/>
  <c r="AD80" i="38" s="1"/>
  <c r="Z79" i="38"/>
  <c r="AF77" i="38"/>
  <c r="AG77" i="38" s="1"/>
  <c r="AH77" i="38" s="1"/>
  <c r="AI77" i="38" s="1"/>
  <c r="AJ77" i="38" s="1"/>
  <c r="AK77" i="38" s="1"/>
  <c r="AL77" i="38" s="1"/>
  <c r="AM77" i="38" s="1"/>
  <c r="AN77" i="38" s="1"/>
  <c r="AO77" i="38" s="1"/>
  <c r="AP77" i="38" s="1"/>
  <c r="AQ77" i="38" s="1"/>
  <c r="AR77" i="38" s="1"/>
  <c r="AS77" i="38" s="1"/>
  <c r="AT77" i="38" s="1"/>
  <c r="AU77" i="38" s="1"/>
  <c r="AF76" i="38"/>
  <c r="K76" i="38" s="1"/>
  <c r="H645" i="36" s="1"/>
  <c r="N75" i="38"/>
  <c r="Z74" i="38"/>
  <c r="AA74" i="38" s="1"/>
  <c r="Z73" i="38"/>
  <c r="K73" i="38" s="1"/>
  <c r="H588" i="36" s="1"/>
  <c r="AF71" i="38"/>
  <c r="AG71" i="38" s="1"/>
  <c r="AH71" i="38" s="1"/>
  <c r="AI71" i="38" s="1"/>
  <c r="AJ71" i="38" s="1"/>
  <c r="AK71" i="38" s="1"/>
  <c r="AL71" i="38" s="1"/>
  <c r="AM71" i="38" s="1"/>
  <c r="AN71" i="38" s="1"/>
  <c r="AO71" i="38" s="1"/>
  <c r="AP71" i="38" s="1"/>
  <c r="AQ71" i="38" s="1"/>
  <c r="AR71" i="38" s="1"/>
  <c r="AS71" i="38" s="1"/>
  <c r="K70" i="38"/>
  <c r="H644" i="36" s="1"/>
  <c r="N69" i="38"/>
  <c r="Z68" i="38"/>
  <c r="K68" i="38" s="1"/>
  <c r="H606" i="36" s="1"/>
  <c r="K67" i="38"/>
  <c r="H587" i="36" s="1"/>
  <c r="AF65" i="38"/>
  <c r="AF64" i="38"/>
  <c r="AG64" i="38" s="1"/>
  <c r="AH64" i="38" s="1"/>
  <c r="AI64" i="38" s="1"/>
  <c r="AJ64" i="38" s="1"/>
  <c r="AK64" i="38" s="1"/>
  <c r="AL64" i="38" s="1"/>
  <c r="AM64" i="38" s="1"/>
  <c r="AN64" i="38" s="1"/>
  <c r="AO64" i="38" s="1"/>
  <c r="AP64" i="38" s="1"/>
  <c r="AQ64" i="38" s="1"/>
  <c r="AR64" i="38" s="1"/>
  <c r="AS64" i="38" s="1"/>
  <c r="AT64" i="38" s="1"/>
  <c r="N63" i="38"/>
  <c r="O63" i="38" s="1"/>
  <c r="P63" i="38" s="1"/>
  <c r="Q63" i="38" s="1"/>
  <c r="R63" i="38" s="1"/>
  <c r="S63" i="38" s="1"/>
  <c r="T63" i="38" s="1"/>
  <c r="U63" i="38" s="1"/>
  <c r="V63" i="38" s="1"/>
  <c r="W63" i="38" s="1"/>
  <c r="X63" i="38" s="1"/>
  <c r="Y63" i="38" s="1"/>
  <c r="Z63" i="38" s="1"/>
  <c r="AA63" i="38" s="1"/>
  <c r="AB63" i="38" s="1"/>
  <c r="AC63" i="38" s="1"/>
  <c r="AD63" i="38" s="1"/>
  <c r="AE63" i="38" s="1"/>
  <c r="AF63" i="38" s="1"/>
  <c r="AG63" i="38" s="1"/>
  <c r="AH63" i="38" s="1"/>
  <c r="AI63" i="38" s="1"/>
  <c r="AJ63" i="38" s="1"/>
  <c r="AK63" i="38" s="1"/>
  <c r="AL63" i="38" s="1"/>
  <c r="AM63" i="38" s="1"/>
  <c r="AN63" i="38" s="1"/>
  <c r="AO63" i="38" s="1"/>
  <c r="AP63" i="38" s="1"/>
  <c r="AQ63" i="38" s="1"/>
  <c r="AR63" i="38" s="1"/>
  <c r="Z62" i="38"/>
  <c r="AA62" i="38" s="1"/>
  <c r="AB62" i="38" s="1"/>
  <c r="AC62" i="38" s="1"/>
  <c r="AD62" i="38" s="1"/>
  <c r="AE62" i="38" s="1"/>
  <c r="AF62" i="38" s="1"/>
  <c r="AG62" i="38" s="1"/>
  <c r="AH62" i="38" s="1"/>
  <c r="AI62" i="38" s="1"/>
  <c r="AJ62" i="38" s="1"/>
  <c r="AK62" i="38" s="1"/>
  <c r="AL62" i="38" s="1"/>
  <c r="AM62" i="38" s="1"/>
  <c r="AN62" i="38" s="1"/>
  <c r="AO62" i="38" s="1"/>
  <c r="AP62" i="38" s="1"/>
  <c r="Z61" i="38"/>
  <c r="AA61" i="38" s="1"/>
  <c r="AB61" i="38" s="1"/>
  <c r="AC61" i="38" s="1"/>
  <c r="AD61" i="38" s="1"/>
  <c r="AE61" i="38" s="1"/>
  <c r="AF61" i="38" s="1"/>
  <c r="AG61" i="38" s="1"/>
  <c r="AH61" i="38" s="1"/>
  <c r="AI61" i="38" s="1"/>
  <c r="AJ61" i="38" s="1"/>
  <c r="AK61" i="38" s="1"/>
  <c r="AL61" i="38" s="1"/>
  <c r="AM61" i="38" s="1"/>
  <c r="AN61" i="38" s="1"/>
  <c r="AF59" i="38"/>
  <c r="AG59" i="38" s="1"/>
  <c r="AH59" i="38" s="1"/>
  <c r="AI59" i="38" s="1"/>
  <c r="AF58" i="38"/>
  <c r="AG58" i="38" s="1"/>
  <c r="AH58" i="38" s="1"/>
  <c r="AI58" i="38" s="1"/>
  <c r="AJ58" i="38" s="1"/>
  <c r="AK58" i="38" s="1"/>
  <c r="AL58" i="38" s="1"/>
  <c r="N57" i="38"/>
  <c r="O57" i="38" s="1"/>
  <c r="P57" i="38" s="1"/>
  <c r="Q57" i="38" s="1"/>
  <c r="R57" i="38" s="1"/>
  <c r="S57" i="38" s="1"/>
  <c r="Z56" i="38"/>
  <c r="AA56" i="38" s="1"/>
  <c r="AB56" i="38" s="1"/>
  <c r="AC56" i="38" s="1"/>
  <c r="AD56" i="38" s="1"/>
  <c r="AE56" i="38" s="1"/>
  <c r="AF56" i="38" s="1"/>
  <c r="AG56" i="38" s="1"/>
  <c r="AH56" i="38" s="1"/>
  <c r="AI56" i="38" s="1"/>
  <c r="AJ56" i="38" s="1"/>
  <c r="AK56" i="38" s="1"/>
  <c r="AL56" i="38" s="1"/>
  <c r="AM56" i="38" s="1"/>
  <c r="AN56" i="38" s="1"/>
  <c r="Z55" i="38"/>
  <c r="AA55" i="38" s="1"/>
  <c r="AB55" i="38" s="1"/>
  <c r="AC55" i="38" s="1"/>
  <c r="AD55" i="38" s="1"/>
  <c r="AE55" i="38" s="1"/>
  <c r="AF55" i="38" s="1"/>
  <c r="AG55" i="38" s="1"/>
  <c r="AH55" i="38" s="1"/>
  <c r="AI55" i="38" s="1"/>
  <c r="AJ55" i="38" s="1"/>
  <c r="AK55" i="38" s="1"/>
  <c r="AL55" i="38" s="1"/>
  <c r="AF53" i="38"/>
  <c r="AG53" i="38" s="1"/>
  <c r="AH53" i="38" s="1"/>
  <c r="AI53" i="38" s="1"/>
  <c r="AJ53" i="38" s="1"/>
  <c r="AK53" i="38" s="1"/>
  <c r="AL53" i="38" s="1"/>
  <c r="AM53" i="38" s="1"/>
  <c r="AN53" i="38" s="1"/>
  <c r="AO53" i="38" s="1"/>
  <c r="AP53" i="38" s="1"/>
  <c r="AQ53" i="38" s="1"/>
  <c r="AR53" i="38" s="1"/>
  <c r="AS53" i="38" s="1"/>
  <c r="AT53" i="38" s="1"/>
  <c r="AU53" i="38" s="1"/>
  <c r="AV53" i="38" s="1"/>
  <c r="AW53" i="38" s="1"/>
  <c r="AX53" i="38" s="1"/>
  <c r="AY53" i="38" s="1"/>
  <c r="AZ53" i="38" s="1"/>
  <c r="BA53" i="38" s="1"/>
  <c r="BB53" i="38" s="1"/>
  <c r="BC53" i="38" s="1"/>
  <c r="BD53" i="38" s="1"/>
  <c r="AF52" i="38"/>
  <c r="AG52" i="38" s="1"/>
  <c r="AH52" i="38" s="1"/>
  <c r="AI52" i="38" s="1"/>
  <c r="AJ52" i="38" s="1"/>
  <c r="N51" i="38"/>
  <c r="O51" i="38" s="1"/>
  <c r="Z50" i="38"/>
  <c r="AA50" i="38" s="1"/>
  <c r="AB50" i="38" s="1"/>
  <c r="AC50" i="38" s="1"/>
  <c r="AD50" i="38" s="1"/>
  <c r="AE50" i="38" s="1"/>
  <c r="AF50" i="38" s="1"/>
  <c r="AG50" i="38" s="1"/>
  <c r="AH50" i="38" s="1"/>
  <c r="AI50" i="38" s="1"/>
  <c r="AJ50" i="38" s="1"/>
  <c r="AK50" i="38" s="1"/>
  <c r="AL50" i="38" s="1"/>
  <c r="Z49" i="38"/>
  <c r="AA49" i="38" s="1"/>
  <c r="AB49" i="38" s="1"/>
  <c r="AC49" i="38" s="1"/>
  <c r="AF47" i="38"/>
  <c r="AG47" i="38" s="1"/>
  <c r="AH47" i="38" s="1"/>
  <c r="AI47" i="38" s="1"/>
  <c r="AJ47" i="38" s="1"/>
  <c r="AF46" i="38"/>
  <c r="AG46" i="38" s="1"/>
  <c r="AH46" i="38" s="1"/>
  <c r="AI46" i="38" s="1"/>
  <c r="AJ46" i="38" s="1"/>
  <c r="AK46" i="38" s="1"/>
  <c r="N45" i="38"/>
  <c r="O45" i="38" s="1"/>
  <c r="P45" i="38" s="1"/>
  <c r="Q45" i="38" s="1"/>
  <c r="R45" i="38" s="1"/>
  <c r="S45" i="38" s="1"/>
  <c r="T45" i="38" s="1"/>
  <c r="U45" i="38" s="1"/>
  <c r="V45" i="38" s="1"/>
  <c r="W45" i="38" s="1"/>
  <c r="X45" i="38" s="1"/>
  <c r="Y45" i="38" s="1"/>
  <c r="Z45" i="38" s="1"/>
  <c r="AA45" i="38" s="1"/>
  <c r="AB45" i="38" s="1"/>
  <c r="AC45" i="38" s="1"/>
  <c r="AD45" i="38" s="1"/>
  <c r="AE45" i="38" s="1"/>
  <c r="AF45" i="38" s="1"/>
  <c r="AG45" i="38" s="1"/>
  <c r="AH45" i="38" s="1"/>
  <c r="AI45" i="38" s="1"/>
  <c r="AJ45" i="38" s="1"/>
  <c r="AK45" i="38" s="1"/>
  <c r="AL45" i="38" s="1"/>
  <c r="Z44" i="38"/>
  <c r="AA44" i="38" s="1"/>
  <c r="AB44" i="38" s="1"/>
  <c r="AC44" i="38" s="1"/>
  <c r="AD44" i="38" s="1"/>
  <c r="AE44" i="38" s="1"/>
  <c r="AF44" i="38" s="1"/>
  <c r="AG44" i="38" s="1"/>
  <c r="AH44" i="38" s="1"/>
  <c r="AI44" i="38" s="1"/>
  <c r="AJ44" i="38" s="1"/>
  <c r="Z43" i="38"/>
  <c r="AA43" i="38" s="1"/>
  <c r="AB43" i="38" s="1"/>
  <c r="AC43" i="38" s="1"/>
  <c r="AD43" i="38" s="1"/>
  <c r="AE43" i="38" s="1"/>
  <c r="AF43" i="38" s="1"/>
  <c r="AG43" i="38" s="1"/>
  <c r="AH43" i="38" s="1"/>
  <c r="AF41" i="38"/>
  <c r="AG41" i="38" s="1"/>
  <c r="AH41" i="38" s="1"/>
  <c r="AI41" i="38" s="1"/>
  <c r="AJ41" i="38" s="1"/>
  <c r="AK41" i="38" s="1"/>
  <c r="AL41" i="38" s="1"/>
  <c r="AM41" i="38" s="1"/>
  <c r="AN41" i="38" s="1"/>
  <c r="AO41" i="38" s="1"/>
  <c r="AP41" i="38" s="1"/>
  <c r="AQ41" i="38" s="1"/>
  <c r="AR41" i="38" s="1"/>
  <c r="AS41" i="38" s="1"/>
  <c r="AT41" i="38" s="1"/>
  <c r="AU41" i="38" s="1"/>
  <c r="AV41" i="38" s="1"/>
  <c r="AW41" i="38" s="1"/>
  <c r="AX41" i="38" s="1"/>
  <c r="AY41" i="38" s="1"/>
  <c r="AZ41" i="38" s="1"/>
  <c r="AF40" i="38"/>
  <c r="AG40" i="38" s="1"/>
  <c r="AH40" i="38" s="1"/>
  <c r="N39" i="38"/>
  <c r="O39" i="38" s="1"/>
  <c r="P39" i="38" s="1"/>
  <c r="Z38" i="38"/>
  <c r="AA38" i="38" s="1"/>
  <c r="Z37" i="38"/>
  <c r="AA37" i="38" s="1"/>
  <c r="AB37" i="38" s="1"/>
  <c r="AC37" i="38" s="1"/>
  <c r="AD37" i="38" s="1"/>
  <c r="AE37" i="38" s="1"/>
  <c r="AF37" i="38" s="1"/>
  <c r="AF35" i="38"/>
  <c r="AF34" i="38"/>
  <c r="AG34" i="38" s="1"/>
  <c r="AH34" i="38" s="1"/>
  <c r="AI34" i="38" s="1"/>
  <c r="N33" i="38"/>
  <c r="O33" i="38" s="1"/>
  <c r="P33" i="38" s="1"/>
  <c r="Z32" i="38"/>
  <c r="AA32" i="38" s="1"/>
  <c r="Z31" i="38"/>
  <c r="AA31" i="38" s="1"/>
  <c r="AB31" i="38" s="1"/>
  <c r="AC31" i="38" s="1"/>
  <c r="AD31" i="38" s="1"/>
  <c r="AF29" i="38"/>
  <c r="AG29" i="38" s="1"/>
  <c r="AH29" i="38" s="1"/>
  <c r="AI29" i="38" s="1"/>
  <c r="AJ29" i="38" s="1"/>
  <c r="AK29" i="38" s="1"/>
  <c r="AL29" i="38" s="1"/>
  <c r="AM29" i="38" s="1"/>
  <c r="AN29" i="38" s="1"/>
  <c r="AO29" i="38" s="1"/>
  <c r="AP29" i="38" s="1"/>
  <c r="AQ29" i="38" s="1"/>
  <c r="AR29" i="38" s="1"/>
  <c r="AS29" i="38" s="1"/>
  <c r="AT29" i="38" s="1"/>
  <c r="AU29" i="38" s="1"/>
  <c r="AV29" i="38" s="1"/>
  <c r="AF28" i="38"/>
  <c r="AG28" i="38" s="1"/>
  <c r="K28" i="38" s="1"/>
  <c r="H637" i="36" s="1"/>
  <c r="N27" i="38"/>
  <c r="O27" i="38" s="1"/>
  <c r="P27" i="38" s="1"/>
  <c r="Q27" i="38" s="1"/>
  <c r="R27" i="38" s="1"/>
  <c r="S27" i="38" s="1"/>
  <c r="T27" i="38" s="1"/>
  <c r="U27" i="38" s="1"/>
  <c r="V27" i="38" s="1"/>
  <c r="W27" i="38" s="1"/>
  <c r="X27" i="38" s="1"/>
  <c r="Y27" i="38" s="1"/>
  <c r="Z27" i="38" s="1"/>
  <c r="AA27" i="38" s="1"/>
  <c r="AB27" i="38" s="1"/>
  <c r="AC27" i="38" s="1"/>
  <c r="AD27" i="38" s="1"/>
  <c r="AE27" i="38" s="1"/>
  <c r="AF27" i="38" s="1"/>
  <c r="Z26" i="38"/>
  <c r="AA26" i="38" s="1"/>
  <c r="AB26" i="38" s="1"/>
  <c r="AC26" i="38" s="1"/>
  <c r="AD26" i="38" s="1"/>
  <c r="Z25" i="38"/>
  <c r="AA25" i="38" s="1"/>
  <c r="AB25" i="38" s="1"/>
  <c r="AF17" i="38"/>
  <c r="AG17" i="38" s="1"/>
  <c r="K16" i="38"/>
  <c r="H635" i="36" s="1"/>
  <c r="N15" i="38"/>
  <c r="O15" i="38" s="1"/>
  <c r="P15" i="38" s="1"/>
  <c r="Z14" i="38"/>
  <c r="AA14" i="38" s="1"/>
  <c r="Z13" i="38"/>
  <c r="K13" i="38" s="1"/>
  <c r="H578" i="36" s="1"/>
  <c r="AF11" i="38"/>
  <c r="AG11" i="38" s="1"/>
  <c r="AH11" i="38" s="1"/>
  <c r="K10" i="38"/>
  <c r="H634" i="36" s="1"/>
  <c r="N9" i="38"/>
  <c r="O9" i="38" s="1"/>
  <c r="P9" i="38" s="1"/>
  <c r="Z8" i="38"/>
  <c r="K8" i="38" s="1"/>
  <c r="H596" i="36" s="1"/>
  <c r="K7" i="38"/>
  <c r="H577" i="36" s="1"/>
  <c r="K82" i="38" l="1"/>
  <c r="H646" i="36" s="1"/>
  <c r="K103" i="38"/>
  <c r="H593" i="36" s="1"/>
  <c r="AK47" i="38"/>
  <c r="AL47" i="38" s="1"/>
  <c r="AM47" i="38" s="1"/>
  <c r="AN47" i="38" s="1"/>
  <c r="AO47" i="38" s="1"/>
  <c r="AP47" i="38" s="1"/>
  <c r="AQ47" i="38" s="1"/>
  <c r="AR47" i="38" s="1"/>
  <c r="AS47" i="38" s="1"/>
  <c r="AT47" i="38" s="1"/>
  <c r="AU47" i="38" s="1"/>
  <c r="AV47" i="38" s="1"/>
  <c r="AW47" i="38" s="1"/>
  <c r="AX47" i="38" s="1"/>
  <c r="AY47" i="38" s="1"/>
  <c r="AZ47" i="38" s="1"/>
  <c r="BA47" i="38" s="1"/>
  <c r="BB47" i="38" s="1"/>
  <c r="AB74" i="38"/>
  <c r="K74" i="38"/>
  <c r="H607" i="36" s="1"/>
  <c r="AA79" i="38"/>
  <c r="AB79" i="38" s="1"/>
  <c r="AJ59" i="38"/>
  <c r="AK59" i="38" s="1"/>
  <c r="AL59" i="38" s="1"/>
  <c r="AM59" i="38" s="1"/>
  <c r="AN59" i="38" s="1"/>
  <c r="AO59" i="38" s="1"/>
  <c r="AP59" i="38" s="1"/>
  <c r="AQ59" i="38" s="1"/>
  <c r="AR59" i="38" s="1"/>
  <c r="AS59" i="38" s="1"/>
  <c r="AT59" i="38" s="1"/>
  <c r="AU59" i="38" s="1"/>
  <c r="AV59" i="38" s="1"/>
  <c r="AW59" i="38" s="1"/>
  <c r="AX59" i="38" s="1"/>
  <c r="AY59" i="38" s="1"/>
  <c r="AZ59" i="38" s="1"/>
  <c r="BA59" i="38" s="1"/>
  <c r="BB59" i="38" s="1"/>
  <c r="BC59" i="38" s="1"/>
  <c r="BD59" i="38" s="1"/>
  <c r="BE59" i="38" s="1"/>
  <c r="BF59" i="38" s="1"/>
  <c r="AI11" i="38"/>
  <c r="AJ11" i="38" s="1"/>
  <c r="AK11" i="38" s="1"/>
  <c r="AL11" i="38" s="1"/>
  <c r="AM11" i="38" s="1"/>
  <c r="AN11" i="38" s="1"/>
  <c r="AO11" i="38" s="1"/>
  <c r="AP11" i="38" s="1"/>
  <c r="AQ11" i="38" s="1"/>
  <c r="AR11" i="38" s="1"/>
  <c r="AL46" i="38"/>
  <c r="AM46" i="38" s="1"/>
  <c r="AI40" i="38"/>
  <c r="AJ40" i="38" s="1"/>
  <c r="AK40" i="38" s="1"/>
  <c r="AB38" i="38"/>
  <c r="AC38" i="38" s="1"/>
  <c r="AD38" i="38" s="1"/>
  <c r="AE38" i="38" s="1"/>
  <c r="AF38" i="38" s="1"/>
  <c r="AG38" i="38" s="1"/>
  <c r="AH38" i="38" s="1"/>
  <c r="AK52" i="38"/>
  <c r="AL52" i="38" s="1"/>
  <c r="AM52" i="38" s="1"/>
  <c r="AN52" i="38" s="1"/>
  <c r="AO52" i="38" s="1"/>
  <c r="T57" i="38"/>
  <c r="U57" i="38" s="1"/>
  <c r="V57" i="38" s="1"/>
  <c r="W57" i="38" s="1"/>
  <c r="X57" i="38" s="1"/>
  <c r="Y57" i="38" s="1"/>
  <c r="Z57" i="38" s="1"/>
  <c r="AA57" i="38" s="1"/>
  <c r="AB57" i="38" s="1"/>
  <c r="AC57" i="38" s="1"/>
  <c r="AD57" i="38" s="1"/>
  <c r="AE57" i="38" s="1"/>
  <c r="AF57" i="38" s="1"/>
  <c r="AG57" i="38" s="1"/>
  <c r="AH57" i="38" s="1"/>
  <c r="AI57" i="38" s="1"/>
  <c r="AJ57" i="38" s="1"/>
  <c r="AK57" i="38" s="1"/>
  <c r="AL57" i="38" s="1"/>
  <c r="AM57" i="38" s="1"/>
  <c r="AN57" i="38" s="1"/>
  <c r="AO57" i="38" s="1"/>
  <c r="AP57" i="38" s="1"/>
  <c r="AH17" i="38"/>
  <c r="AI17" i="38" s="1"/>
  <c r="AJ17" i="38" s="1"/>
  <c r="AK17" i="38" s="1"/>
  <c r="AL17" i="38" s="1"/>
  <c r="AM17" i="38" s="1"/>
  <c r="AN17" i="38" s="1"/>
  <c r="AO17" i="38" s="1"/>
  <c r="AP17" i="38" s="1"/>
  <c r="AQ17" i="38" s="1"/>
  <c r="AR17" i="38" s="1"/>
  <c r="AS17" i="38" s="1"/>
  <c r="AT17" i="38" s="1"/>
  <c r="K14" i="38"/>
  <c r="H597" i="36" s="1"/>
  <c r="Q9" i="38"/>
  <c r="R9" i="38" s="1"/>
  <c r="S9" i="38" s="1"/>
  <c r="T9" i="38" s="1"/>
  <c r="U9" i="38" s="1"/>
  <c r="V9" i="38" s="1"/>
  <c r="W9" i="38" s="1"/>
  <c r="X9" i="38" s="1"/>
  <c r="Y9" i="38" s="1"/>
  <c r="Z9" i="38" s="1"/>
  <c r="AA9" i="38" s="1"/>
  <c r="AB9" i="38" s="1"/>
  <c r="AM58" i="38"/>
  <c r="AN58" i="38" s="1"/>
  <c r="AO58" i="38" s="1"/>
  <c r="AP58" i="38" s="1"/>
  <c r="AQ58" i="38" s="1"/>
  <c r="AR58" i="38" s="1"/>
  <c r="Q15" i="38"/>
  <c r="R15" i="38" s="1"/>
  <c r="S15" i="38" s="1"/>
  <c r="T15" i="38" s="1"/>
  <c r="U15" i="38" s="1"/>
  <c r="V15" i="38" s="1"/>
  <c r="W15" i="38" s="1"/>
  <c r="X15" i="38" s="1"/>
  <c r="Y15" i="38" s="1"/>
  <c r="Z15" i="38" s="1"/>
  <c r="AA15" i="38" s="1"/>
  <c r="AB15" i="38" s="1"/>
  <c r="AC15" i="38" s="1"/>
  <c r="AD15" i="38" s="1"/>
  <c r="Q33" i="38"/>
  <c r="R33" i="38" s="1"/>
  <c r="S33" i="38" s="1"/>
  <c r="T33" i="38" s="1"/>
  <c r="U33" i="38" s="1"/>
  <c r="V33" i="38" s="1"/>
  <c r="W33" i="38" s="1"/>
  <c r="X33" i="38" s="1"/>
  <c r="Y33" i="38" s="1"/>
  <c r="Z33" i="38" s="1"/>
  <c r="AA33" i="38" s="1"/>
  <c r="AB33" i="38" s="1"/>
  <c r="AC33" i="38" s="1"/>
  <c r="AD33" i="38" s="1"/>
  <c r="AE33" i="38" s="1"/>
  <c r="AF33" i="38" s="1"/>
  <c r="AG33" i="38" s="1"/>
  <c r="AH33" i="38" s="1"/>
  <c r="Q39" i="38"/>
  <c r="R39" i="38" s="1"/>
  <c r="S39" i="38" s="1"/>
  <c r="T39" i="38" s="1"/>
  <c r="U39" i="38" s="1"/>
  <c r="V39" i="38" s="1"/>
  <c r="W39" i="38" s="1"/>
  <c r="X39" i="38" s="1"/>
  <c r="Y39" i="38" s="1"/>
  <c r="Z39" i="38" s="1"/>
  <c r="AA39" i="38" s="1"/>
  <c r="AB39" i="38" s="1"/>
  <c r="AC39" i="38" s="1"/>
  <c r="AD39" i="38" s="1"/>
  <c r="AE39" i="38" s="1"/>
  <c r="AF39" i="38" s="1"/>
  <c r="AG39" i="38" s="1"/>
  <c r="AH39" i="38" s="1"/>
  <c r="AI39" i="38" s="1"/>
  <c r="AJ39" i="38" s="1"/>
  <c r="AD49" i="38"/>
  <c r="AE49" i="38" s="1"/>
  <c r="AF49" i="38" s="1"/>
  <c r="AG49" i="38" s="1"/>
  <c r="AH49" i="38" s="1"/>
  <c r="AI49" i="38" s="1"/>
  <c r="AJ49" i="38" s="1"/>
  <c r="AK104" i="38"/>
  <c r="AL104" i="38" s="1"/>
  <c r="K26" i="38"/>
  <c r="H599" i="36" s="1"/>
  <c r="AB32" i="38"/>
  <c r="AC32" i="38" s="1"/>
  <c r="AD32" i="38" s="1"/>
  <c r="AE32" i="38" s="1"/>
  <c r="AF32" i="38" s="1"/>
  <c r="AG35" i="38"/>
  <c r="AH35" i="38" s="1"/>
  <c r="AI35" i="38" s="1"/>
  <c r="AJ35" i="38" s="1"/>
  <c r="AK35" i="38" s="1"/>
  <c r="AL35" i="38" s="1"/>
  <c r="AM35" i="38" s="1"/>
  <c r="AN35" i="38" s="1"/>
  <c r="AO35" i="38" s="1"/>
  <c r="AP35" i="38" s="1"/>
  <c r="AQ35" i="38" s="1"/>
  <c r="AR35" i="38" s="1"/>
  <c r="AS35" i="38" s="1"/>
  <c r="AT35" i="38" s="1"/>
  <c r="AU35" i="38" s="1"/>
  <c r="AV35" i="38" s="1"/>
  <c r="AW35" i="38" s="1"/>
  <c r="AX35" i="38" s="1"/>
  <c r="K44" i="38"/>
  <c r="H602" i="36" s="1"/>
  <c r="K50" i="38"/>
  <c r="H603" i="36" s="1"/>
  <c r="P51" i="38"/>
  <c r="Q51" i="38" s="1"/>
  <c r="R51" i="38" s="1"/>
  <c r="S51" i="38" s="1"/>
  <c r="T51" i="38" s="1"/>
  <c r="U51" i="38" s="1"/>
  <c r="V51" i="38" s="1"/>
  <c r="W51" i="38" s="1"/>
  <c r="X51" i="38" s="1"/>
  <c r="Y51" i="38" s="1"/>
  <c r="Z51" i="38" s="1"/>
  <c r="AA51" i="38" s="1"/>
  <c r="AB51" i="38" s="1"/>
  <c r="AC51" i="38" s="1"/>
  <c r="AD51" i="38" s="1"/>
  <c r="AE51" i="38" s="1"/>
  <c r="AF51" i="38" s="1"/>
  <c r="AG51" i="38" s="1"/>
  <c r="AH51" i="38" s="1"/>
  <c r="AI51" i="38" s="1"/>
  <c r="AJ51" i="38" s="1"/>
  <c r="AK51" i="38" s="1"/>
  <c r="AL51" i="38" s="1"/>
  <c r="AM51" i="38" s="1"/>
  <c r="AN51" i="38" s="1"/>
  <c r="K61" i="38"/>
  <c r="H586" i="36" s="1"/>
  <c r="AJ83" i="38"/>
  <c r="AK83" i="38" s="1"/>
  <c r="AL83" i="38" s="1"/>
  <c r="AM83" i="38" s="1"/>
  <c r="AN83" i="38" s="1"/>
  <c r="AO83" i="38" s="1"/>
  <c r="AP83" i="38" s="1"/>
  <c r="AQ83" i="38" s="1"/>
  <c r="AR83" i="38" s="1"/>
  <c r="AS83" i="38" s="1"/>
  <c r="AT83" i="38" s="1"/>
  <c r="AU83" i="38" s="1"/>
  <c r="AV83" i="38" s="1"/>
  <c r="AW83" i="38" s="1"/>
  <c r="AC86" i="38"/>
  <c r="AD86" i="38" s="1"/>
  <c r="AE86" i="38" s="1"/>
  <c r="AF86" i="38" s="1"/>
  <c r="K100" i="38"/>
  <c r="H649" i="36" s="1"/>
  <c r="K113" i="38"/>
  <c r="H670" i="36" s="1"/>
  <c r="AB116" i="38"/>
  <c r="AC116" i="38" s="1"/>
  <c r="AD116" i="38" s="1"/>
  <c r="AE116" i="38" s="1"/>
  <c r="AF116" i="38" s="1"/>
  <c r="AG116" i="38" s="1"/>
  <c r="AH116" i="38" s="1"/>
  <c r="AI116" i="38" s="1"/>
  <c r="AJ116" i="38" s="1"/>
  <c r="AK116" i="38" s="1"/>
  <c r="AL116" i="38" s="1"/>
  <c r="AM116" i="38" s="1"/>
  <c r="AN116" i="38" s="1"/>
  <c r="AO116" i="38" s="1"/>
  <c r="AP116" i="38" s="1"/>
  <c r="K118" i="38"/>
  <c r="H652" i="36" s="1"/>
  <c r="K111" i="38"/>
  <c r="H632" i="36" s="1"/>
  <c r="K106" i="38"/>
  <c r="H650" i="36" s="1"/>
  <c r="K109" i="38"/>
  <c r="H594" i="36" s="1"/>
  <c r="K31" i="38"/>
  <c r="H581" i="36" s="1"/>
  <c r="K63" i="38"/>
  <c r="H624" i="36" s="1"/>
  <c r="K71" i="38"/>
  <c r="H663" i="36" s="1"/>
  <c r="K77" i="38"/>
  <c r="H664" i="36" s="1"/>
  <c r="K81" i="38"/>
  <c r="H627" i="36" s="1"/>
  <c r="P87" i="38"/>
  <c r="Q87" i="38" s="1"/>
  <c r="R87" i="38" s="1"/>
  <c r="S87" i="38" s="1"/>
  <c r="T87" i="38" s="1"/>
  <c r="U87" i="38" s="1"/>
  <c r="V87" i="38" s="1"/>
  <c r="W87" i="38" s="1"/>
  <c r="X87" i="38" s="1"/>
  <c r="Y87" i="38" s="1"/>
  <c r="Z87" i="38" s="1"/>
  <c r="AA87" i="38" s="1"/>
  <c r="AB87" i="38" s="1"/>
  <c r="AC87" i="38" s="1"/>
  <c r="AD87" i="38" s="1"/>
  <c r="AE87" i="38" s="1"/>
  <c r="AF87" i="38" s="1"/>
  <c r="AG87" i="38" s="1"/>
  <c r="AH87" i="38" s="1"/>
  <c r="AI87" i="38" s="1"/>
  <c r="K64" i="38"/>
  <c r="H643" i="36" s="1"/>
  <c r="K34" i="38"/>
  <c r="H638" i="36" s="1"/>
  <c r="K43" i="38"/>
  <c r="H583" i="36" s="1"/>
  <c r="O75" i="38"/>
  <c r="P75" i="38" s="1"/>
  <c r="Q75" i="38" s="1"/>
  <c r="R75" i="38" s="1"/>
  <c r="S75" i="38" s="1"/>
  <c r="T75" i="38" s="1"/>
  <c r="U75" i="38" s="1"/>
  <c r="V75" i="38" s="1"/>
  <c r="W75" i="38" s="1"/>
  <c r="X75" i="38" s="1"/>
  <c r="Y75" i="38" s="1"/>
  <c r="Z75" i="38" s="1"/>
  <c r="AA75" i="38" s="1"/>
  <c r="AB75" i="38" s="1"/>
  <c r="AC75" i="38" s="1"/>
  <c r="AD75" i="38" s="1"/>
  <c r="AE75" i="38" s="1"/>
  <c r="K101" i="38"/>
  <c r="H668" i="36" s="1"/>
  <c r="K56" i="38"/>
  <c r="H604" i="36" s="1"/>
  <c r="AG65" i="38"/>
  <c r="AH65" i="38" s="1"/>
  <c r="AI65" i="38" s="1"/>
  <c r="AJ65" i="38" s="1"/>
  <c r="AK65" i="38" s="1"/>
  <c r="AL65" i="38" s="1"/>
  <c r="AM65" i="38" s="1"/>
  <c r="AN65" i="38" s="1"/>
  <c r="AO65" i="38" s="1"/>
  <c r="AP65" i="38" s="1"/>
  <c r="AQ65" i="38" s="1"/>
  <c r="AR65" i="38" s="1"/>
  <c r="AS65" i="38" s="1"/>
  <c r="AT65" i="38" s="1"/>
  <c r="AU65" i="38" s="1"/>
  <c r="AV65" i="38" s="1"/>
  <c r="AW65" i="38" s="1"/>
  <c r="AX65" i="38" s="1"/>
  <c r="AY65" i="38" s="1"/>
  <c r="AZ65" i="38" s="1"/>
  <c r="BA65" i="38" s="1"/>
  <c r="BB65" i="38" s="1"/>
  <c r="BC65" i="38" s="1"/>
  <c r="BD65" i="38" s="1"/>
  <c r="BE65" i="38" s="1"/>
  <c r="BF65" i="38" s="1"/>
  <c r="BG65" i="38" s="1"/>
  <c r="BH65" i="38" s="1"/>
  <c r="AA91" i="38"/>
  <c r="AB91" i="38" s="1"/>
  <c r="AC91" i="38" s="1"/>
  <c r="AD91" i="38" s="1"/>
  <c r="AE91" i="38" s="1"/>
  <c r="AF91" i="38" s="1"/>
  <c r="K99" i="38"/>
  <c r="H630" i="36" s="1"/>
  <c r="AH119" i="38"/>
  <c r="AI119" i="38" s="1"/>
  <c r="AJ119" i="38" s="1"/>
  <c r="AK119" i="38" s="1"/>
  <c r="AL119" i="38" s="1"/>
  <c r="AM119" i="38" s="1"/>
  <c r="AN119" i="38" s="1"/>
  <c r="AO119" i="38" s="1"/>
  <c r="AP119" i="38" s="1"/>
  <c r="AQ119" i="38" s="1"/>
  <c r="AR119" i="38" s="1"/>
  <c r="AS119" i="38" s="1"/>
  <c r="AT119" i="38" s="1"/>
  <c r="AU119" i="38" s="1"/>
  <c r="AV119" i="38" s="1"/>
  <c r="AW119" i="38" s="1"/>
  <c r="AX119" i="38" s="1"/>
  <c r="AY119" i="38" s="1"/>
  <c r="AZ119" i="38" s="1"/>
  <c r="BA119" i="38" s="1"/>
  <c r="BB119" i="38" s="1"/>
  <c r="BC119" i="38" s="1"/>
  <c r="BD119" i="38" s="1"/>
  <c r="BE119" i="38" s="1"/>
  <c r="BF119" i="38" s="1"/>
  <c r="BG119" i="38" s="1"/>
  <c r="BH119" i="38" s="1"/>
  <c r="BI119" i="38" s="1"/>
  <c r="K97" i="38"/>
  <c r="H592" i="36" s="1"/>
  <c r="K110" i="38"/>
  <c r="H613" i="36" s="1"/>
  <c r="K112" i="38"/>
  <c r="H651" i="36" s="1"/>
  <c r="K25" i="38"/>
  <c r="H580" i="36" s="1"/>
  <c r="K27" i="38"/>
  <c r="H618" i="36" s="1"/>
  <c r="K29" i="38"/>
  <c r="H656" i="36" s="1"/>
  <c r="K37" i="38"/>
  <c r="H582" i="36" s="1"/>
  <c r="K41" i="38"/>
  <c r="H658" i="36" s="1"/>
  <c r="K53" i="38"/>
  <c r="H660" i="36" s="1"/>
  <c r="K62" i="38"/>
  <c r="H605" i="36" s="1"/>
  <c r="O69" i="38"/>
  <c r="P69" i="38" s="1"/>
  <c r="Q69" i="38" s="1"/>
  <c r="R69" i="38" s="1"/>
  <c r="S69" i="38" s="1"/>
  <c r="T69" i="38" s="1"/>
  <c r="U69" i="38" s="1"/>
  <c r="V69" i="38" s="1"/>
  <c r="W69" i="38" s="1"/>
  <c r="X69" i="38" s="1"/>
  <c r="Y69" i="38" s="1"/>
  <c r="Z69" i="38" s="1"/>
  <c r="AA69" i="38" s="1"/>
  <c r="AB69" i="38" s="1"/>
  <c r="AC69" i="38" s="1"/>
  <c r="AG107" i="38"/>
  <c r="AH107" i="38" s="1"/>
  <c r="AI107" i="38" s="1"/>
  <c r="AJ107" i="38" s="1"/>
  <c r="AK107" i="38" s="1"/>
  <c r="AL107" i="38" s="1"/>
  <c r="AM107" i="38" s="1"/>
  <c r="AN107" i="38" s="1"/>
  <c r="AO107" i="38" s="1"/>
  <c r="AP107" i="38" s="1"/>
  <c r="AQ107" i="38" s="1"/>
  <c r="AR107" i="38" s="1"/>
  <c r="AS107" i="38" s="1"/>
  <c r="AT107" i="38" s="1"/>
  <c r="AU107" i="38" s="1"/>
  <c r="AV107" i="38" s="1"/>
  <c r="AW107" i="38" s="1"/>
  <c r="AX107" i="38" s="1"/>
  <c r="AY107" i="38" s="1"/>
  <c r="AZ107" i="38" s="1"/>
  <c r="BA107" i="38" s="1"/>
  <c r="BB107" i="38" s="1"/>
  <c r="BC107" i="38" s="1"/>
  <c r="BD107" i="38" s="1"/>
  <c r="BE107" i="38" s="1"/>
  <c r="K45" i="38"/>
  <c r="H621" i="36" s="1"/>
  <c r="K55" i="38"/>
  <c r="H585" i="36" s="1"/>
  <c r="K89" i="38"/>
  <c r="H666" i="36" s="1"/>
  <c r="K95" i="38"/>
  <c r="H667" i="36" s="1"/>
  <c r="K85" i="38"/>
  <c r="H590" i="36" s="1"/>
  <c r="K115" i="38"/>
  <c r="H595" i="36" s="1"/>
  <c r="K117" i="38"/>
  <c r="H633" i="36" s="1"/>
  <c r="K105" i="38"/>
  <c r="H631" i="36" s="1"/>
  <c r="K88" i="38"/>
  <c r="H647" i="36" s="1"/>
  <c r="K98" i="38"/>
  <c r="H611" i="36" s="1"/>
  <c r="K93" i="38"/>
  <c r="H629" i="36" s="1"/>
  <c r="K80" i="38"/>
  <c r="H608" i="36" s="1"/>
  <c r="K92" i="38"/>
  <c r="H610" i="36" s="1"/>
  <c r="K94" i="38"/>
  <c r="H648" i="36" s="1"/>
  <c r="K46" i="38" l="1"/>
  <c r="H640" i="36" s="1"/>
  <c r="K47" i="38"/>
  <c r="H659" i="36" s="1"/>
  <c r="K9" i="38"/>
  <c r="H615" i="36" s="1"/>
  <c r="K52" i="38"/>
  <c r="H641" i="36" s="1"/>
  <c r="K116" i="38"/>
  <c r="H614" i="36" s="1"/>
  <c r="K15" i="38"/>
  <c r="H616" i="36" s="1"/>
  <c r="K38" i="38"/>
  <c r="H601" i="36" s="1"/>
  <c r="K86" i="38"/>
  <c r="H609" i="36" s="1"/>
  <c r="K32" i="38"/>
  <c r="H600" i="36" s="1"/>
  <c r="K104" i="38"/>
  <c r="H612" i="36" s="1"/>
  <c r="K59" i="38"/>
  <c r="H661" i="36" s="1"/>
  <c r="K83" i="38"/>
  <c r="H665" i="36" s="1"/>
  <c r="K49" i="38"/>
  <c r="H584" i="36" s="1"/>
  <c r="K79" i="38"/>
  <c r="H589" i="36" s="1"/>
  <c r="K87" i="38"/>
  <c r="H628" i="36" s="1"/>
  <c r="K91" i="38"/>
  <c r="H591" i="36" s="1"/>
  <c r="K40" i="38"/>
  <c r="H639" i="36" s="1"/>
  <c r="K51" i="38"/>
  <c r="H622" i="36" s="1"/>
  <c r="K39" i="38"/>
  <c r="H620" i="36" s="1"/>
  <c r="K107" i="38"/>
  <c r="H669" i="36" s="1"/>
  <c r="K69" i="38"/>
  <c r="H625" i="36" s="1"/>
  <c r="K33" i="38"/>
  <c r="H619" i="36" s="1"/>
  <c r="K17" i="38"/>
  <c r="H654" i="36" s="1"/>
  <c r="K11" i="38"/>
  <c r="H653" i="36" s="1"/>
  <c r="K119" i="38"/>
  <c r="H671" i="36" s="1"/>
  <c r="K57" i="38"/>
  <c r="H623" i="36" s="1"/>
  <c r="K75" i="38"/>
  <c r="H626" i="36" s="1"/>
  <c r="K65" i="38"/>
  <c r="H662" i="36" s="1"/>
  <c r="K58" i="38"/>
  <c r="H642" i="36" s="1"/>
  <c r="K35" i="38"/>
  <c r="H657" i="36" s="1"/>
  <c r="AG118" i="37" l="1"/>
  <c r="AG117" i="37"/>
  <c r="N116" i="37"/>
  <c r="O116" i="37" s="1"/>
  <c r="P116" i="37" s="1"/>
  <c r="Q116" i="37" s="1"/>
  <c r="AA115" i="37"/>
  <c r="AB115" i="37" s="1"/>
  <c r="AC115" i="37" s="1"/>
  <c r="AD115" i="37" s="1"/>
  <c r="AA114" i="37"/>
  <c r="AG112" i="37"/>
  <c r="AH112" i="37" s="1"/>
  <c r="AI112" i="37" s="1"/>
  <c r="AJ112" i="37" s="1"/>
  <c r="AK112" i="37" s="1"/>
  <c r="AL112" i="37" s="1"/>
  <c r="AM112" i="37" s="1"/>
  <c r="AN112" i="37" s="1"/>
  <c r="AO112" i="37" s="1"/>
  <c r="AP112" i="37" s="1"/>
  <c r="AQ112" i="37" s="1"/>
  <c r="AR112" i="37" s="1"/>
  <c r="AS112" i="37" s="1"/>
  <c r="AT112" i="37" s="1"/>
  <c r="AU112" i="37" s="1"/>
  <c r="AV112" i="37" s="1"/>
  <c r="AW112" i="37" s="1"/>
  <c r="AX112" i="37" s="1"/>
  <c r="AY112" i="37" s="1"/>
  <c r="AZ112" i="37" s="1"/>
  <c r="BA112" i="37" s="1"/>
  <c r="BB112" i="37" s="1"/>
  <c r="BC112" i="37" s="1"/>
  <c r="BD112" i="37" s="1"/>
  <c r="BE112" i="37" s="1"/>
  <c r="BF112" i="37" s="1"/>
  <c r="BG112" i="37" s="1"/>
  <c r="BH112" i="37" s="1"/>
  <c r="BI112" i="37" s="1"/>
  <c r="AG111" i="37"/>
  <c r="N110" i="37"/>
  <c r="AA109" i="37"/>
  <c r="AB109" i="37" s="1"/>
  <c r="AC109" i="37" s="1"/>
  <c r="AD109" i="37" s="1"/>
  <c r="AE109" i="37" s="1"/>
  <c r="AF109" i="37" s="1"/>
  <c r="AG109" i="37" s="1"/>
  <c r="AH109" i="37" s="1"/>
  <c r="AI109" i="37" s="1"/>
  <c r="AJ109" i="37" s="1"/>
  <c r="AK109" i="37" s="1"/>
  <c r="AL109" i="37" s="1"/>
  <c r="AM109" i="37" s="1"/>
  <c r="AN109" i="37" s="1"/>
  <c r="AO109" i="37" s="1"/>
  <c r="AA108" i="37"/>
  <c r="AB108" i="37" s="1"/>
  <c r="AC108" i="37" s="1"/>
  <c r="AD108" i="37" s="1"/>
  <c r="AE108" i="37" s="1"/>
  <c r="AF108" i="37" s="1"/>
  <c r="AG108" i="37" s="1"/>
  <c r="AH108" i="37" s="1"/>
  <c r="AI108" i="37" s="1"/>
  <c r="AJ108" i="37" s="1"/>
  <c r="AK108" i="37" s="1"/>
  <c r="AL108" i="37" s="1"/>
  <c r="AM108" i="37" s="1"/>
  <c r="AG106" i="37"/>
  <c r="AH106" i="37" s="1"/>
  <c r="AI106" i="37" s="1"/>
  <c r="AJ106" i="37" s="1"/>
  <c r="AK106" i="37" s="1"/>
  <c r="AL106" i="37" s="1"/>
  <c r="AM106" i="37" s="1"/>
  <c r="AN106" i="37" s="1"/>
  <c r="AO106" i="37" s="1"/>
  <c r="AP106" i="37" s="1"/>
  <c r="AQ106" i="37" s="1"/>
  <c r="AR106" i="37" s="1"/>
  <c r="AS106" i="37" s="1"/>
  <c r="AT106" i="37" s="1"/>
  <c r="AU106" i="37" s="1"/>
  <c r="AV106" i="37" s="1"/>
  <c r="AW106" i="37" s="1"/>
  <c r="AX106" i="37" s="1"/>
  <c r="AY106" i="37" s="1"/>
  <c r="AZ106" i="37" s="1"/>
  <c r="BA106" i="37" s="1"/>
  <c r="BB106" i="37" s="1"/>
  <c r="BC106" i="37" s="1"/>
  <c r="BD106" i="37" s="1"/>
  <c r="BE106" i="37" s="1"/>
  <c r="BF106" i="37" s="1"/>
  <c r="BG106" i="37" s="1"/>
  <c r="AG105" i="37"/>
  <c r="AH105" i="37" s="1"/>
  <c r="AI105" i="37" s="1"/>
  <c r="AJ105" i="37" s="1"/>
  <c r="AK105" i="37" s="1"/>
  <c r="AL105" i="37" s="1"/>
  <c r="AM105" i="37" s="1"/>
  <c r="AN105" i="37" s="1"/>
  <c r="AO105" i="37" s="1"/>
  <c r="AP105" i="37" s="1"/>
  <c r="AQ105" i="37" s="1"/>
  <c r="AR105" i="37" s="1"/>
  <c r="AS105" i="37" s="1"/>
  <c r="N104" i="37"/>
  <c r="O104" i="37" s="1"/>
  <c r="P104" i="37" s="1"/>
  <c r="Q104" i="37" s="1"/>
  <c r="R104" i="37" s="1"/>
  <c r="S104" i="37" s="1"/>
  <c r="T104" i="37" s="1"/>
  <c r="U104" i="37" s="1"/>
  <c r="V104" i="37" s="1"/>
  <c r="W104" i="37" s="1"/>
  <c r="X104" i="37" s="1"/>
  <c r="Y104" i="37" s="1"/>
  <c r="Z104" i="37" s="1"/>
  <c r="AA104" i="37" s="1"/>
  <c r="AB104" i="37" s="1"/>
  <c r="AC104" i="37" s="1"/>
  <c r="AD104" i="37" s="1"/>
  <c r="AE104" i="37" s="1"/>
  <c r="AF104" i="37" s="1"/>
  <c r="AG104" i="37" s="1"/>
  <c r="AH104" i="37" s="1"/>
  <c r="AI104" i="37" s="1"/>
  <c r="AJ104" i="37" s="1"/>
  <c r="AK104" i="37" s="1"/>
  <c r="AL104" i="37" s="1"/>
  <c r="AM104" i="37" s="1"/>
  <c r="AN104" i="37" s="1"/>
  <c r="AO104" i="37" s="1"/>
  <c r="AP104" i="37" s="1"/>
  <c r="AQ104" i="37" s="1"/>
  <c r="AA103" i="37"/>
  <c r="AB103" i="37" s="1"/>
  <c r="AC103" i="37" s="1"/>
  <c r="AD103" i="37" s="1"/>
  <c r="AE103" i="37" s="1"/>
  <c r="AF103" i="37" s="1"/>
  <c r="AG103" i="37" s="1"/>
  <c r="AH103" i="37" s="1"/>
  <c r="AI103" i="37" s="1"/>
  <c r="AJ103" i="37" s="1"/>
  <c r="AK103" i="37" s="1"/>
  <c r="AL103" i="37" s="1"/>
  <c r="AM103" i="37" s="1"/>
  <c r="AA102" i="37"/>
  <c r="AB102" i="37" s="1"/>
  <c r="AC102" i="37" s="1"/>
  <c r="AD102" i="37" s="1"/>
  <c r="AE102" i="37" s="1"/>
  <c r="AF102" i="37" s="1"/>
  <c r="AG102" i="37" s="1"/>
  <c r="AH102" i="37" s="1"/>
  <c r="AI102" i="37" s="1"/>
  <c r="AJ102" i="37" s="1"/>
  <c r="AK102" i="37" s="1"/>
  <c r="AG100" i="37"/>
  <c r="AH100" i="37" s="1"/>
  <c r="AI100" i="37" s="1"/>
  <c r="AJ100" i="37" s="1"/>
  <c r="AK100" i="37" s="1"/>
  <c r="AL100" i="37" s="1"/>
  <c r="AM100" i="37" s="1"/>
  <c r="AN100" i="37" s="1"/>
  <c r="AO100" i="37" s="1"/>
  <c r="AP100" i="37" s="1"/>
  <c r="AQ100" i="37" s="1"/>
  <c r="AR100" i="37" s="1"/>
  <c r="AS100" i="37" s="1"/>
  <c r="AT100" i="37" s="1"/>
  <c r="AU100" i="37" s="1"/>
  <c r="AV100" i="37" s="1"/>
  <c r="AW100" i="37" s="1"/>
  <c r="AX100" i="37" s="1"/>
  <c r="AY100" i="37" s="1"/>
  <c r="AZ100" i="37" s="1"/>
  <c r="BA100" i="37" s="1"/>
  <c r="BB100" i="37" s="1"/>
  <c r="BC100" i="37" s="1"/>
  <c r="BD100" i="37" s="1"/>
  <c r="BE100" i="37" s="1"/>
  <c r="AG99" i="37"/>
  <c r="AH99" i="37" s="1"/>
  <c r="N98" i="37"/>
  <c r="O98" i="37" s="1"/>
  <c r="P98" i="37" s="1"/>
  <c r="Q98" i="37" s="1"/>
  <c r="R98" i="37" s="1"/>
  <c r="S98" i="37" s="1"/>
  <c r="T98" i="37" s="1"/>
  <c r="U98" i="37" s="1"/>
  <c r="V98" i="37" s="1"/>
  <c r="W98" i="37" s="1"/>
  <c r="X98" i="37" s="1"/>
  <c r="Y98" i="37" s="1"/>
  <c r="Z98" i="37" s="1"/>
  <c r="AA98" i="37" s="1"/>
  <c r="AB98" i="37" s="1"/>
  <c r="AC98" i="37" s="1"/>
  <c r="AD98" i="37" s="1"/>
  <c r="AE98" i="37" s="1"/>
  <c r="AF98" i="37" s="1"/>
  <c r="AG98" i="37" s="1"/>
  <c r="AH98" i="37" s="1"/>
  <c r="AI98" i="37" s="1"/>
  <c r="AJ98" i="37" s="1"/>
  <c r="AK98" i="37" s="1"/>
  <c r="AL98" i="37" s="1"/>
  <c r="AM98" i="37" s="1"/>
  <c r="AN98" i="37" s="1"/>
  <c r="AO98" i="37" s="1"/>
  <c r="AA97" i="37"/>
  <c r="AB97" i="37" s="1"/>
  <c r="AC97" i="37" s="1"/>
  <c r="AD97" i="37" s="1"/>
  <c r="AE97" i="37" s="1"/>
  <c r="AF97" i="37" s="1"/>
  <c r="AG97" i="37" s="1"/>
  <c r="AH97" i="37" s="1"/>
  <c r="AI97" i="37" s="1"/>
  <c r="AJ97" i="37" s="1"/>
  <c r="AK97" i="37" s="1"/>
  <c r="AA96" i="37"/>
  <c r="AB96" i="37" s="1"/>
  <c r="AC96" i="37" s="1"/>
  <c r="AD96" i="37" s="1"/>
  <c r="AE96" i="37" s="1"/>
  <c r="AF96" i="37" s="1"/>
  <c r="AG96" i="37" s="1"/>
  <c r="AH96" i="37" s="1"/>
  <c r="AI96" i="37" s="1"/>
  <c r="AG94" i="37"/>
  <c r="AH94" i="37" s="1"/>
  <c r="AI94" i="37" s="1"/>
  <c r="AJ94" i="37" s="1"/>
  <c r="AK94" i="37" s="1"/>
  <c r="AL94" i="37" s="1"/>
  <c r="AM94" i="37" s="1"/>
  <c r="AN94" i="37" s="1"/>
  <c r="AO94" i="37" s="1"/>
  <c r="AP94" i="37" s="1"/>
  <c r="AQ94" i="37" s="1"/>
  <c r="AR94" i="37" s="1"/>
  <c r="AS94" i="37" s="1"/>
  <c r="AT94" i="37" s="1"/>
  <c r="AU94" i="37" s="1"/>
  <c r="AV94" i="37" s="1"/>
  <c r="AW94" i="37" s="1"/>
  <c r="AX94" i="37" s="1"/>
  <c r="AY94" i="37" s="1"/>
  <c r="AZ94" i="37" s="1"/>
  <c r="BA94" i="37" s="1"/>
  <c r="BB94" i="37" s="1"/>
  <c r="BC94" i="37" s="1"/>
  <c r="AG93" i="37"/>
  <c r="AH93" i="37" s="1"/>
  <c r="N92" i="37"/>
  <c r="O92" i="37" s="1"/>
  <c r="AA91" i="37"/>
  <c r="AA90" i="37"/>
  <c r="AB90" i="37" s="1"/>
  <c r="AG88" i="37"/>
  <c r="AG87" i="37"/>
  <c r="AH87" i="37" s="1"/>
  <c r="AI87" i="37" s="1"/>
  <c r="AJ87" i="37" s="1"/>
  <c r="AK87" i="37" s="1"/>
  <c r="AL87" i="37" s="1"/>
  <c r="N86" i="37"/>
  <c r="O86" i="37" s="1"/>
  <c r="P86" i="37" s="1"/>
  <c r="Q86" i="37" s="1"/>
  <c r="R86" i="37" s="1"/>
  <c r="S86" i="37" s="1"/>
  <c r="T86" i="37" s="1"/>
  <c r="U86" i="37" s="1"/>
  <c r="V86" i="37" s="1"/>
  <c r="W86" i="37" s="1"/>
  <c r="X86" i="37" s="1"/>
  <c r="Y86" i="37" s="1"/>
  <c r="Z86" i="37" s="1"/>
  <c r="AA86" i="37" s="1"/>
  <c r="AB86" i="37" s="1"/>
  <c r="AC86" i="37" s="1"/>
  <c r="AD86" i="37" s="1"/>
  <c r="AE86" i="37" s="1"/>
  <c r="AF86" i="37" s="1"/>
  <c r="AG86" i="37" s="1"/>
  <c r="AH86" i="37" s="1"/>
  <c r="AI86" i="37" s="1"/>
  <c r="AJ86" i="37" s="1"/>
  <c r="AA85" i="37"/>
  <c r="AB85" i="37" s="1"/>
  <c r="AC85" i="37" s="1"/>
  <c r="AD85" i="37" s="1"/>
  <c r="AE85" i="37" s="1"/>
  <c r="AF85" i="37" s="1"/>
  <c r="AG85" i="37" s="1"/>
  <c r="AA84" i="37"/>
  <c r="AB84" i="37" s="1"/>
  <c r="AG82" i="37"/>
  <c r="AG81" i="37"/>
  <c r="N80" i="37"/>
  <c r="O80" i="37" s="1"/>
  <c r="P80" i="37" s="1"/>
  <c r="Q80" i="37" s="1"/>
  <c r="R80" i="37" s="1"/>
  <c r="S80" i="37" s="1"/>
  <c r="T80" i="37" s="1"/>
  <c r="U80" i="37" s="1"/>
  <c r="V80" i="37" s="1"/>
  <c r="W80" i="37" s="1"/>
  <c r="X80" i="37" s="1"/>
  <c r="Y80" i="37" s="1"/>
  <c r="Z80" i="37" s="1"/>
  <c r="AA80" i="37" s="1"/>
  <c r="AB80" i="37" s="1"/>
  <c r="AC80" i="37" s="1"/>
  <c r="AD80" i="37" s="1"/>
  <c r="AE80" i="37" s="1"/>
  <c r="AF80" i="37" s="1"/>
  <c r="AG80" i="37" s="1"/>
  <c r="AA79" i="37"/>
  <c r="AB79" i="37" s="1"/>
  <c r="AC79" i="37" s="1"/>
  <c r="AD79" i="37" s="1"/>
  <c r="AE79" i="37" s="1"/>
  <c r="AA78" i="37"/>
  <c r="AB78" i="37" s="1"/>
  <c r="AC78" i="37" s="1"/>
  <c r="AG76" i="37"/>
  <c r="AH76" i="37" s="1"/>
  <c r="AG75" i="37"/>
  <c r="K75" i="37" s="1"/>
  <c r="H740" i="36" s="1"/>
  <c r="N74" i="37"/>
  <c r="O74" i="37" s="1"/>
  <c r="P74" i="37" s="1"/>
  <c r="Q74" i="37" s="1"/>
  <c r="R74" i="37" s="1"/>
  <c r="S74" i="37" s="1"/>
  <c r="T74" i="37" s="1"/>
  <c r="U74" i="37" s="1"/>
  <c r="V74" i="37" s="1"/>
  <c r="W74" i="37" s="1"/>
  <c r="X74" i="37" s="1"/>
  <c r="Y74" i="37" s="1"/>
  <c r="Z74" i="37" s="1"/>
  <c r="AA74" i="37" s="1"/>
  <c r="AB74" i="37" s="1"/>
  <c r="AC74" i="37" s="1"/>
  <c r="AD74" i="37" s="1"/>
  <c r="AE74" i="37" s="1"/>
  <c r="AA73" i="37"/>
  <c r="AB73" i="37" s="1"/>
  <c r="AA72" i="37"/>
  <c r="K72" i="37" s="1"/>
  <c r="H683" i="36" s="1"/>
  <c r="AG70" i="37"/>
  <c r="AH70" i="37" s="1"/>
  <c r="AI70" i="37" s="1"/>
  <c r="AJ70" i="37" s="1"/>
  <c r="AK70" i="37" s="1"/>
  <c r="AL70" i="37" s="1"/>
  <c r="AM70" i="37" s="1"/>
  <c r="AN70" i="37" s="1"/>
  <c r="AO70" i="37" s="1"/>
  <c r="AP70" i="37" s="1"/>
  <c r="AQ70" i="37" s="1"/>
  <c r="AR70" i="37" s="1"/>
  <c r="AS70" i="37" s="1"/>
  <c r="AT70" i="37" s="1"/>
  <c r="K69" i="37"/>
  <c r="H739" i="36" s="1"/>
  <c r="N68" i="37"/>
  <c r="O68" i="37" s="1"/>
  <c r="P68" i="37" s="1"/>
  <c r="Q68" i="37" s="1"/>
  <c r="R68" i="37" s="1"/>
  <c r="S68" i="37" s="1"/>
  <c r="T68" i="37" s="1"/>
  <c r="U68" i="37" s="1"/>
  <c r="V68" i="37" s="1"/>
  <c r="W68" i="37" s="1"/>
  <c r="X68" i="37" s="1"/>
  <c r="Y68" i="37" s="1"/>
  <c r="Z68" i="37" s="1"/>
  <c r="AA68" i="37" s="1"/>
  <c r="AB68" i="37" s="1"/>
  <c r="AC68" i="37" s="1"/>
  <c r="AA67" i="37"/>
  <c r="K67" i="37" s="1"/>
  <c r="H701" i="36" s="1"/>
  <c r="K66" i="37"/>
  <c r="H682" i="36" s="1"/>
  <c r="AG64" i="37"/>
  <c r="AH64" i="37" s="1"/>
  <c r="AI64" i="37" s="1"/>
  <c r="AJ64" i="37" s="1"/>
  <c r="AK64" i="37" s="1"/>
  <c r="AL64" i="37" s="1"/>
  <c r="AM64" i="37" s="1"/>
  <c r="AN64" i="37" s="1"/>
  <c r="AO64" i="37" s="1"/>
  <c r="AP64" i="37" s="1"/>
  <c r="AQ64" i="37" s="1"/>
  <c r="AR64" i="37" s="1"/>
  <c r="AS64" i="37" s="1"/>
  <c r="AT64" i="37" s="1"/>
  <c r="AU64" i="37" s="1"/>
  <c r="AV64" i="37" s="1"/>
  <c r="AW64" i="37" s="1"/>
  <c r="AX64" i="37" s="1"/>
  <c r="AY64" i="37" s="1"/>
  <c r="AZ64" i="37" s="1"/>
  <c r="BA64" i="37" s="1"/>
  <c r="BB64" i="37" s="1"/>
  <c r="BC64" i="37" s="1"/>
  <c r="BD64" i="37" s="1"/>
  <c r="BE64" i="37" s="1"/>
  <c r="BF64" i="37" s="1"/>
  <c r="BG64" i="37" s="1"/>
  <c r="BH64" i="37" s="1"/>
  <c r="BI64" i="37" s="1"/>
  <c r="BJ64" i="37" s="1"/>
  <c r="AG63" i="37"/>
  <c r="AH63" i="37" s="1"/>
  <c r="AI63" i="37" s="1"/>
  <c r="AJ63" i="37" s="1"/>
  <c r="AK63" i="37" s="1"/>
  <c r="AL63" i="37" s="1"/>
  <c r="AM63" i="37" s="1"/>
  <c r="AN63" i="37" s="1"/>
  <c r="AO63" i="37" s="1"/>
  <c r="AP63" i="37" s="1"/>
  <c r="AQ63" i="37" s="1"/>
  <c r="AR63" i="37" s="1"/>
  <c r="AS63" i="37" s="1"/>
  <c r="AT63" i="37" s="1"/>
  <c r="AU63" i="37" s="1"/>
  <c r="AV63" i="37" s="1"/>
  <c r="N62" i="37"/>
  <c r="O62" i="37" s="1"/>
  <c r="P62" i="37" s="1"/>
  <c r="Q62" i="37" s="1"/>
  <c r="R62" i="37" s="1"/>
  <c r="S62" i="37" s="1"/>
  <c r="T62" i="37" s="1"/>
  <c r="U62" i="37" s="1"/>
  <c r="V62" i="37" s="1"/>
  <c r="W62" i="37" s="1"/>
  <c r="X62" i="37" s="1"/>
  <c r="Y62" i="37" s="1"/>
  <c r="Z62" i="37" s="1"/>
  <c r="AA62" i="37" s="1"/>
  <c r="AB62" i="37" s="1"/>
  <c r="AC62" i="37" s="1"/>
  <c r="AD62" i="37" s="1"/>
  <c r="AE62" i="37" s="1"/>
  <c r="AF62" i="37" s="1"/>
  <c r="AG62" i="37" s="1"/>
  <c r="AH62" i="37" s="1"/>
  <c r="AI62" i="37" s="1"/>
  <c r="AJ62" i="37" s="1"/>
  <c r="AK62" i="37" s="1"/>
  <c r="AL62" i="37" s="1"/>
  <c r="AM62" i="37" s="1"/>
  <c r="AN62" i="37" s="1"/>
  <c r="AO62" i="37" s="1"/>
  <c r="AP62" i="37" s="1"/>
  <c r="AQ62" i="37" s="1"/>
  <c r="AR62" i="37" s="1"/>
  <c r="AS62" i="37" s="1"/>
  <c r="AA61" i="37"/>
  <c r="AB61" i="37" s="1"/>
  <c r="AC61" i="37" s="1"/>
  <c r="AD61" i="37" s="1"/>
  <c r="AE61" i="37" s="1"/>
  <c r="AF61" i="37" s="1"/>
  <c r="AG61" i="37" s="1"/>
  <c r="AH61" i="37" s="1"/>
  <c r="AI61" i="37" s="1"/>
  <c r="AJ61" i="37" s="1"/>
  <c r="AK61" i="37" s="1"/>
  <c r="AL61" i="37" s="1"/>
  <c r="AM61" i="37" s="1"/>
  <c r="AN61" i="37" s="1"/>
  <c r="AO61" i="37" s="1"/>
  <c r="AP61" i="37" s="1"/>
  <c r="AQ61" i="37" s="1"/>
  <c r="AR61" i="37" s="1"/>
  <c r="AA60" i="37"/>
  <c r="AG58" i="37"/>
  <c r="AH58" i="37" s="1"/>
  <c r="AI58" i="37" s="1"/>
  <c r="AJ58" i="37" s="1"/>
  <c r="AK58" i="37" s="1"/>
  <c r="AL58" i="37" s="1"/>
  <c r="AM58" i="37" s="1"/>
  <c r="AN58" i="37" s="1"/>
  <c r="AO58" i="37" s="1"/>
  <c r="AP58" i="37" s="1"/>
  <c r="AQ58" i="37" s="1"/>
  <c r="AR58" i="37" s="1"/>
  <c r="AS58" i="37" s="1"/>
  <c r="AT58" i="37" s="1"/>
  <c r="AU58" i="37" s="1"/>
  <c r="AV58" i="37" s="1"/>
  <c r="AW58" i="37" s="1"/>
  <c r="AX58" i="37" s="1"/>
  <c r="AY58" i="37" s="1"/>
  <c r="AZ58" i="37" s="1"/>
  <c r="BA58" i="37" s="1"/>
  <c r="BB58" i="37" s="1"/>
  <c r="BC58" i="37" s="1"/>
  <c r="BD58" i="37" s="1"/>
  <c r="BE58" i="37" s="1"/>
  <c r="BF58" i="37" s="1"/>
  <c r="BG58" i="37" s="1"/>
  <c r="BH58" i="37" s="1"/>
  <c r="AG57" i="37"/>
  <c r="AH57" i="37" s="1"/>
  <c r="AI57" i="37" s="1"/>
  <c r="AJ57" i="37" s="1"/>
  <c r="AK57" i="37" s="1"/>
  <c r="AL57" i="37" s="1"/>
  <c r="AM57" i="37" s="1"/>
  <c r="AN57" i="37" s="1"/>
  <c r="AO57" i="37" s="1"/>
  <c r="AP57" i="37" s="1"/>
  <c r="AQ57" i="37" s="1"/>
  <c r="AR57" i="37" s="1"/>
  <c r="AS57" i="37" s="1"/>
  <c r="N56" i="37"/>
  <c r="O56" i="37" s="1"/>
  <c r="P56" i="37" s="1"/>
  <c r="Q56" i="37" s="1"/>
  <c r="R56" i="37" s="1"/>
  <c r="S56" i="37" s="1"/>
  <c r="T56" i="37" s="1"/>
  <c r="U56" i="37" s="1"/>
  <c r="V56" i="37" s="1"/>
  <c r="W56" i="37" s="1"/>
  <c r="X56" i="37" s="1"/>
  <c r="Y56" i="37" s="1"/>
  <c r="Z56" i="37" s="1"/>
  <c r="AA56" i="37" s="1"/>
  <c r="AB56" i="37" s="1"/>
  <c r="AC56" i="37" s="1"/>
  <c r="AD56" i="37" s="1"/>
  <c r="AE56" i="37" s="1"/>
  <c r="AF56" i="37" s="1"/>
  <c r="AG56" i="37" s="1"/>
  <c r="AH56" i="37" s="1"/>
  <c r="AI56" i="37" s="1"/>
  <c r="AJ56" i="37" s="1"/>
  <c r="AK56" i="37" s="1"/>
  <c r="AL56" i="37" s="1"/>
  <c r="AM56" i="37" s="1"/>
  <c r="AN56" i="37" s="1"/>
  <c r="AO56" i="37" s="1"/>
  <c r="AP56" i="37" s="1"/>
  <c r="AQ56" i="37" s="1"/>
  <c r="AA55" i="37"/>
  <c r="AB55" i="37" s="1"/>
  <c r="AC55" i="37" s="1"/>
  <c r="AD55" i="37" s="1"/>
  <c r="AE55" i="37" s="1"/>
  <c r="AF55" i="37" s="1"/>
  <c r="AG55" i="37" s="1"/>
  <c r="AH55" i="37" s="1"/>
  <c r="AI55" i="37" s="1"/>
  <c r="AJ55" i="37" s="1"/>
  <c r="AK55" i="37" s="1"/>
  <c r="AL55" i="37" s="1"/>
  <c r="AM55" i="37" s="1"/>
  <c r="AN55" i="37" s="1"/>
  <c r="AO55" i="37" s="1"/>
  <c r="AA54" i="37"/>
  <c r="AB54" i="37" s="1"/>
  <c r="AC54" i="37" s="1"/>
  <c r="AD54" i="37" s="1"/>
  <c r="AE54" i="37" s="1"/>
  <c r="AF54" i="37" s="1"/>
  <c r="AG54" i="37" s="1"/>
  <c r="AH54" i="37" s="1"/>
  <c r="AI54" i="37" s="1"/>
  <c r="AJ54" i="37" s="1"/>
  <c r="AK54" i="37" s="1"/>
  <c r="AL54" i="37" s="1"/>
  <c r="AM54" i="37" s="1"/>
  <c r="AG52" i="37"/>
  <c r="AH52" i="37" s="1"/>
  <c r="AI52" i="37" s="1"/>
  <c r="AJ52" i="37" s="1"/>
  <c r="AK52" i="37" s="1"/>
  <c r="AL52" i="37" s="1"/>
  <c r="AM52" i="37" s="1"/>
  <c r="AN52" i="37" s="1"/>
  <c r="AO52" i="37" s="1"/>
  <c r="AP52" i="37" s="1"/>
  <c r="AQ52" i="37" s="1"/>
  <c r="AR52" i="37" s="1"/>
  <c r="AS52" i="37" s="1"/>
  <c r="AT52" i="37" s="1"/>
  <c r="AU52" i="37" s="1"/>
  <c r="AV52" i="37" s="1"/>
  <c r="AW52" i="37" s="1"/>
  <c r="AX52" i="37" s="1"/>
  <c r="AY52" i="37" s="1"/>
  <c r="AZ52" i="37" s="1"/>
  <c r="BA52" i="37" s="1"/>
  <c r="BB52" i="37" s="1"/>
  <c r="BC52" i="37" s="1"/>
  <c r="BD52" i="37" s="1"/>
  <c r="BE52" i="37" s="1"/>
  <c r="BF52" i="37" s="1"/>
  <c r="AG51" i="37"/>
  <c r="N50" i="37"/>
  <c r="O50" i="37" s="1"/>
  <c r="P50" i="37" s="1"/>
  <c r="Q50" i="37" s="1"/>
  <c r="R50" i="37" s="1"/>
  <c r="S50" i="37" s="1"/>
  <c r="T50" i="37" s="1"/>
  <c r="U50" i="37" s="1"/>
  <c r="V50" i="37" s="1"/>
  <c r="W50" i="37" s="1"/>
  <c r="X50" i="37" s="1"/>
  <c r="Y50" i="37" s="1"/>
  <c r="Z50" i="37" s="1"/>
  <c r="AA50" i="37" s="1"/>
  <c r="AB50" i="37" s="1"/>
  <c r="AC50" i="37" s="1"/>
  <c r="AD50" i="37" s="1"/>
  <c r="AE50" i="37" s="1"/>
  <c r="AF50" i="37" s="1"/>
  <c r="AG50" i="37" s="1"/>
  <c r="AH50" i="37" s="1"/>
  <c r="AI50" i="37" s="1"/>
  <c r="AJ50" i="37" s="1"/>
  <c r="AK50" i="37" s="1"/>
  <c r="AL50" i="37" s="1"/>
  <c r="AM50" i="37" s="1"/>
  <c r="AN50" i="37" s="1"/>
  <c r="AO50" i="37" s="1"/>
  <c r="AA49" i="37"/>
  <c r="AB49" i="37" s="1"/>
  <c r="AC49" i="37" s="1"/>
  <c r="AD49" i="37" s="1"/>
  <c r="AE49" i="37" s="1"/>
  <c r="AF49" i="37" s="1"/>
  <c r="AG49" i="37" s="1"/>
  <c r="AH49" i="37" s="1"/>
  <c r="AI49" i="37" s="1"/>
  <c r="AJ49" i="37" s="1"/>
  <c r="AK49" i="37" s="1"/>
  <c r="AL49" i="37" s="1"/>
  <c r="AM49" i="37" s="1"/>
  <c r="AA48" i="37"/>
  <c r="AB48" i="37" s="1"/>
  <c r="AC48" i="37" s="1"/>
  <c r="AD48" i="37" s="1"/>
  <c r="AE48" i="37" s="1"/>
  <c r="AF48" i="37" s="1"/>
  <c r="AG48" i="37" s="1"/>
  <c r="AH48" i="37" s="1"/>
  <c r="AI48" i="37" s="1"/>
  <c r="AJ48" i="37" s="1"/>
  <c r="AK48" i="37" s="1"/>
  <c r="AG46" i="37"/>
  <c r="AH46" i="37" s="1"/>
  <c r="AI46" i="37" s="1"/>
  <c r="AJ46" i="37" s="1"/>
  <c r="AK46" i="37" s="1"/>
  <c r="AL46" i="37" s="1"/>
  <c r="AM46" i="37" s="1"/>
  <c r="AN46" i="37" s="1"/>
  <c r="AO46" i="37" s="1"/>
  <c r="AP46" i="37" s="1"/>
  <c r="AQ46" i="37" s="1"/>
  <c r="AR46" i="37" s="1"/>
  <c r="AS46" i="37" s="1"/>
  <c r="AT46" i="37" s="1"/>
  <c r="AU46" i="37" s="1"/>
  <c r="AV46" i="37" s="1"/>
  <c r="AW46" i="37" s="1"/>
  <c r="AX46" i="37" s="1"/>
  <c r="AY46" i="37" s="1"/>
  <c r="AZ46" i="37" s="1"/>
  <c r="BA46" i="37" s="1"/>
  <c r="BB46" i="37" s="1"/>
  <c r="BC46" i="37" s="1"/>
  <c r="BD46" i="37" s="1"/>
  <c r="AG45" i="37"/>
  <c r="AH45" i="37" s="1"/>
  <c r="AI45" i="37" s="1"/>
  <c r="AJ45" i="37" s="1"/>
  <c r="AK45" i="37" s="1"/>
  <c r="AL45" i="37" s="1"/>
  <c r="AM45" i="37" s="1"/>
  <c r="AN45" i="37" s="1"/>
  <c r="AO45" i="37" s="1"/>
  <c r="N44" i="37"/>
  <c r="O44" i="37" s="1"/>
  <c r="P44" i="37" s="1"/>
  <c r="Q44" i="37" s="1"/>
  <c r="R44" i="37" s="1"/>
  <c r="S44" i="37" s="1"/>
  <c r="T44" i="37" s="1"/>
  <c r="U44" i="37" s="1"/>
  <c r="V44" i="37" s="1"/>
  <c r="W44" i="37" s="1"/>
  <c r="X44" i="37" s="1"/>
  <c r="Y44" i="37" s="1"/>
  <c r="Z44" i="37" s="1"/>
  <c r="AA44" i="37" s="1"/>
  <c r="AB44" i="37" s="1"/>
  <c r="AC44" i="37" s="1"/>
  <c r="AD44" i="37" s="1"/>
  <c r="AE44" i="37" s="1"/>
  <c r="AF44" i="37" s="1"/>
  <c r="AG44" i="37" s="1"/>
  <c r="AH44" i="37" s="1"/>
  <c r="AI44" i="37" s="1"/>
  <c r="AJ44" i="37" s="1"/>
  <c r="AK44" i="37" s="1"/>
  <c r="AL44" i="37" s="1"/>
  <c r="AM44" i="37" s="1"/>
  <c r="AA43" i="37"/>
  <c r="AB43" i="37" s="1"/>
  <c r="AC43" i="37" s="1"/>
  <c r="AD43" i="37" s="1"/>
  <c r="AE43" i="37" s="1"/>
  <c r="AF43" i="37" s="1"/>
  <c r="AG43" i="37" s="1"/>
  <c r="AH43" i="37" s="1"/>
  <c r="AI43" i="37" s="1"/>
  <c r="AJ43" i="37" s="1"/>
  <c r="AK43" i="37" s="1"/>
  <c r="AA42" i="37"/>
  <c r="AB42" i="37" s="1"/>
  <c r="AC42" i="37" s="1"/>
  <c r="AD42" i="37" s="1"/>
  <c r="AE42" i="37" s="1"/>
  <c r="AF42" i="37" s="1"/>
  <c r="AG42" i="37" s="1"/>
  <c r="AH42" i="37" s="1"/>
  <c r="AI42" i="37" s="1"/>
  <c r="AG40" i="37"/>
  <c r="AH40" i="37" s="1"/>
  <c r="AI40" i="37" s="1"/>
  <c r="AJ40" i="37" s="1"/>
  <c r="AK40" i="37" s="1"/>
  <c r="AL40" i="37" s="1"/>
  <c r="AM40" i="37" s="1"/>
  <c r="AN40" i="37" s="1"/>
  <c r="AO40" i="37" s="1"/>
  <c r="AP40" i="37" s="1"/>
  <c r="AQ40" i="37" s="1"/>
  <c r="AR40" i="37" s="1"/>
  <c r="AS40" i="37" s="1"/>
  <c r="AT40" i="37" s="1"/>
  <c r="AU40" i="37" s="1"/>
  <c r="AV40" i="37" s="1"/>
  <c r="AW40" i="37" s="1"/>
  <c r="AX40" i="37" s="1"/>
  <c r="AY40" i="37" s="1"/>
  <c r="AZ40" i="37" s="1"/>
  <c r="BA40" i="37" s="1"/>
  <c r="AG39" i="37"/>
  <c r="AH39" i="37" s="1"/>
  <c r="AI39" i="37" s="1"/>
  <c r="AJ39" i="37" s="1"/>
  <c r="AK39" i="37" s="1"/>
  <c r="AL39" i="37" s="1"/>
  <c r="K39" i="37" s="1"/>
  <c r="H734" i="36" s="1"/>
  <c r="N38" i="37"/>
  <c r="AA37" i="37"/>
  <c r="AB37" i="37" s="1"/>
  <c r="AC37" i="37" s="1"/>
  <c r="AD37" i="37" s="1"/>
  <c r="AE37" i="37" s="1"/>
  <c r="AF37" i="37" s="1"/>
  <c r="AA36" i="37"/>
  <c r="AG34" i="37"/>
  <c r="AG33" i="37"/>
  <c r="N32" i="37"/>
  <c r="O32" i="37" s="1"/>
  <c r="P32" i="37" s="1"/>
  <c r="Q32" i="37" s="1"/>
  <c r="R32" i="37" s="1"/>
  <c r="S32" i="37" s="1"/>
  <c r="T32" i="37" s="1"/>
  <c r="U32" i="37" s="1"/>
  <c r="V32" i="37" s="1"/>
  <c r="W32" i="37" s="1"/>
  <c r="X32" i="37" s="1"/>
  <c r="Y32" i="37" s="1"/>
  <c r="Z32" i="37" s="1"/>
  <c r="AA32" i="37" s="1"/>
  <c r="AB32" i="37" s="1"/>
  <c r="AC32" i="37" s="1"/>
  <c r="AD32" i="37" s="1"/>
  <c r="AE32" i="37" s="1"/>
  <c r="AF32" i="37" s="1"/>
  <c r="AG32" i="37" s="1"/>
  <c r="AH32" i="37" s="1"/>
  <c r="AA31" i="37"/>
  <c r="AA30" i="37"/>
  <c r="AB30" i="37" s="1"/>
  <c r="AC30" i="37" s="1"/>
  <c r="AD30" i="37" s="1"/>
  <c r="AE30" i="37" s="1"/>
  <c r="AG28" i="37"/>
  <c r="AH28" i="37" s="1"/>
  <c r="AI28" i="37" s="1"/>
  <c r="AJ28" i="37" s="1"/>
  <c r="AK28" i="37" s="1"/>
  <c r="AL28" i="37" s="1"/>
  <c r="AM28" i="37" s="1"/>
  <c r="AN28" i="37" s="1"/>
  <c r="AO28" i="37" s="1"/>
  <c r="AP28" i="37" s="1"/>
  <c r="AQ28" i="37" s="1"/>
  <c r="AR28" i="37" s="1"/>
  <c r="AG27" i="37"/>
  <c r="AH27" i="37" s="1"/>
  <c r="N26" i="37"/>
  <c r="AA25" i="37"/>
  <c r="AB25" i="37" s="1"/>
  <c r="AA24" i="37"/>
  <c r="AG16" i="37"/>
  <c r="K15" i="37"/>
  <c r="H730" i="36" s="1"/>
  <c r="N14" i="37"/>
  <c r="O14" i="37" s="1"/>
  <c r="P14" i="37" s="1"/>
  <c r="Q14" i="37" s="1"/>
  <c r="R14" i="37" s="1"/>
  <c r="S14" i="37" s="1"/>
  <c r="T14" i="37" s="1"/>
  <c r="U14" i="37" s="1"/>
  <c r="V14" i="37" s="1"/>
  <c r="W14" i="37" s="1"/>
  <c r="X14" i="37" s="1"/>
  <c r="Y14" i="37" s="1"/>
  <c r="Z14" i="37" s="1"/>
  <c r="AA14" i="37" s="1"/>
  <c r="AB14" i="37" s="1"/>
  <c r="AC14" i="37" s="1"/>
  <c r="AD14" i="37" s="1"/>
  <c r="AA13" i="37"/>
  <c r="AA12" i="37"/>
  <c r="K12" i="37" s="1"/>
  <c r="H673" i="36" s="1"/>
  <c r="AG10" i="37"/>
  <c r="AH10" i="37" s="1"/>
  <c r="AI10" i="37" s="1"/>
  <c r="AJ10" i="37" s="1"/>
  <c r="AK10" i="37" s="1"/>
  <c r="AL10" i="37" s="1"/>
  <c r="AM10" i="37" s="1"/>
  <c r="AN10" i="37" s="1"/>
  <c r="AO10" i="37" s="1"/>
  <c r="AP10" i="37" s="1"/>
  <c r="AQ10" i="37" s="1"/>
  <c r="AR10" i="37" s="1"/>
  <c r="AS10" i="37" s="1"/>
  <c r="K9" i="37"/>
  <c r="H729" i="36" s="1"/>
  <c r="N8" i="37"/>
  <c r="AA7" i="37"/>
  <c r="K7" i="37" s="1"/>
  <c r="H691" i="36" s="1"/>
  <c r="K6" i="37"/>
  <c r="H672" i="36" s="1"/>
  <c r="AC25" i="37" l="1"/>
  <c r="AD25" i="37" s="1"/>
  <c r="AE25" i="37" s="1"/>
  <c r="K25" i="37" s="1"/>
  <c r="H694" i="36" s="1"/>
  <c r="K74" i="37"/>
  <c r="H721" i="36" s="1"/>
  <c r="K70" i="37"/>
  <c r="H758" i="36" s="1"/>
  <c r="K45" i="37"/>
  <c r="H735" i="36" s="1"/>
  <c r="AS28" i="37"/>
  <c r="AT28" i="37" s="1"/>
  <c r="AU28" i="37" s="1"/>
  <c r="AV28" i="37" s="1"/>
  <c r="AW28" i="37" s="1"/>
  <c r="AG37" i="37"/>
  <c r="AH37" i="37" s="1"/>
  <c r="AI37" i="37" s="1"/>
  <c r="AB31" i="37"/>
  <c r="AC31" i="37" s="1"/>
  <c r="AD31" i="37" s="1"/>
  <c r="AE31" i="37" s="1"/>
  <c r="AF31" i="37" s="1"/>
  <c r="AG31" i="37" s="1"/>
  <c r="K86" i="37"/>
  <c r="H723" i="36" s="1"/>
  <c r="AC90" i="37"/>
  <c r="AD90" i="37" s="1"/>
  <c r="AE90" i="37" s="1"/>
  <c r="AF90" i="37" s="1"/>
  <c r="AG90" i="37" s="1"/>
  <c r="AB24" i="37"/>
  <c r="AC24" i="37" s="1"/>
  <c r="AI76" i="37"/>
  <c r="AJ76" i="37" s="1"/>
  <c r="AK76" i="37" s="1"/>
  <c r="AL76" i="37" s="1"/>
  <c r="AM76" i="37" s="1"/>
  <c r="AN76" i="37" s="1"/>
  <c r="AO76" i="37" s="1"/>
  <c r="AP76" i="37" s="1"/>
  <c r="AQ76" i="37" s="1"/>
  <c r="AR76" i="37" s="1"/>
  <c r="AS76" i="37" s="1"/>
  <c r="AT76" i="37" s="1"/>
  <c r="AU76" i="37" s="1"/>
  <c r="AV76" i="37" s="1"/>
  <c r="R116" i="37"/>
  <c r="S116" i="37" s="1"/>
  <c r="T116" i="37" s="1"/>
  <c r="U116" i="37" s="1"/>
  <c r="V116" i="37" s="1"/>
  <c r="W116" i="37" s="1"/>
  <c r="X116" i="37" s="1"/>
  <c r="Y116" i="37" s="1"/>
  <c r="Z116" i="37" s="1"/>
  <c r="AA116" i="37" s="1"/>
  <c r="AB116" i="37" s="1"/>
  <c r="AC116" i="37" s="1"/>
  <c r="AD116" i="37" s="1"/>
  <c r="AE116" i="37" s="1"/>
  <c r="AF116" i="37" s="1"/>
  <c r="AG116" i="37" s="1"/>
  <c r="AH116" i="37" s="1"/>
  <c r="AI116" i="37" s="1"/>
  <c r="AJ116" i="37" s="1"/>
  <c r="AK116" i="37" s="1"/>
  <c r="AL116" i="37" s="1"/>
  <c r="AM116" i="37" s="1"/>
  <c r="AN116" i="37" s="1"/>
  <c r="AO116" i="37" s="1"/>
  <c r="AP116" i="37" s="1"/>
  <c r="AQ116" i="37" s="1"/>
  <c r="AR116" i="37" s="1"/>
  <c r="AS116" i="37" s="1"/>
  <c r="AT116" i="37" s="1"/>
  <c r="AB13" i="37"/>
  <c r="AH16" i="37"/>
  <c r="AI16" i="37" s="1"/>
  <c r="AJ16" i="37" s="1"/>
  <c r="AK16" i="37" s="1"/>
  <c r="AL16" i="37" s="1"/>
  <c r="AM16" i="37" s="1"/>
  <c r="AN16" i="37" s="1"/>
  <c r="AO16" i="37" s="1"/>
  <c r="AP16" i="37" s="1"/>
  <c r="AQ16" i="37" s="1"/>
  <c r="AR16" i="37" s="1"/>
  <c r="AS16" i="37" s="1"/>
  <c r="AT16" i="37" s="1"/>
  <c r="AU16" i="37" s="1"/>
  <c r="K32" i="37"/>
  <c r="H714" i="36" s="1"/>
  <c r="K61" i="37"/>
  <c r="H700" i="36" s="1"/>
  <c r="AH34" i="37"/>
  <c r="AI34" i="37" s="1"/>
  <c r="AJ34" i="37" s="1"/>
  <c r="AK34" i="37" s="1"/>
  <c r="AL34" i="37" s="1"/>
  <c r="AM34" i="37" s="1"/>
  <c r="AN34" i="37" s="1"/>
  <c r="AO34" i="37" s="1"/>
  <c r="AP34" i="37" s="1"/>
  <c r="AQ34" i="37" s="1"/>
  <c r="AR34" i="37" s="1"/>
  <c r="AS34" i="37" s="1"/>
  <c r="AT34" i="37" s="1"/>
  <c r="AU34" i="37" s="1"/>
  <c r="AV34" i="37" s="1"/>
  <c r="AW34" i="37" s="1"/>
  <c r="AX34" i="37" s="1"/>
  <c r="AY34" i="37" s="1"/>
  <c r="K64" i="37"/>
  <c r="H757" i="36" s="1"/>
  <c r="AI99" i="37"/>
  <c r="AJ99" i="37" s="1"/>
  <c r="AK99" i="37" s="1"/>
  <c r="AL99" i="37" s="1"/>
  <c r="AM99" i="37" s="1"/>
  <c r="AN99" i="37" s="1"/>
  <c r="AO99" i="37" s="1"/>
  <c r="AP99" i="37" s="1"/>
  <c r="AQ99" i="37" s="1"/>
  <c r="P92" i="37"/>
  <c r="Q92" i="37" s="1"/>
  <c r="R92" i="37" s="1"/>
  <c r="S92" i="37" s="1"/>
  <c r="T92" i="37" s="1"/>
  <c r="U92" i="37" s="1"/>
  <c r="V92" i="37" s="1"/>
  <c r="W92" i="37" s="1"/>
  <c r="X92" i="37" s="1"/>
  <c r="Y92" i="37" s="1"/>
  <c r="Z92" i="37" s="1"/>
  <c r="AA92" i="37" s="1"/>
  <c r="AB92" i="37" s="1"/>
  <c r="AC92" i="37" s="1"/>
  <c r="AD92" i="37" s="1"/>
  <c r="AE92" i="37" s="1"/>
  <c r="AF92" i="37" s="1"/>
  <c r="AG92" i="37" s="1"/>
  <c r="AH92" i="37" s="1"/>
  <c r="AI92" i="37" s="1"/>
  <c r="AJ92" i="37" s="1"/>
  <c r="AK92" i="37" s="1"/>
  <c r="AL92" i="37" s="1"/>
  <c r="O26" i="37"/>
  <c r="P26" i="37" s="1"/>
  <c r="Q26" i="37" s="1"/>
  <c r="R26" i="37" s="1"/>
  <c r="S26" i="37" s="1"/>
  <c r="T26" i="37" s="1"/>
  <c r="U26" i="37" s="1"/>
  <c r="V26" i="37" s="1"/>
  <c r="W26" i="37" s="1"/>
  <c r="X26" i="37" s="1"/>
  <c r="Y26" i="37" s="1"/>
  <c r="Z26" i="37" s="1"/>
  <c r="AA26" i="37" s="1"/>
  <c r="AB26" i="37" s="1"/>
  <c r="AC26" i="37" s="1"/>
  <c r="AD26" i="37" s="1"/>
  <c r="AE26" i="37" s="1"/>
  <c r="AF26" i="37" s="1"/>
  <c r="O38" i="37"/>
  <c r="P38" i="37" s="1"/>
  <c r="Q38" i="37" s="1"/>
  <c r="R38" i="37" s="1"/>
  <c r="S38" i="37" s="1"/>
  <c r="T38" i="37" s="1"/>
  <c r="U38" i="37" s="1"/>
  <c r="V38" i="37" s="1"/>
  <c r="W38" i="37" s="1"/>
  <c r="X38" i="37" s="1"/>
  <c r="Y38" i="37" s="1"/>
  <c r="Z38" i="37" s="1"/>
  <c r="AA38" i="37" s="1"/>
  <c r="AB38" i="37" s="1"/>
  <c r="AC38" i="37" s="1"/>
  <c r="AD38" i="37" s="1"/>
  <c r="AE38" i="37" s="1"/>
  <c r="AF38" i="37" s="1"/>
  <c r="AG38" i="37" s="1"/>
  <c r="AH38" i="37" s="1"/>
  <c r="AI38" i="37" s="1"/>
  <c r="AJ38" i="37" s="1"/>
  <c r="O8" i="37"/>
  <c r="P8" i="37" s="1"/>
  <c r="Q8" i="37" s="1"/>
  <c r="R8" i="37" s="1"/>
  <c r="S8" i="37" s="1"/>
  <c r="T8" i="37" s="1"/>
  <c r="U8" i="37" s="1"/>
  <c r="V8" i="37" s="1"/>
  <c r="W8" i="37" s="1"/>
  <c r="X8" i="37" s="1"/>
  <c r="Y8" i="37" s="1"/>
  <c r="Z8" i="37" s="1"/>
  <c r="AA8" i="37" s="1"/>
  <c r="AB8" i="37" s="1"/>
  <c r="AC8" i="37" s="1"/>
  <c r="AH51" i="37"/>
  <c r="AI51" i="37" s="1"/>
  <c r="AJ51" i="37" s="1"/>
  <c r="AK51" i="37" s="1"/>
  <c r="AL51" i="37" s="1"/>
  <c r="AM51" i="37" s="1"/>
  <c r="AN51" i="37" s="1"/>
  <c r="AO51" i="37" s="1"/>
  <c r="AP51" i="37" s="1"/>
  <c r="AQ51" i="37" s="1"/>
  <c r="K46" i="37"/>
  <c r="H754" i="36" s="1"/>
  <c r="AH118" i="37"/>
  <c r="AI118" i="37" s="1"/>
  <c r="AJ118" i="37" s="1"/>
  <c r="AK118" i="37" s="1"/>
  <c r="AL118" i="37" s="1"/>
  <c r="AM118" i="37" s="1"/>
  <c r="AN118" i="37" s="1"/>
  <c r="AO118" i="37" s="1"/>
  <c r="AP118" i="37" s="1"/>
  <c r="AQ118" i="37" s="1"/>
  <c r="AR118" i="37" s="1"/>
  <c r="AS118" i="37" s="1"/>
  <c r="AT118" i="37" s="1"/>
  <c r="AU118" i="37" s="1"/>
  <c r="AV118" i="37" s="1"/>
  <c r="AW118" i="37" s="1"/>
  <c r="AX118" i="37" s="1"/>
  <c r="AY118" i="37" s="1"/>
  <c r="AZ118" i="37" s="1"/>
  <c r="BA118" i="37" s="1"/>
  <c r="BB118" i="37" s="1"/>
  <c r="BC118" i="37" s="1"/>
  <c r="BD118" i="37" s="1"/>
  <c r="BE118" i="37" s="1"/>
  <c r="BF118" i="37" s="1"/>
  <c r="BG118" i="37" s="1"/>
  <c r="BH118" i="37" s="1"/>
  <c r="BI118" i="37" s="1"/>
  <c r="BJ118" i="37" s="1"/>
  <c r="BK118" i="37" s="1"/>
  <c r="AH33" i="37"/>
  <c r="AI33" i="37" s="1"/>
  <c r="AJ33" i="37" s="1"/>
  <c r="AB36" i="37"/>
  <c r="AC36" i="37" s="1"/>
  <c r="AD36" i="37" s="1"/>
  <c r="AE36" i="37" s="1"/>
  <c r="AF36" i="37" s="1"/>
  <c r="AG36" i="37" s="1"/>
  <c r="K49" i="37"/>
  <c r="H698" i="36" s="1"/>
  <c r="AE115" i="37"/>
  <c r="AF115" i="37" s="1"/>
  <c r="AG115" i="37" s="1"/>
  <c r="AH115" i="37" s="1"/>
  <c r="AI115" i="37" s="1"/>
  <c r="AJ115" i="37" s="1"/>
  <c r="AK115" i="37" s="1"/>
  <c r="AL115" i="37" s="1"/>
  <c r="AM115" i="37" s="1"/>
  <c r="AN115" i="37" s="1"/>
  <c r="AO115" i="37" s="1"/>
  <c r="AP115" i="37" s="1"/>
  <c r="AQ115" i="37" s="1"/>
  <c r="AR115" i="37" s="1"/>
  <c r="K63" i="37"/>
  <c r="H738" i="36" s="1"/>
  <c r="K68" i="37"/>
  <c r="H720" i="36" s="1"/>
  <c r="K100" i="37"/>
  <c r="H763" i="36" s="1"/>
  <c r="K106" i="37"/>
  <c r="H764" i="36" s="1"/>
  <c r="K62" i="37"/>
  <c r="H719" i="36" s="1"/>
  <c r="AH82" i="37"/>
  <c r="AI82" i="37" s="1"/>
  <c r="AJ82" i="37" s="1"/>
  <c r="AK82" i="37" s="1"/>
  <c r="AL82" i="37" s="1"/>
  <c r="AM82" i="37" s="1"/>
  <c r="AN82" i="37" s="1"/>
  <c r="AO82" i="37" s="1"/>
  <c r="AP82" i="37" s="1"/>
  <c r="AQ82" i="37" s="1"/>
  <c r="AR82" i="37" s="1"/>
  <c r="AS82" i="37" s="1"/>
  <c r="AT82" i="37" s="1"/>
  <c r="AU82" i="37" s="1"/>
  <c r="AV82" i="37" s="1"/>
  <c r="AW82" i="37" s="1"/>
  <c r="AX82" i="37" s="1"/>
  <c r="AI93" i="37"/>
  <c r="AJ93" i="37" s="1"/>
  <c r="AK93" i="37" s="1"/>
  <c r="AL93" i="37" s="1"/>
  <c r="AM93" i="37" s="1"/>
  <c r="AN93" i="37" s="1"/>
  <c r="AO93" i="37" s="1"/>
  <c r="K103" i="37"/>
  <c r="H707" i="36" s="1"/>
  <c r="O110" i="37"/>
  <c r="P110" i="37" s="1"/>
  <c r="Q110" i="37" s="1"/>
  <c r="R110" i="37" s="1"/>
  <c r="S110" i="37" s="1"/>
  <c r="T110" i="37" s="1"/>
  <c r="U110" i="37" s="1"/>
  <c r="V110" i="37" s="1"/>
  <c r="W110" i="37" s="1"/>
  <c r="X110" i="37" s="1"/>
  <c r="Y110" i="37" s="1"/>
  <c r="Z110" i="37" s="1"/>
  <c r="AA110" i="37" s="1"/>
  <c r="AB110" i="37" s="1"/>
  <c r="AC110" i="37" s="1"/>
  <c r="AD110" i="37" s="1"/>
  <c r="AE110" i="37" s="1"/>
  <c r="AF110" i="37" s="1"/>
  <c r="AG110" i="37" s="1"/>
  <c r="AH110" i="37" s="1"/>
  <c r="AI110" i="37" s="1"/>
  <c r="AJ110" i="37" s="1"/>
  <c r="AK110" i="37" s="1"/>
  <c r="AL110" i="37" s="1"/>
  <c r="AM110" i="37" s="1"/>
  <c r="AN110" i="37" s="1"/>
  <c r="AO110" i="37" s="1"/>
  <c r="AP110" i="37" s="1"/>
  <c r="AQ110" i="37" s="1"/>
  <c r="AR110" i="37" s="1"/>
  <c r="AH117" i="37"/>
  <c r="AI117" i="37" s="1"/>
  <c r="AJ117" i="37" s="1"/>
  <c r="AK117" i="37" s="1"/>
  <c r="AL117" i="37" s="1"/>
  <c r="AM117" i="37" s="1"/>
  <c r="AN117" i="37" s="1"/>
  <c r="AO117" i="37" s="1"/>
  <c r="AP117" i="37" s="1"/>
  <c r="AQ117" i="37" s="1"/>
  <c r="AR117" i="37" s="1"/>
  <c r="AS117" i="37" s="1"/>
  <c r="AT117" i="37" s="1"/>
  <c r="AU117" i="37" s="1"/>
  <c r="AV117" i="37" s="1"/>
  <c r="K50" i="37"/>
  <c r="H717" i="36" s="1"/>
  <c r="K55" i="37"/>
  <c r="H699" i="36" s="1"/>
  <c r="K79" i="37"/>
  <c r="H703" i="36" s="1"/>
  <c r="K98" i="37"/>
  <c r="H725" i="36" s="1"/>
  <c r="K112" i="37"/>
  <c r="H765" i="36" s="1"/>
  <c r="K56" i="37"/>
  <c r="H718" i="36" s="1"/>
  <c r="AB60" i="37"/>
  <c r="AC60" i="37" s="1"/>
  <c r="AD60" i="37" s="1"/>
  <c r="AE60" i="37" s="1"/>
  <c r="AF60" i="37" s="1"/>
  <c r="AG60" i="37" s="1"/>
  <c r="AH60" i="37" s="1"/>
  <c r="AI60" i="37" s="1"/>
  <c r="AJ60" i="37" s="1"/>
  <c r="AK60" i="37" s="1"/>
  <c r="AL60" i="37" s="1"/>
  <c r="AM60" i="37" s="1"/>
  <c r="AN60" i="37" s="1"/>
  <c r="AO60" i="37" s="1"/>
  <c r="AC84" i="37"/>
  <c r="AD84" i="37" s="1"/>
  <c r="AE84" i="37" s="1"/>
  <c r="K87" i="37"/>
  <c r="H742" i="36" s="1"/>
  <c r="K105" i="37"/>
  <c r="H745" i="36" s="1"/>
  <c r="K54" i="37"/>
  <c r="H680" i="36" s="1"/>
  <c r="AC73" i="37"/>
  <c r="K73" i="37" s="1"/>
  <c r="H702" i="36" s="1"/>
  <c r="AB91" i="37"/>
  <c r="AC91" i="37" s="1"/>
  <c r="AD91" i="37" s="1"/>
  <c r="AE91" i="37" s="1"/>
  <c r="AF91" i="37" s="1"/>
  <c r="AG91" i="37" s="1"/>
  <c r="AH91" i="37" s="1"/>
  <c r="AI91" i="37" s="1"/>
  <c r="K102" i="37"/>
  <c r="H688" i="36" s="1"/>
  <c r="K10" i="37"/>
  <c r="H748" i="36" s="1"/>
  <c r="K14" i="37"/>
  <c r="H711" i="36" s="1"/>
  <c r="K43" i="37"/>
  <c r="H697" i="36" s="1"/>
  <c r="K48" i="37"/>
  <c r="H679" i="36" s="1"/>
  <c r="K97" i="37"/>
  <c r="H706" i="36" s="1"/>
  <c r="K108" i="37"/>
  <c r="H689" i="36" s="1"/>
  <c r="AH111" i="37"/>
  <c r="AI111" i="37" s="1"/>
  <c r="AJ111" i="37" s="1"/>
  <c r="AK111" i="37" s="1"/>
  <c r="AL111" i="37" s="1"/>
  <c r="AM111" i="37" s="1"/>
  <c r="AN111" i="37" s="1"/>
  <c r="AO111" i="37" s="1"/>
  <c r="AP111" i="37" s="1"/>
  <c r="AQ111" i="37" s="1"/>
  <c r="AR111" i="37" s="1"/>
  <c r="AS111" i="37" s="1"/>
  <c r="AT111" i="37" s="1"/>
  <c r="K27" i="37"/>
  <c r="H732" i="36" s="1"/>
  <c r="K30" i="37"/>
  <c r="H676" i="36" s="1"/>
  <c r="K40" i="37"/>
  <c r="H753" i="36" s="1"/>
  <c r="K42" i="37"/>
  <c r="H678" i="36" s="1"/>
  <c r="K44" i="37"/>
  <c r="H716" i="36" s="1"/>
  <c r="K52" i="37"/>
  <c r="H755" i="36" s="1"/>
  <c r="K58" i="37"/>
  <c r="H756" i="36" s="1"/>
  <c r="K85" i="37"/>
  <c r="H704" i="36" s="1"/>
  <c r="K94" i="37"/>
  <c r="H762" i="36" s="1"/>
  <c r="AH88" i="37"/>
  <c r="AI88" i="37" s="1"/>
  <c r="AJ88" i="37" s="1"/>
  <c r="AK88" i="37" s="1"/>
  <c r="AL88" i="37" s="1"/>
  <c r="AM88" i="37" s="1"/>
  <c r="AN88" i="37" s="1"/>
  <c r="AO88" i="37" s="1"/>
  <c r="AP88" i="37" s="1"/>
  <c r="AQ88" i="37" s="1"/>
  <c r="AR88" i="37" s="1"/>
  <c r="AS88" i="37" s="1"/>
  <c r="AT88" i="37" s="1"/>
  <c r="AU88" i="37" s="1"/>
  <c r="AV88" i="37" s="1"/>
  <c r="AW88" i="37" s="1"/>
  <c r="AX88" i="37" s="1"/>
  <c r="AY88" i="37" s="1"/>
  <c r="AZ88" i="37" s="1"/>
  <c r="K104" i="37"/>
  <c r="H726" i="36" s="1"/>
  <c r="AB114" i="37"/>
  <c r="AC114" i="37" s="1"/>
  <c r="AD114" i="37" s="1"/>
  <c r="AE114" i="37" s="1"/>
  <c r="AF114" i="37" s="1"/>
  <c r="AG114" i="37" s="1"/>
  <c r="AH114" i="37" s="1"/>
  <c r="AI114" i="37" s="1"/>
  <c r="AJ114" i="37" s="1"/>
  <c r="AK114" i="37" s="1"/>
  <c r="AL114" i="37" s="1"/>
  <c r="AM114" i="37" s="1"/>
  <c r="AN114" i="37" s="1"/>
  <c r="AO114" i="37" s="1"/>
  <c r="K57" i="37"/>
  <c r="H737" i="36" s="1"/>
  <c r="AH81" i="37"/>
  <c r="AI81" i="37" s="1"/>
  <c r="AJ81" i="37" s="1"/>
  <c r="K96" i="37"/>
  <c r="H687" i="36" s="1"/>
  <c r="K78" i="37"/>
  <c r="H684" i="36" s="1"/>
  <c r="K80" i="37"/>
  <c r="H722" i="36" s="1"/>
  <c r="K109" i="37"/>
  <c r="H708" i="36" s="1"/>
  <c r="K28" i="37" l="1"/>
  <c r="H751" i="36" s="1"/>
  <c r="K84" i="37"/>
  <c r="H685" i="36" s="1"/>
  <c r="K115" i="37"/>
  <c r="H709" i="36" s="1"/>
  <c r="K37" i="37"/>
  <c r="H696" i="36" s="1"/>
  <c r="K90" i="37"/>
  <c r="H686" i="36" s="1"/>
  <c r="K31" i="37"/>
  <c r="H695" i="36" s="1"/>
  <c r="K111" i="37"/>
  <c r="H746" i="36" s="1"/>
  <c r="K81" i="37"/>
  <c r="H741" i="36" s="1"/>
  <c r="K34" i="37"/>
  <c r="H752" i="36" s="1"/>
  <c r="K118" i="37"/>
  <c r="H766" i="36" s="1"/>
  <c r="K76" i="37"/>
  <c r="H759" i="36" s="1"/>
  <c r="K60" i="37"/>
  <c r="H681" i="36" s="1"/>
  <c r="K24" i="37"/>
  <c r="H675" i="36" s="1"/>
  <c r="K8" i="37"/>
  <c r="H710" i="36" s="1"/>
  <c r="K36" i="37"/>
  <c r="H677" i="36" s="1"/>
  <c r="K38" i="37"/>
  <c r="H715" i="36" s="1"/>
  <c r="K16" i="37"/>
  <c r="H749" i="36" s="1"/>
  <c r="K117" i="37"/>
  <c r="H747" i="36" s="1"/>
  <c r="K51" i="37"/>
  <c r="H736" i="36" s="1"/>
  <c r="K91" i="37"/>
  <c r="H705" i="36" s="1"/>
  <c r="K110" i="37"/>
  <c r="H727" i="36" s="1"/>
  <c r="K26" i="37"/>
  <c r="H713" i="36" s="1"/>
  <c r="K114" i="37"/>
  <c r="H690" i="36" s="1"/>
  <c r="K33" i="37"/>
  <c r="H733" i="36" s="1"/>
  <c r="K92" i="37"/>
  <c r="H724" i="36" s="1"/>
  <c r="K116" i="37"/>
  <c r="H728" i="36" s="1"/>
  <c r="K93" i="37"/>
  <c r="H743" i="36" s="1"/>
  <c r="K99" i="37"/>
  <c r="H744" i="36" s="1"/>
  <c r="K13" i="37"/>
  <c r="H692" i="36" s="1"/>
  <c r="K88" i="37"/>
  <c r="H761" i="36" s="1"/>
  <c r="K82" i="37"/>
  <c r="H760" i="36" s="1"/>
  <c r="B291" i="36" l="1"/>
  <c r="H291" i="36" s="1"/>
  <c r="B290" i="36"/>
  <c r="H290" i="36" s="1"/>
  <c r="B289" i="36"/>
  <c r="H289" i="36" s="1"/>
  <c r="B288" i="36"/>
  <c r="H288" i="36" s="1"/>
  <c r="B287" i="36"/>
  <c r="H287" i="36" s="1"/>
  <c r="B286" i="36"/>
  <c r="H286" i="36" s="1"/>
  <c r="B285" i="36"/>
  <c r="H285" i="36" s="1"/>
  <c r="B284" i="36"/>
  <c r="H284" i="36" s="1"/>
  <c r="B283" i="36"/>
  <c r="H283" i="36" s="1"/>
  <c r="B282" i="36"/>
  <c r="H282" i="36" s="1"/>
  <c r="B281" i="36"/>
  <c r="H281" i="36" s="1"/>
  <c r="B280" i="36"/>
  <c r="H280" i="36" s="1"/>
  <c r="B279" i="36"/>
  <c r="H279" i="36" s="1"/>
  <c r="B278" i="36"/>
  <c r="H278" i="36" s="1"/>
  <c r="B277" i="36"/>
  <c r="H277" i="36" s="1"/>
  <c r="B276" i="36"/>
  <c r="H276" i="36" s="1"/>
  <c r="B274" i="36"/>
  <c r="H274" i="36" s="1"/>
  <c r="B273" i="36"/>
  <c r="H273" i="36" s="1"/>
  <c r="B272" i="36"/>
  <c r="H272" i="36" s="1"/>
  <c r="B271" i="36"/>
  <c r="H271" i="36" s="1"/>
  <c r="B270" i="36"/>
  <c r="H270" i="36" s="1"/>
  <c r="B269" i="36"/>
  <c r="H269" i="36" s="1"/>
  <c r="B268" i="36"/>
  <c r="H268" i="36" s="1"/>
  <c r="B267" i="36"/>
  <c r="H267" i="36" s="1"/>
  <c r="B266" i="36"/>
  <c r="H266" i="36" s="1"/>
  <c r="B265" i="36"/>
  <c r="H265" i="36" s="1"/>
  <c r="B264" i="36"/>
  <c r="H264" i="36" s="1"/>
  <c r="B263" i="36"/>
  <c r="H263" i="36" s="1"/>
  <c r="B262" i="36"/>
  <c r="H262" i="36" s="1"/>
  <c r="B261" i="36"/>
  <c r="H261" i="36" s="1"/>
  <c r="B260" i="36"/>
  <c r="H260" i="36" s="1"/>
  <c r="B259" i="36"/>
  <c r="H259" i="36" s="1"/>
  <c r="B258" i="36"/>
  <c r="H258" i="36" s="1"/>
  <c r="B257" i="36"/>
  <c r="H257" i="36" s="1"/>
  <c r="B255" i="36"/>
  <c r="H255" i="36" s="1"/>
  <c r="B254" i="36"/>
  <c r="H254" i="36" s="1"/>
  <c r="B253" i="36"/>
  <c r="H253" i="36" s="1"/>
  <c r="B252" i="36"/>
  <c r="H252" i="36" s="1"/>
  <c r="B251" i="36"/>
  <c r="H251" i="36" s="1"/>
  <c r="B250" i="36"/>
  <c r="H250" i="36" s="1"/>
  <c r="B249" i="36"/>
  <c r="H249" i="36" s="1"/>
  <c r="B248" i="36"/>
  <c r="H248" i="36" s="1"/>
  <c r="B247" i="36"/>
  <c r="H247" i="36" s="1"/>
  <c r="B246" i="36"/>
  <c r="H246" i="36" s="1"/>
  <c r="B245" i="36"/>
  <c r="H245" i="36" s="1"/>
  <c r="B244" i="36"/>
  <c r="H244" i="36" s="1"/>
  <c r="B243" i="36"/>
  <c r="H243" i="36" s="1"/>
  <c r="B242" i="36"/>
  <c r="H242" i="36" s="1"/>
  <c r="B241" i="36"/>
  <c r="H241" i="36" s="1"/>
  <c r="B240" i="36"/>
  <c r="H240" i="36" s="1"/>
  <c r="B239" i="36"/>
  <c r="H239" i="36" s="1"/>
  <c r="B238" i="36"/>
  <c r="H238" i="36" s="1"/>
  <c r="B236" i="36"/>
  <c r="H236" i="36" s="1"/>
  <c r="B235" i="36"/>
  <c r="H235" i="36" s="1"/>
  <c r="B234" i="36"/>
  <c r="H234" i="36" s="1"/>
  <c r="B233" i="36"/>
  <c r="H233" i="36" s="1"/>
  <c r="B232" i="36"/>
  <c r="H232" i="36" s="1"/>
  <c r="B231" i="36"/>
  <c r="H231" i="36" s="1"/>
  <c r="B230" i="36"/>
  <c r="H230" i="36" s="1"/>
  <c r="B229" i="36"/>
  <c r="H229" i="36" s="1"/>
  <c r="B228" i="36"/>
  <c r="H228" i="36" s="1"/>
  <c r="B227" i="36"/>
  <c r="H227" i="36" s="1"/>
  <c r="B226" i="36"/>
  <c r="H226" i="36" s="1"/>
  <c r="B225" i="36"/>
  <c r="H225" i="36" s="1"/>
  <c r="B224" i="36"/>
  <c r="H224" i="36" s="1"/>
  <c r="B223" i="36"/>
  <c r="H223" i="36" s="1"/>
  <c r="B222" i="36"/>
  <c r="H222" i="36" s="1"/>
  <c r="B221" i="36"/>
  <c r="H221" i="36" s="1"/>
  <c r="B220" i="36"/>
  <c r="H220" i="36" s="1"/>
  <c r="B219" i="36"/>
  <c r="H219" i="36" s="1"/>
  <c r="B217" i="36"/>
  <c r="H217" i="36" s="1"/>
  <c r="B216" i="36"/>
  <c r="H216" i="36" s="1"/>
  <c r="B215" i="36"/>
  <c r="H215" i="36" s="1"/>
  <c r="B214" i="36"/>
  <c r="H214" i="36" s="1"/>
  <c r="B213" i="36"/>
  <c r="H213" i="36" s="1"/>
  <c r="B212" i="36"/>
  <c r="H212" i="36" s="1"/>
  <c r="B211" i="36"/>
  <c r="H211" i="36" s="1"/>
  <c r="B210" i="36"/>
  <c r="H210" i="36" s="1"/>
  <c r="B209" i="36"/>
  <c r="H209" i="36" s="1"/>
  <c r="B208" i="36"/>
  <c r="H208" i="36" s="1"/>
  <c r="B207" i="36"/>
  <c r="H207" i="36" s="1"/>
  <c r="B206" i="36"/>
  <c r="H206" i="36" s="1"/>
  <c r="B205" i="36"/>
  <c r="H205" i="36" s="1"/>
  <c r="B204" i="36"/>
  <c r="H204" i="36" s="1"/>
  <c r="B203" i="36"/>
  <c r="H203" i="36" s="1"/>
  <c r="B202" i="36"/>
  <c r="H202" i="36" s="1"/>
  <c r="B201" i="36"/>
  <c r="H201" i="36" s="1"/>
  <c r="B200" i="36"/>
  <c r="H200" i="36" s="1"/>
  <c r="B198" i="36"/>
  <c r="H198" i="36" s="1"/>
  <c r="B197" i="36"/>
  <c r="H197" i="36" s="1"/>
  <c r="AC104" i="33" l="1"/>
  <c r="AD104" i="33" s="1"/>
  <c r="AE104" i="33" s="1"/>
  <c r="AF104" i="33" s="1"/>
  <c r="AG104" i="33" s="1"/>
  <c r="AH104" i="33" s="1"/>
  <c r="AI104" i="33" s="1"/>
  <c r="AJ104" i="33" s="1"/>
  <c r="AK104" i="33" s="1"/>
  <c r="AL104" i="33" s="1"/>
  <c r="AM104" i="33" s="1"/>
  <c r="AN104" i="33" s="1"/>
  <c r="AO104" i="33" s="1"/>
  <c r="AP104" i="33" s="1"/>
  <c r="AQ104" i="33" s="1"/>
  <c r="AC103" i="33"/>
  <c r="AD103" i="33" s="1"/>
  <c r="AE103" i="33" s="1"/>
  <c r="AF103" i="33" s="1"/>
  <c r="AG103" i="33" s="1"/>
  <c r="AH103" i="33" s="1"/>
  <c r="AI103" i="33" s="1"/>
  <c r="AJ103" i="33" s="1"/>
  <c r="AK103" i="33" s="1"/>
  <c r="AL103" i="33" s="1"/>
  <c r="AM103" i="33" s="1"/>
  <c r="AN103" i="33" s="1"/>
  <c r="N105" i="33"/>
  <c r="O105" i="33" s="1"/>
  <c r="P105" i="33" s="1"/>
  <c r="Q105" i="33" s="1"/>
  <c r="R105" i="33" s="1"/>
  <c r="S105" i="33" s="1"/>
  <c r="T105" i="33" s="1"/>
  <c r="U105" i="33" s="1"/>
  <c r="V105" i="33" s="1"/>
  <c r="W105" i="33" s="1"/>
  <c r="X105" i="33" s="1"/>
  <c r="Y105" i="33" s="1"/>
  <c r="Z105" i="33" s="1"/>
  <c r="AA105" i="33" s="1"/>
  <c r="AB105" i="33" s="1"/>
  <c r="AC105" i="33" s="1"/>
  <c r="AD105" i="33" s="1"/>
  <c r="AE105" i="33" s="1"/>
  <c r="AF105" i="33" s="1"/>
  <c r="AG105" i="33" s="1"/>
  <c r="AH105" i="33" s="1"/>
  <c r="AI105" i="33" s="1"/>
  <c r="AJ105" i="33" s="1"/>
  <c r="AK105" i="33" s="1"/>
  <c r="AL105" i="33" s="1"/>
  <c r="AM105" i="33" s="1"/>
  <c r="AN105" i="33" s="1"/>
  <c r="AO105" i="33" s="1"/>
  <c r="AP105" i="33" s="1"/>
  <c r="AQ105" i="33" s="1"/>
  <c r="AR105" i="33" s="1"/>
  <c r="AS105" i="33" s="1"/>
  <c r="AT105" i="33" s="1"/>
  <c r="AI107" i="33"/>
  <c r="AJ107" i="33" s="1"/>
  <c r="AK107" i="33" s="1"/>
  <c r="AL107" i="33" s="1"/>
  <c r="AM107" i="33" s="1"/>
  <c r="AN107" i="33" s="1"/>
  <c r="AO107" i="33" s="1"/>
  <c r="AP107" i="33" s="1"/>
  <c r="AQ107" i="33" s="1"/>
  <c r="AR107" i="33" s="1"/>
  <c r="AS107" i="33" s="1"/>
  <c r="AT107" i="33" s="1"/>
  <c r="AU107" i="33" s="1"/>
  <c r="AV107" i="33" s="1"/>
  <c r="AW107" i="33" s="1"/>
  <c r="AX107" i="33" s="1"/>
  <c r="AY107" i="33" s="1"/>
  <c r="AZ107" i="33" s="1"/>
  <c r="BA107" i="33" s="1"/>
  <c r="BB107" i="33" s="1"/>
  <c r="BC107" i="33" s="1"/>
  <c r="BD107" i="33" s="1"/>
  <c r="BE107" i="33" s="1"/>
  <c r="BF107" i="33" s="1"/>
  <c r="BG107" i="33" s="1"/>
  <c r="BH107" i="33" s="1"/>
  <c r="BI107" i="33" s="1"/>
  <c r="BJ107" i="33" s="1"/>
  <c r="BK107" i="33" s="1"/>
  <c r="BL107" i="33" s="1"/>
  <c r="AI106" i="33" l="1"/>
  <c r="AJ106" i="33" s="1"/>
  <c r="K107" i="33"/>
  <c r="H954" i="36" s="1"/>
  <c r="K105" i="33"/>
  <c r="H916" i="36" s="1"/>
  <c r="K104" i="33"/>
  <c r="H897" i="36" s="1"/>
  <c r="K103" i="33"/>
  <c r="H878" i="36" s="1"/>
  <c r="AK106" i="33" l="1"/>
  <c r="AL106" i="33" s="1"/>
  <c r="AM106" i="33" s="1"/>
  <c r="AN106" i="33" s="1"/>
  <c r="AO106" i="33" s="1"/>
  <c r="AP106" i="33" s="1"/>
  <c r="AQ106" i="33" s="1"/>
  <c r="AR106" i="33" s="1"/>
  <c r="AS106" i="33" s="1"/>
  <c r="AT106" i="33" s="1"/>
  <c r="AU106" i="33" s="1"/>
  <c r="AV106" i="33" s="1"/>
  <c r="K106" i="33" l="1"/>
  <c r="H935" i="36" s="1"/>
  <c r="AC116" i="33" l="1"/>
  <c r="AC110" i="33"/>
  <c r="AD110" i="33" s="1"/>
  <c r="AE110" i="33" s="1"/>
  <c r="AF110" i="33" s="1"/>
  <c r="AG110" i="33" s="1"/>
  <c r="AH110" i="33" s="1"/>
  <c r="AI110" i="33" s="1"/>
  <c r="AJ110" i="33" s="1"/>
  <c r="AK110" i="33" s="1"/>
  <c r="AL110" i="33" s="1"/>
  <c r="AM110" i="33" s="1"/>
  <c r="AN110" i="33" s="1"/>
  <c r="AO110" i="33" s="1"/>
  <c r="AP110" i="33" s="1"/>
  <c r="AQ110" i="33" s="1"/>
  <c r="AR110" i="33" s="1"/>
  <c r="AS110" i="33" s="1"/>
  <c r="AC98" i="33"/>
  <c r="AD98" i="33" s="1"/>
  <c r="AE98" i="33" s="1"/>
  <c r="AF98" i="33" s="1"/>
  <c r="AG98" i="33" s="1"/>
  <c r="AH98" i="33" s="1"/>
  <c r="AI98" i="33" s="1"/>
  <c r="AJ98" i="33" s="1"/>
  <c r="AK98" i="33" s="1"/>
  <c r="AL98" i="33" s="1"/>
  <c r="AM98" i="33" s="1"/>
  <c r="AN98" i="33" s="1"/>
  <c r="AC92" i="33"/>
  <c r="AD92" i="33" s="1"/>
  <c r="AE92" i="33" s="1"/>
  <c r="AF92" i="33" s="1"/>
  <c r="AG92" i="33" s="1"/>
  <c r="AH92" i="33" s="1"/>
  <c r="AI92" i="33" s="1"/>
  <c r="AJ92" i="33" s="1"/>
  <c r="AK92" i="33" s="1"/>
  <c r="AL92" i="33" s="1"/>
  <c r="AC86" i="33"/>
  <c r="AC80" i="33"/>
  <c r="AC74" i="33"/>
  <c r="AC68" i="33"/>
  <c r="AC62" i="33"/>
  <c r="AD62" i="33" s="1"/>
  <c r="AE62" i="33" s="1"/>
  <c r="AF62" i="33" s="1"/>
  <c r="AG62" i="33" s="1"/>
  <c r="AH62" i="33" s="1"/>
  <c r="AI62" i="33" s="1"/>
  <c r="AJ62" i="33" s="1"/>
  <c r="AK62" i="33" s="1"/>
  <c r="AL62" i="33" s="1"/>
  <c r="AM62" i="33" s="1"/>
  <c r="AN62" i="33" s="1"/>
  <c r="AO62" i="33" s="1"/>
  <c r="AP62" i="33" s="1"/>
  <c r="AQ62" i="33" s="1"/>
  <c r="AR62" i="33" s="1"/>
  <c r="AS62" i="33" s="1"/>
  <c r="AT62" i="33" s="1"/>
  <c r="AU62" i="33" s="1"/>
  <c r="AV62" i="33" s="1"/>
  <c r="AC56" i="33"/>
  <c r="AD56" i="33" s="1"/>
  <c r="AE56" i="33" s="1"/>
  <c r="AF56" i="33" s="1"/>
  <c r="AG56" i="33" s="1"/>
  <c r="AH56" i="33" s="1"/>
  <c r="AI56" i="33" s="1"/>
  <c r="AJ56" i="33" s="1"/>
  <c r="AK56" i="33" s="1"/>
  <c r="AL56" i="33" s="1"/>
  <c r="AM56" i="33" s="1"/>
  <c r="AN56" i="33" s="1"/>
  <c r="AO56" i="33" s="1"/>
  <c r="AP56" i="33" s="1"/>
  <c r="AQ56" i="33" s="1"/>
  <c r="AR56" i="33" s="1"/>
  <c r="AS56" i="33" s="1"/>
  <c r="AC50" i="33"/>
  <c r="AD50" i="33" s="1"/>
  <c r="AE50" i="33" s="1"/>
  <c r="AF50" i="33" s="1"/>
  <c r="AG50" i="33" s="1"/>
  <c r="AH50" i="33" s="1"/>
  <c r="AI50" i="33" s="1"/>
  <c r="AJ50" i="33" s="1"/>
  <c r="AK50" i="33" s="1"/>
  <c r="AL50" i="33" s="1"/>
  <c r="AM50" i="33" s="1"/>
  <c r="AN50" i="33" s="1"/>
  <c r="AO50" i="33" s="1"/>
  <c r="AP50" i="33" s="1"/>
  <c r="AC44" i="33"/>
  <c r="AD44" i="33" s="1"/>
  <c r="AE44" i="33" s="1"/>
  <c r="AF44" i="33" s="1"/>
  <c r="AG44" i="33" s="1"/>
  <c r="AH44" i="33" s="1"/>
  <c r="AI44" i="33" s="1"/>
  <c r="AJ44" i="33" s="1"/>
  <c r="AK44" i="33" s="1"/>
  <c r="AL44" i="33" s="1"/>
  <c r="AM44" i="33" s="1"/>
  <c r="AN44" i="33" s="1"/>
  <c r="AC38" i="33"/>
  <c r="AD38" i="33" s="1"/>
  <c r="AE38" i="33" s="1"/>
  <c r="AF38" i="33" s="1"/>
  <c r="AG38" i="33" s="1"/>
  <c r="AH38" i="33" s="1"/>
  <c r="AI38" i="33" s="1"/>
  <c r="AJ38" i="33" s="1"/>
  <c r="AK38" i="33" s="1"/>
  <c r="AL38" i="33" s="1"/>
  <c r="AC32" i="33"/>
  <c r="AD32" i="33" s="1"/>
  <c r="AE32" i="33" s="1"/>
  <c r="AF32" i="33" s="1"/>
  <c r="AG32" i="33" s="1"/>
  <c r="AH32" i="33" s="1"/>
  <c r="AI32" i="33" s="1"/>
  <c r="AJ32" i="33" s="1"/>
  <c r="AC26" i="33"/>
  <c r="AD26" i="33" s="1"/>
  <c r="AE26" i="33" s="1"/>
  <c r="AF26" i="33" s="1"/>
  <c r="AG26" i="33" s="1"/>
  <c r="AH26" i="33" s="1"/>
  <c r="AC14" i="33"/>
  <c r="AD14" i="33" s="1"/>
  <c r="AE14" i="33" s="1"/>
  <c r="AC8" i="33"/>
  <c r="K8" i="33" s="1"/>
  <c r="H881" i="36" s="1"/>
  <c r="K70" i="33"/>
  <c r="H929" i="36" s="1"/>
  <c r="K10" i="33"/>
  <c r="H919" i="36" s="1"/>
  <c r="AI118" i="33"/>
  <c r="AJ118" i="33" s="1"/>
  <c r="AK118" i="33" s="1"/>
  <c r="AL118" i="33" s="1"/>
  <c r="AM118" i="33" s="1"/>
  <c r="AN118" i="33" s="1"/>
  <c r="AO118" i="33" s="1"/>
  <c r="AP118" i="33" s="1"/>
  <c r="AQ118" i="33" s="1"/>
  <c r="AR118" i="33" s="1"/>
  <c r="AS118" i="33" s="1"/>
  <c r="AT118" i="33" s="1"/>
  <c r="AU118" i="33" s="1"/>
  <c r="AV118" i="33" s="1"/>
  <c r="AW118" i="33" s="1"/>
  <c r="AX118" i="33" s="1"/>
  <c r="AY118" i="33" s="1"/>
  <c r="AZ118" i="33" s="1"/>
  <c r="AI112" i="33"/>
  <c r="AJ112" i="33" s="1"/>
  <c r="AK112" i="33" s="1"/>
  <c r="AL112" i="33" s="1"/>
  <c r="AM112" i="33" s="1"/>
  <c r="AN112" i="33" s="1"/>
  <c r="AO112" i="33" s="1"/>
  <c r="AP112" i="33" s="1"/>
  <c r="AQ112" i="33" s="1"/>
  <c r="AR112" i="33" s="1"/>
  <c r="AS112" i="33" s="1"/>
  <c r="AT112" i="33" s="1"/>
  <c r="AU112" i="33" s="1"/>
  <c r="AV112" i="33" s="1"/>
  <c r="AW112" i="33" s="1"/>
  <c r="AI100" i="33"/>
  <c r="AJ100" i="33" s="1"/>
  <c r="AK100" i="33" s="1"/>
  <c r="AL100" i="33" s="1"/>
  <c r="AM100" i="33" s="1"/>
  <c r="AN100" i="33" s="1"/>
  <c r="AO100" i="33" s="1"/>
  <c r="AP100" i="33" s="1"/>
  <c r="AQ100" i="33" s="1"/>
  <c r="AR100" i="33" s="1"/>
  <c r="AS100" i="33" s="1"/>
  <c r="AT100" i="33" s="1"/>
  <c r="AI94" i="33"/>
  <c r="AJ94" i="33" s="1"/>
  <c r="AK94" i="33" s="1"/>
  <c r="AL94" i="33" s="1"/>
  <c r="AM94" i="33" s="1"/>
  <c r="AN94" i="33" s="1"/>
  <c r="AO94" i="33" s="1"/>
  <c r="AP94" i="33" s="1"/>
  <c r="AQ94" i="33" s="1"/>
  <c r="AR94" i="33" s="1"/>
  <c r="AI88" i="33"/>
  <c r="AJ88" i="33" s="1"/>
  <c r="AK88" i="33" s="1"/>
  <c r="AL88" i="33" s="1"/>
  <c r="AM88" i="33" s="1"/>
  <c r="AN88" i="33" s="1"/>
  <c r="AO88" i="33" s="1"/>
  <c r="AI82" i="33"/>
  <c r="AJ82" i="33" s="1"/>
  <c r="AK82" i="33" s="1"/>
  <c r="AL82" i="33" s="1"/>
  <c r="AM82" i="33" s="1"/>
  <c r="AI76" i="33"/>
  <c r="AJ76" i="33" s="1"/>
  <c r="AI64" i="33"/>
  <c r="AJ64" i="33" s="1"/>
  <c r="AK64" i="33" s="1"/>
  <c r="AL64" i="33" s="1"/>
  <c r="AM64" i="33" s="1"/>
  <c r="AN64" i="33" s="1"/>
  <c r="AO64" i="33" s="1"/>
  <c r="AP64" i="33" s="1"/>
  <c r="AQ64" i="33" s="1"/>
  <c r="AR64" i="33" s="1"/>
  <c r="AS64" i="33" s="1"/>
  <c r="AT64" i="33" s="1"/>
  <c r="AU64" i="33" s="1"/>
  <c r="AV64" i="33" s="1"/>
  <c r="AW64" i="33" s="1"/>
  <c r="AX64" i="33" s="1"/>
  <c r="AY64" i="33" s="1"/>
  <c r="AZ64" i="33" s="1"/>
  <c r="AI58" i="33"/>
  <c r="AJ58" i="33" s="1"/>
  <c r="AK58" i="33" s="1"/>
  <c r="AL58" i="33" s="1"/>
  <c r="AM58" i="33" s="1"/>
  <c r="AN58" i="33" s="1"/>
  <c r="AO58" i="33" s="1"/>
  <c r="AP58" i="33" s="1"/>
  <c r="AQ58" i="33" s="1"/>
  <c r="AR58" i="33" s="1"/>
  <c r="AS58" i="33" s="1"/>
  <c r="AT58" i="33" s="1"/>
  <c r="AU58" i="33" s="1"/>
  <c r="AV58" i="33" s="1"/>
  <c r="AW58" i="33" s="1"/>
  <c r="AI52" i="33"/>
  <c r="AJ52" i="33" s="1"/>
  <c r="AK52" i="33" s="1"/>
  <c r="AL52" i="33" s="1"/>
  <c r="AM52" i="33" s="1"/>
  <c r="AN52" i="33" s="1"/>
  <c r="AO52" i="33" s="1"/>
  <c r="AP52" i="33" s="1"/>
  <c r="AQ52" i="33" s="1"/>
  <c r="AR52" i="33" s="1"/>
  <c r="AS52" i="33" s="1"/>
  <c r="AT52" i="33" s="1"/>
  <c r="AU52" i="33" s="1"/>
  <c r="AI46" i="33"/>
  <c r="AJ46" i="33" s="1"/>
  <c r="AK46" i="33" s="1"/>
  <c r="AL46" i="33" s="1"/>
  <c r="AM46" i="33" s="1"/>
  <c r="AI40" i="33"/>
  <c r="AJ40" i="33" s="1"/>
  <c r="AK40" i="33" s="1"/>
  <c r="AL40" i="33" s="1"/>
  <c r="AM40" i="33" s="1"/>
  <c r="AN40" i="33" s="1"/>
  <c r="AO40" i="33" s="1"/>
  <c r="AI34" i="33"/>
  <c r="AJ34" i="33" s="1"/>
  <c r="AK34" i="33" s="1"/>
  <c r="AL34" i="33" s="1"/>
  <c r="AM34" i="33" s="1"/>
  <c r="AI28" i="33"/>
  <c r="AJ28" i="33" s="1"/>
  <c r="AK28" i="33" s="1"/>
  <c r="AI16" i="33"/>
  <c r="K16" i="33" s="1"/>
  <c r="H920" i="36" s="1"/>
  <c r="K67" i="33"/>
  <c r="H872" i="36" s="1"/>
  <c r="K7" i="33"/>
  <c r="H862" i="36" s="1"/>
  <c r="AC115" i="33"/>
  <c r="AC109" i="33"/>
  <c r="AC97" i="33"/>
  <c r="AD97" i="33" s="1"/>
  <c r="AE97" i="33" s="1"/>
  <c r="AF97" i="33" s="1"/>
  <c r="AG97" i="33" s="1"/>
  <c r="AH97" i="33" s="1"/>
  <c r="AI97" i="33" s="1"/>
  <c r="AJ97" i="33" s="1"/>
  <c r="AK97" i="33" s="1"/>
  <c r="AL97" i="33" s="1"/>
  <c r="AC91" i="33"/>
  <c r="AD91" i="33" s="1"/>
  <c r="AE91" i="33" s="1"/>
  <c r="AF91" i="33" s="1"/>
  <c r="AG91" i="33" s="1"/>
  <c r="AH91" i="33" s="1"/>
  <c r="AI91" i="33" s="1"/>
  <c r="AJ91" i="33" s="1"/>
  <c r="AC85" i="33"/>
  <c r="AC79" i="33"/>
  <c r="AC73" i="33"/>
  <c r="K73" i="33" s="1"/>
  <c r="H873" i="36" s="1"/>
  <c r="AC61" i="33"/>
  <c r="AD61" i="33" s="1"/>
  <c r="AE61" i="33" s="1"/>
  <c r="AF61" i="33" s="1"/>
  <c r="AG61" i="33" s="1"/>
  <c r="AH61" i="33" s="1"/>
  <c r="AI61" i="33" s="1"/>
  <c r="AJ61" i="33" s="1"/>
  <c r="AK61" i="33" s="1"/>
  <c r="AL61" i="33" s="1"/>
  <c r="AM61" i="33" s="1"/>
  <c r="AN61" i="33" s="1"/>
  <c r="AO61" i="33" s="1"/>
  <c r="AP61" i="33" s="1"/>
  <c r="AQ61" i="33" s="1"/>
  <c r="AR61" i="33" s="1"/>
  <c r="AS61" i="33" s="1"/>
  <c r="AC55" i="33"/>
  <c r="AD55" i="33" s="1"/>
  <c r="AE55" i="33" s="1"/>
  <c r="AF55" i="33" s="1"/>
  <c r="AG55" i="33" s="1"/>
  <c r="AH55" i="33" s="1"/>
  <c r="AI55" i="33" s="1"/>
  <c r="AJ55" i="33" s="1"/>
  <c r="AK55" i="33" s="1"/>
  <c r="AL55" i="33" s="1"/>
  <c r="AM55" i="33" s="1"/>
  <c r="AN55" i="33" s="1"/>
  <c r="AO55" i="33" s="1"/>
  <c r="AP55" i="33" s="1"/>
  <c r="AC49" i="33"/>
  <c r="AD49" i="33" s="1"/>
  <c r="AE49" i="33" s="1"/>
  <c r="AF49" i="33" s="1"/>
  <c r="AG49" i="33" s="1"/>
  <c r="AH49" i="33" s="1"/>
  <c r="AI49" i="33" s="1"/>
  <c r="AJ49" i="33" s="1"/>
  <c r="AK49" i="33" s="1"/>
  <c r="AL49" i="33" s="1"/>
  <c r="AM49" i="33" s="1"/>
  <c r="AN49" i="33" s="1"/>
  <c r="AC43" i="33"/>
  <c r="AD43" i="33" s="1"/>
  <c r="AE43" i="33" s="1"/>
  <c r="AF43" i="33" s="1"/>
  <c r="AG43" i="33" s="1"/>
  <c r="AH43" i="33" s="1"/>
  <c r="AI43" i="33" s="1"/>
  <c r="AJ43" i="33" s="1"/>
  <c r="AK43" i="33" s="1"/>
  <c r="AL43" i="33" s="1"/>
  <c r="AC37" i="33"/>
  <c r="AD37" i="33" s="1"/>
  <c r="AE37" i="33" s="1"/>
  <c r="AF37" i="33" s="1"/>
  <c r="AG37" i="33" s="1"/>
  <c r="AH37" i="33" s="1"/>
  <c r="AI37" i="33" s="1"/>
  <c r="AJ37" i="33" s="1"/>
  <c r="AC31" i="33"/>
  <c r="AD31" i="33" s="1"/>
  <c r="AE31" i="33" s="1"/>
  <c r="AF31" i="33" s="1"/>
  <c r="AG31" i="33" s="1"/>
  <c r="AH31" i="33" s="1"/>
  <c r="AC25" i="33"/>
  <c r="AD25" i="33" s="1"/>
  <c r="AE25" i="33" s="1"/>
  <c r="AF25" i="33" s="1"/>
  <c r="AC13" i="33"/>
  <c r="K13" i="33" s="1"/>
  <c r="H863" i="36" s="1"/>
  <c r="N117" i="33"/>
  <c r="O117" i="33" s="1"/>
  <c r="P117" i="33" s="1"/>
  <c r="Q117" i="33" s="1"/>
  <c r="R117" i="33" s="1"/>
  <c r="S117" i="33" s="1"/>
  <c r="T117" i="33" s="1"/>
  <c r="U117" i="33" s="1"/>
  <c r="V117" i="33" s="1"/>
  <c r="W117" i="33" s="1"/>
  <c r="X117" i="33" s="1"/>
  <c r="Y117" i="33" s="1"/>
  <c r="Z117" i="33" s="1"/>
  <c r="AA117" i="33" s="1"/>
  <c r="AB117" i="33" s="1"/>
  <c r="AC117" i="33" s="1"/>
  <c r="AD117" i="33" s="1"/>
  <c r="AE117" i="33" s="1"/>
  <c r="AF117" i="33" s="1"/>
  <c r="AG117" i="33" s="1"/>
  <c r="AH117" i="33" s="1"/>
  <c r="AI117" i="33" s="1"/>
  <c r="AJ117" i="33" s="1"/>
  <c r="AK117" i="33" s="1"/>
  <c r="AL117" i="33" s="1"/>
  <c r="AM117" i="33" s="1"/>
  <c r="AN117" i="33" s="1"/>
  <c r="AO117" i="33" s="1"/>
  <c r="AP117" i="33" s="1"/>
  <c r="AQ117" i="33" s="1"/>
  <c r="AR117" i="33" s="1"/>
  <c r="AS117" i="33" s="1"/>
  <c r="AT117" i="33" s="1"/>
  <c r="AU117" i="33" s="1"/>
  <c r="AV117" i="33" s="1"/>
  <c r="AW117" i="33" s="1"/>
  <c r="N111" i="33"/>
  <c r="O111" i="33" s="1"/>
  <c r="P111" i="33" s="1"/>
  <c r="Q111" i="33" s="1"/>
  <c r="R111" i="33" s="1"/>
  <c r="S111" i="33" s="1"/>
  <c r="T111" i="33" s="1"/>
  <c r="U111" i="33" s="1"/>
  <c r="V111" i="33" s="1"/>
  <c r="W111" i="33" s="1"/>
  <c r="X111" i="33" s="1"/>
  <c r="Y111" i="33" s="1"/>
  <c r="Z111" i="33" s="1"/>
  <c r="AA111" i="33" s="1"/>
  <c r="AB111" i="33" s="1"/>
  <c r="AC111" i="33" s="1"/>
  <c r="AD111" i="33" s="1"/>
  <c r="AE111" i="33" s="1"/>
  <c r="AF111" i="33" s="1"/>
  <c r="AG111" i="33" s="1"/>
  <c r="AH111" i="33" s="1"/>
  <c r="AI111" i="33" s="1"/>
  <c r="AJ111" i="33" s="1"/>
  <c r="AK111" i="33" s="1"/>
  <c r="AL111" i="33" s="1"/>
  <c r="AM111" i="33" s="1"/>
  <c r="AN111" i="33" s="1"/>
  <c r="AO111" i="33" s="1"/>
  <c r="AP111" i="33" s="1"/>
  <c r="AQ111" i="33" s="1"/>
  <c r="AR111" i="33" s="1"/>
  <c r="AS111" i="33" s="1"/>
  <c r="AT111" i="33" s="1"/>
  <c r="AU111" i="33" s="1"/>
  <c r="N99" i="33"/>
  <c r="N93" i="33"/>
  <c r="O93" i="33" s="1"/>
  <c r="P93" i="33" s="1"/>
  <c r="Q93" i="33" s="1"/>
  <c r="R93" i="33" s="1"/>
  <c r="S93" i="33" s="1"/>
  <c r="T93" i="33" s="1"/>
  <c r="U93" i="33" s="1"/>
  <c r="V93" i="33" s="1"/>
  <c r="W93" i="33" s="1"/>
  <c r="X93" i="33" s="1"/>
  <c r="Y93" i="33" s="1"/>
  <c r="Z93" i="33" s="1"/>
  <c r="AA93" i="33" s="1"/>
  <c r="AB93" i="33" s="1"/>
  <c r="AC93" i="33" s="1"/>
  <c r="AD93" i="33" s="1"/>
  <c r="AE93" i="33" s="1"/>
  <c r="AF93" i="33" s="1"/>
  <c r="N87" i="33"/>
  <c r="O87" i="33" s="1"/>
  <c r="P87" i="33" s="1"/>
  <c r="Q87" i="33" s="1"/>
  <c r="R87" i="33" s="1"/>
  <c r="S87" i="33" s="1"/>
  <c r="T87" i="33" s="1"/>
  <c r="U87" i="33" s="1"/>
  <c r="V87" i="33" s="1"/>
  <c r="W87" i="33" s="1"/>
  <c r="X87" i="33" s="1"/>
  <c r="Y87" i="33" s="1"/>
  <c r="Z87" i="33" s="1"/>
  <c r="AA87" i="33" s="1"/>
  <c r="AB87" i="33" s="1"/>
  <c r="AC87" i="33" s="1"/>
  <c r="AD87" i="33" s="1"/>
  <c r="AE87" i="33" s="1"/>
  <c r="AF87" i="33" s="1"/>
  <c r="AG87" i="33" s="1"/>
  <c r="AH87" i="33" s="1"/>
  <c r="AI87" i="33" s="1"/>
  <c r="AJ87" i="33" s="1"/>
  <c r="AK87" i="33" s="1"/>
  <c r="AL87" i="33" s="1"/>
  <c r="AM87" i="33" s="1"/>
  <c r="N81" i="33"/>
  <c r="O81" i="33" s="1"/>
  <c r="P81" i="33" s="1"/>
  <c r="Q81" i="33" s="1"/>
  <c r="R81" i="33" s="1"/>
  <c r="S81" i="33" s="1"/>
  <c r="T81" i="33" s="1"/>
  <c r="U81" i="33" s="1"/>
  <c r="V81" i="33" s="1"/>
  <c r="W81" i="33" s="1"/>
  <c r="X81" i="33" s="1"/>
  <c r="Y81" i="33" s="1"/>
  <c r="Z81" i="33" s="1"/>
  <c r="AA81" i="33" s="1"/>
  <c r="AB81" i="33" s="1"/>
  <c r="AC81" i="33" s="1"/>
  <c r="AD81" i="33" s="1"/>
  <c r="AE81" i="33" s="1"/>
  <c r="AF81" i="33" s="1"/>
  <c r="AG81" i="33" s="1"/>
  <c r="AH81" i="33" s="1"/>
  <c r="AI81" i="33" s="1"/>
  <c r="AJ81" i="33" s="1"/>
  <c r="AK81" i="33" s="1"/>
  <c r="N75" i="33"/>
  <c r="O75" i="33" s="1"/>
  <c r="P75" i="33" s="1"/>
  <c r="Q75" i="33" s="1"/>
  <c r="R75" i="33" s="1"/>
  <c r="S75" i="33" s="1"/>
  <c r="T75" i="33" s="1"/>
  <c r="U75" i="33" s="1"/>
  <c r="V75" i="33" s="1"/>
  <c r="W75" i="33" s="1"/>
  <c r="X75" i="33" s="1"/>
  <c r="Y75" i="33" s="1"/>
  <c r="Z75" i="33" s="1"/>
  <c r="AA75" i="33" s="1"/>
  <c r="AB75" i="33" s="1"/>
  <c r="AC75" i="33" s="1"/>
  <c r="AD75" i="33" s="1"/>
  <c r="AE75" i="33" s="1"/>
  <c r="AF75" i="33" s="1"/>
  <c r="AG75" i="33" s="1"/>
  <c r="AH75" i="33" s="1"/>
  <c r="N69" i="33"/>
  <c r="O69" i="33" s="1"/>
  <c r="P69" i="33" s="1"/>
  <c r="Q69" i="33" s="1"/>
  <c r="R69" i="33" s="1"/>
  <c r="S69" i="33" s="1"/>
  <c r="T69" i="33" s="1"/>
  <c r="U69" i="33" s="1"/>
  <c r="V69" i="33" s="1"/>
  <c r="W69" i="33" s="1"/>
  <c r="X69" i="33" s="1"/>
  <c r="Y69" i="33" s="1"/>
  <c r="Z69" i="33" s="1"/>
  <c r="AA69" i="33" s="1"/>
  <c r="AB69" i="33" s="1"/>
  <c r="AC69" i="33" s="1"/>
  <c r="AD69" i="33" s="1"/>
  <c r="AE69" i="33" s="1"/>
  <c r="AF69" i="33" s="1"/>
  <c r="N63" i="33"/>
  <c r="N57" i="33"/>
  <c r="O57" i="33" s="1"/>
  <c r="P57" i="33" s="1"/>
  <c r="Q57" i="33" s="1"/>
  <c r="R57" i="33" s="1"/>
  <c r="S57" i="33" s="1"/>
  <c r="T57" i="33" s="1"/>
  <c r="U57" i="33" s="1"/>
  <c r="V57" i="33" s="1"/>
  <c r="W57" i="33" s="1"/>
  <c r="X57" i="33" s="1"/>
  <c r="Y57" i="33" s="1"/>
  <c r="Z57" i="33" s="1"/>
  <c r="AA57" i="33" s="1"/>
  <c r="AB57" i="33" s="1"/>
  <c r="AC57" i="33" s="1"/>
  <c r="AD57" i="33" s="1"/>
  <c r="AE57" i="33" s="1"/>
  <c r="AF57" i="33" s="1"/>
  <c r="AG57" i="33" s="1"/>
  <c r="AH57" i="33" s="1"/>
  <c r="AI57" i="33" s="1"/>
  <c r="AJ57" i="33" s="1"/>
  <c r="AK57" i="33" s="1"/>
  <c r="AL57" i="33" s="1"/>
  <c r="AM57" i="33" s="1"/>
  <c r="AN57" i="33" s="1"/>
  <c r="AO57" i="33" s="1"/>
  <c r="AP57" i="33" s="1"/>
  <c r="AQ57" i="33" s="1"/>
  <c r="AR57" i="33" s="1"/>
  <c r="AS57" i="33" s="1"/>
  <c r="AT57" i="33" s="1"/>
  <c r="AU57" i="33" s="1"/>
  <c r="N51" i="33"/>
  <c r="N45" i="33"/>
  <c r="O45" i="33" s="1"/>
  <c r="P45" i="33" s="1"/>
  <c r="Q45" i="33" s="1"/>
  <c r="R45" i="33" s="1"/>
  <c r="S45" i="33" s="1"/>
  <c r="T45" i="33" s="1"/>
  <c r="U45" i="33" s="1"/>
  <c r="V45" i="33" s="1"/>
  <c r="W45" i="33" s="1"/>
  <c r="X45" i="33" s="1"/>
  <c r="Y45" i="33" s="1"/>
  <c r="Z45" i="33" s="1"/>
  <c r="AA45" i="33" s="1"/>
  <c r="AB45" i="33" s="1"/>
  <c r="AC45" i="33" s="1"/>
  <c r="AD45" i="33" s="1"/>
  <c r="AE45" i="33" s="1"/>
  <c r="AF45" i="33" s="1"/>
  <c r="N39" i="33"/>
  <c r="O39" i="33" s="1"/>
  <c r="P39" i="33" s="1"/>
  <c r="Q39" i="33" s="1"/>
  <c r="R39" i="33" s="1"/>
  <c r="S39" i="33" s="1"/>
  <c r="T39" i="33" s="1"/>
  <c r="U39" i="33" s="1"/>
  <c r="V39" i="33" s="1"/>
  <c r="W39" i="33" s="1"/>
  <c r="X39" i="33" s="1"/>
  <c r="Y39" i="33" s="1"/>
  <c r="Z39" i="33" s="1"/>
  <c r="AA39" i="33" s="1"/>
  <c r="AB39" i="33" s="1"/>
  <c r="AC39" i="33" s="1"/>
  <c r="AD39" i="33" s="1"/>
  <c r="AE39" i="33" s="1"/>
  <c r="AF39" i="33" s="1"/>
  <c r="AG39" i="33" s="1"/>
  <c r="AH39" i="33" s="1"/>
  <c r="AI39" i="33" s="1"/>
  <c r="AJ39" i="33" s="1"/>
  <c r="AK39" i="33" s="1"/>
  <c r="AL39" i="33" s="1"/>
  <c r="AM39" i="33" s="1"/>
  <c r="N33" i="33"/>
  <c r="O33" i="33" s="1"/>
  <c r="P33" i="33" s="1"/>
  <c r="Q33" i="33" s="1"/>
  <c r="R33" i="33" s="1"/>
  <c r="S33" i="33" s="1"/>
  <c r="T33" i="33" s="1"/>
  <c r="U33" i="33" s="1"/>
  <c r="V33" i="33" s="1"/>
  <c r="W33" i="33" s="1"/>
  <c r="X33" i="33" s="1"/>
  <c r="Y33" i="33" s="1"/>
  <c r="Z33" i="33" s="1"/>
  <c r="AA33" i="33" s="1"/>
  <c r="AB33" i="33" s="1"/>
  <c r="AC33" i="33" s="1"/>
  <c r="AD33" i="33" s="1"/>
  <c r="AE33" i="33" s="1"/>
  <c r="AF33" i="33" s="1"/>
  <c r="AG33" i="33" s="1"/>
  <c r="AH33" i="33" s="1"/>
  <c r="AI33" i="33" s="1"/>
  <c r="AJ33" i="33" s="1"/>
  <c r="AK33" i="33" s="1"/>
  <c r="N27" i="33"/>
  <c r="N15" i="33"/>
  <c r="O15" i="33" s="1"/>
  <c r="P15" i="33" s="1"/>
  <c r="Q15" i="33" s="1"/>
  <c r="R15" i="33" s="1"/>
  <c r="S15" i="33" s="1"/>
  <c r="T15" i="33" s="1"/>
  <c r="U15" i="33" s="1"/>
  <c r="V15" i="33" s="1"/>
  <c r="W15" i="33" s="1"/>
  <c r="X15" i="33" s="1"/>
  <c r="Y15" i="33" s="1"/>
  <c r="Z15" i="33" s="1"/>
  <c r="AA15" i="33" s="1"/>
  <c r="AB15" i="33" s="1"/>
  <c r="AC15" i="33" s="1"/>
  <c r="AD15" i="33" s="1"/>
  <c r="AE15" i="33" s="1"/>
  <c r="AF15" i="33" s="1"/>
  <c r="AG15" i="33" s="1"/>
  <c r="N9" i="33"/>
  <c r="O9" i="33" s="1"/>
  <c r="P9" i="33" s="1"/>
  <c r="Q9" i="33" s="1"/>
  <c r="R9" i="33" s="1"/>
  <c r="S9" i="33" s="1"/>
  <c r="T9" i="33" s="1"/>
  <c r="U9" i="33" s="1"/>
  <c r="V9" i="33" s="1"/>
  <c r="W9" i="33" s="1"/>
  <c r="X9" i="33" s="1"/>
  <c r="Y9" i="33" s="1"/>
  <c r="Z9" i="33" s="1"/>
  <c r="AA9" i="33" s="1"/>
  <c r="AB9" i="33" s="1"/>
  <c r="AC9" i="33" s="1"/>
  <c r="AD9" i="33" s="1"/>
  <c r="AE9" i="33" s="1"/>
  <c r="AI119" i="33"/>
  <c r="AJ119" i="33" s="1"/>
  <c r="AK119" i="33" s="1"/>
  <c r="AL119" i="33" s="1"/>
  <c r="AM119" i="33" s="1"/>
  <c r="AN119" i="33" s="1"/>
  <c r="AO119" i="33" s="1"/>
  <c r="AP119" i="33" s="1"/>
  <c r="AQ119" i="33" s="1"/>
  <c r="AR119" i="33" s="1"/>
  <c r="AS119" i="33" s="1"/>
  <c r="AT119" i="33" s="1"/>
  <c r="AU119" i="33" s="1"/>
  <c r="AV119" i="33" s="1"/>
  <c r="AW119" i="33" s="1"/>
  <c r="AX119" i="33" s="1"/>
  <c r="AY119" i="33" s="1"/>
  <c r="AZ119" i="33" s="1"/>
  <c r="BA119" i="33" s="1"/>
  <c r="BB119" i="33" s="1"/>
  <c r="BC119" i="33" s="1"/>
  <c r="BD119" i="33" s="1"/>
  <c r="BE119" i="33" s="1"/>
  <c r="BF119" i="33" s="1"/>
  <c r="BG119" i="33" s="1"/>
  <c r="BH119" i="33" s="1"/>
  <c r="BI119" i="33" s="1"/>
  <c r="BJ119" i="33" s="1"/>
  <c r="BK119" i="33" s="1"/>
  <c r="BL119" i="33" s="1"/>
  <c r="BM119" i="33" s="1"/>
  <c r="BN119" i="33" s="1"/>
  <c r="BO119" i="33" s="1"/>
  <c r="BP119" i="33" s="1"/>
  <c r="AI113" i="33"/>
  <c r="AJ113" i="33" s="1"/>
  <c r="AK113" i="33" s="1"/>
  <c r="AL113" i="33" s="1"/>
  <c r="AM113" i="33" s="1"/>
  <c r="AN113" i="33" s="1"/>
  <c r="AO113" i="33" s="1"/>
  <c r="AP113" i="33" s="1"/>
  <c r="AQ113" i="33" s="1"/>
  <c r="AR113" i="33" s="1"/>
  <c r="AS113" i="33" s="1"/>
  <c r="AT113" i="33" s="1"/>
  <c r="AU113" i="33" s="1"/>
  <c r="AV113" i="33" s="1"/>
  <c r="AW113" i="33" s="1"/>
  <c r="AX113" i="33" s="1"/>
  <c r="AY113" i="33" s="1"/>
  <c r="AZ113" i="33" s="1"/>
  <c r="BA113" i="33" s="1"/>
  <c r="BB113" i="33" s="1"/>
  <c r="BC113" i="33" s="1"/>
  <c r="BD113" i="33" s="1"/>
  <c r="BE113" i="33" s="1"/>
  <c r="BF113" i="33" s="1"/>
  <c r="BG113" i="33" s="1"/>
  <c r="BH113" i="33" s="1"/>
  <c r="BI113" i="33" s="1"/>
  <c r="BJ113" i="33" s="1"/>
  <c r="BK113" i="33" s="1"/>
  <c r="BL113" i="33" s="1"/>
  <c r="BM113" i="33" s="1"/>
  <c r="BN113" i="33" s="1"/>
  <c r="AI101" i="33"/>
  <c r="AJ101" i="33" s="1"/>
  <c r="AK101" i="33" s="1"/>
  <c r="AL101" i="33" s="1"/>
  <c r="AM101" i="33" s="1"/>
  <c r="AN101" i="33" s="1"/>
  <c r="AO101" i="33" s="1"/>
  <c r="AP101" i="33" s="1"/>
  <c r="AQ101" i="33" s="1"/>
  <c r="AR101" i="33" s="1"/>
  <c r="AS101" i="33" s="1"/>
  <c r="AT101" i="33" s="1"/>
  <c r="AU101" i="33" s="1"/>
  <c r="AV101" i="33" s="1"/>
  <c r="AW101" i="33" s="1"/>
  <c r="AX101" i="33" s="1"/>
  <c r="AY101" i="33" s="1"/>
  <c r="AZ101" i="33" s="1"/>
  <c r="BA101" i="33" s="1"/>
  <c r="BB101" i="33" s="1"/>
  <c r="BC101" i="33" s="1"/>
  <c r="BD101" i="33" s="1"/>
  <c r="BE101" i="33" s="1"/>
  <c r="BF101" i="33" s="1"/>
  <c r="BG101" i="33" s="1"/>
  <c r="BH101" i="33" s="1"/>
  <c r="BI101" i="33" s="1"/>
  <c r="BJ101" i="33" s="1"/>
  <c r="AI95" i="33"/>
  <c r="AJ95" i="33" s="1"/>
  <c r="AK95" i="33" s="1"/>
  <c r="AL95" i="33" s="1"/>
  <c r="AM95" i="33" s="1"/>
  <c r="AN95" i="33" s="1"/>
  <c r="AO95" i="33" s="1"/>
  <c r="AP95" i="33" s="1"/>
  <c r="AQ95" i="33" s="1"/>
  <c r="AR95" i="33" s="1"/>
  <c r="AS95" i="33" s="1"/>
  <c r="AT95" i="33" s="1"/>
  <c r="AU95" i="33" s="1"/>
  <c r="AV95" i="33" s="1"/>
  <c r="AW95" i="33" s="1"/>
  <c r="AX95" i="33" s="1"/>
  <c r="AY95" i="33" s="1"/>
  <c r="AZ95" i="33" s="1"/>
  <c r="BA95" i="33" s="1"/>
  <c r="BB95" i="33" s="1"/>
  <c r="BC95" i="33" s="1"/>
  <c r="BD95" i="33" s="1"/>
  <c r="BE95" i="33" s="1"/>
  <c r="BF95" i="33" s="1"/>
  <c r="BG95" i="33" s="1"/>
  <c r="BH95" i="33" s="1"/>
  <c r="AI89" i="33"/>
  <c r="AJ89" i="33" s="1"/>
  <c r="AK89" i="33" s="1"/>
  <c r="AL89" i="33" s="1"/>
  <c r="AM89" i="33" s="1"/>
  <c r="AN89" i="33" s="1"/>
  <c r="AO89" i="33" s="1"/>
  <c r="AP89" i="33" s="1"/>
  <c r="AQ89" i="33" s="1"/>
  <c r="AR89" i="33" s="1"/>
  <c r="AS89" i="33" s="1"/>
  <c r="AT89" i="33" s="1"/>
  <c r="AU89" i="33" s="1"/>
  <c r="AV89" i="33" s="1"/>
  <c r="AW89" i="33" s="1"/>
  <c r="AX89" i="33" s="1"/>
  <c r="AY89" i="33" s="1"/>
  <c r="AZ89" i="33" s="1"/>
  <c r="BA89" i="33" s="1"/>
  <c r="BB89" i="33" s="1"/>
  <c r="BC89" i="33" s="1"/>
  <c r="BD89" i="33" s="1"/>
  <c r="BE89" i="33" s="1"/>
  <c r="AI83" i="33"/>
  <c r="AJ83" i="33" s="1"/>
  <c r="AK83" i="33" s="1"/>
  <c r="AL83" i="33" s="1"/>
  <c r="AM83" i="33" s="1"/>
  <c r="AN83" i="33" s="1"/>
  <c r="AO83" i="33" s="1"/>
  <c r="AP83" i="33" s="1"/>
  <c r="AQ83" i="33" s="1"/>
  <c r="AR83" i="33" s="1"/>
  <c r="AS83" i="33" s="1"/>
  <c r="AT83" i="33" s="1"/>
  <c r="AU83" i="33" s="1"/>
  <c r="AV83" i="33" s="1"/>
  <c r="AW83" i="33" s="1"/>
  <c r="AX83" i="33" s="1"/>
  <c r="AY83" i="33" s="1"/>
  <c r="AZ83" i="33" s="1"/>
  <c r="BA83" i="33" s="1"/>
  <c r="BB83" i="33" s="1"/>
  <c r="BC83" i="33" s="1"/>
  <c r="AI77" i="33"/>
  <c r="AJ77" i="33" s="1"/>
  <c r="AK77" i="33" s="1"/>
  <c r="AL77" i="33" s="1"/>
  <c r="AM77" i="33" s="1"/>
  <c r="AN77" i="33" s="1"/>
  <c r="AO77" i="33" s="1"/>
  <c r="AP77" i="33" s="1"/>
  <c r="AQ77" i="33" s="1"/>
  <c r="AR77" i="33" s="1"/>
  <c r="AS77" i="33" s="1"/>
  <c r="AT77" i="33" s="1"/>
  <c r="AU77" i="33" s="1"/>
  <c r="AV77" i="33" s="1"/>
  <c r="AW77" i="33" s="1"/>
  <c r="AX77" i="33" s="1"/>
  <c r="AY77" i="33" s="1"/>
  <c r="AZ77" i="33" s="1"/>
  <c r="BA77" i="33" s="1"/>
  <c r="AI71" i="33"/>
  <c r="AJ71" i="33" s="1"/>
  <c r="AK71" i="33" s="1"/>
  <c r="AL71" i="33" s="1"/>
  <c r="AM71" i="33" s="1"/>
  <c r="AN71" i="33" s="1"/>
  <c r="AO71" i="33" s="1"/>
  <c r="AP71" i="33" s="1"/>
  <c r="AQ71" i="33" s="1"/>
  <c r="AR71" i="33" s="1"/>
  <c r="AS71" i="33" s="1"/>
  <c r="AT71" i="33" s="1"/>
  <c r="AU71" i="33" s="1"/>
  <c r="AV71" i="33" s="1"/>
  <c r="AW71" i="33" s="1"/>
  <c r="AX71" i="33" s="1"/>
  <c r="AY71" i="33" s="1"/>
  <c r="AI65" i="33"/>
  <c r="AJ65" i="33" s="1"/>
  <c r="AK65" i="33" s="1"/>
  <c r="AL65" i="33" s="1"/>
  <c r="AM65" i="33" s="1"/>
  <c r="AN65" i="33" s="1"/>
  <c r="AO65" i="33" s="1"/>
  <c r="AP65" i="33" s="1"/>
  <c r="AQ65" i="33" s="1"/>
  <c r="AR65" i="33" s="1"/>
  <c r="AS65" i="33" s="1"/>
  <c r="AT65" i="33" s="1"/>
  <c r="AU65" i="33" s="1"/>
  <c r="AV65" i="33" s="1"/>
  <c r="AW65" i="33" s="1"/>
  <c r="AX65" i="33" s="1"/>
  <c r="AY65" i="33" s="1"/>
  <c r="AZ65" i="33" s="1"/>
  <c r="BA65" i="33" s="1"/>
  <c r="BB65" i="33" s="1"/>
  <c r="BC65" i="33" s="1"/>
  <c r="BD65" i="33" s="1"/>
  <c r="BE65" i="33" s="1"/>
  <c r="BF65" i="33" s="1"/>
  <c r="BG65" i="33" s="1"/>
  <c r="BH65" i="33" s="1"/>
  <c r="BI65" i="33" s="1"/>
  <c r="BJ65" i="33" s="1"/>
  <c r="BK65" i="33" s="1"/>
  <c r="BL65" i="33" s="1"/>
  <c r="BM65" i="33" s="1"/>
  <c r="BN65" i="33" s="1"/>
  <c r="BO65" i="33" s="1"/>
  <c r="BP65" i="33" s="1"/>
  <c r="BQ65" i="33" s="1"/>
  <c r="AI59" i="33"/>
  <c r="AJ59" i="33" s="1"/>
  <c r="AK59" i="33" s="1"/>
  <c r="AL59" i="33" s="1"/>
  <c r="AM59" i="33" s="1"/>
  <c r="AN59" i="33" s="1"/>
  <c r="AO59" i="33" s="1"/>
  <c r="AP59" i="33" s="1"/>
  <c r="AQ59" i="33" s="1"/>
  <c r="AR59" i="33" s="1"/>
  <c r="AS59" i="33" s="1"/>
  <c r="AT59" i="33" s="1"/>
  <c r="AU59" i="33" s="1"/>
  <c r="AV59" i="33" s="1"/>
  <c r="AW59" i="33" s="1"/>
  <c r="AX59" i="33" s="1"/>
  <c r="AY59" i="33" s="1"/>
  <c r="AZ59" i="33" s="1"/>
  <c r="BA59" i="33" s="1"/>
  <c r="BB59" i="33" s="1"/>
  <c r="BC59" i="33" s="1"/>
  <c r="BD59" i="33" s="1"/>
  <c r="BE59" i="33" s="1"/>
  <c r="BF59" i="33" s="1"/>
  <c r="BG59" i="33" s="1"/>
  <c r="BH59" i="33" s="1"/>
  <c r="BI59" i="33" s="1"/>
  <c r="BJ59" i="33" s="1"/>
  <c r="BK59" i="33" s="1"/>
  <c r="BL59" i="33" s="1"/>
  <c r="BM59" i="33" s="1"/>
  <c r="AI53" i="33"/>
  <c r="AJ53" i="33" s="1"/>
  <c r="AK53" i="33" s="1"/>
  <c r="AL53" i="33" s="1"/>
  <c r="AM53" i="33" s="1"/>
  <c r="AN53" i="33" s="1"/>
  <c r="AO53" i="33" s="1"/>
  <c r="AP53" i="33" s="1"/>
  <c r="AQ53" i="33" s="1"/>
  <c r="AR53" i="33" s="1"/>
  <c r="AS53" i="33" s="1"/>
  <c r="AT53" i="33" s="1"/>
  <c r="AU53" i="33" s="1"/>
  <c r="AV53" i="33" s="1"/>
  <c r="AW53" i="33" s="1"/>
  <c r="AX53" i="33" s="1"/>
  <c r="AY53" i="33" s="1"/>
  <c r="AZ53" i="33" s="1"/>
  <c r="BA53" i="33" s="1"/>
  <c r="BB53" i="33" s="1"/>
  <c r="BC53" i="33" s="1"/>
  <c r="BD53" i="33" s="1"/>
  <c r="BE53" i="33" s="1"/>
  <c r="BF53" i="33" s="1"/>
  <c r="BG53" i="33" s="1"/>
  <c r="BH53" i="33" s="1"/>
  <c r="BI53" i="33" s="1"/>
  <c r="BJ53" i="33" s="1"/>
  <c r="BK53" i="33" s="1"/>
  <c r="AI47" i="33"/>
  <c r="AJ47" i="33" s="1"/>
  <c r="AK47" i="33" s="1"/>
  <c r="AL47" i="33" s="1"/>
  <c r="AM47" i="33" s="1"/>
  <c r="AN47" i="33" s="1"/>
  <c r="AO47" i="33" s="1"/>
  <c r="AP47" i="33" s="1"/>
  <c r="AQ47" i="33" s="1"/>
  <c r="AR47" i="33" s="1"/>
  <c r="AS47" i="33" s="1"/>
  <c r="AT47" i="33" s="1"/>
  <c r="AU47" i="33" s="1"/>
  <c r="AV47" i="33" s="1"/>
  <c r="AW47" i="33" s="1"/>
  <c r="AX47" i="33" s="1"/>
  <c r="AY47" i="33" s="1"/>
  <c r="AZ47" i="33" s="1"/>
  <c r="BA47" i="33" s="1"/>
  <c r="BB47" i="33" s="1"/>
  <c r="BC47" i="33" s="1"/>
  <c r="BD47" i="33" s="1"/>
  <c r="BE47" i="33" s="1"/>
  <c r="BF47" i="33" s="1"/>
  <c r="BG47" i="33" s="1"/>
  <c r="BH47" i="33" s="1"/>
  <c r="BI47" i="33" s="1"/>
  <c r="AI41" i="33"/>
  <c r="AJ41" i="33" s="1"/>
  <c r="AK41" i="33" s="1"/>
  <c r="AL41" i="33" s="1"/>
  <c r="AM41" i="33" s="1"/>
  <c r="AN41" i="33" s="1"/>
  <c r="AO41" i="33" s="1"/>
  <c r="AP41" i="33" s="1"/>
  <c r="AQ41" i="33" s="1"/>
  <c r="AR41" i="33" s="1"/>
  <c r="AS41" i="33" s="1"/>
  <c r="AT41" i="33" s="1"/>
  <c r="AU41" i="33" s="1"/>
  <c r="AV41" i="33" s="1"/>
  <c r="AW41" i="33" s="1"/>
  <c r="AX41" i="33" s="1"/>
  <c r="AY41" i="33" s="1"/>
  <c r="AZ41" i="33" s="1"/>
  <c r="BA41" i="33" s="1"/>
  <c r="BB41" i="33" s="1"/>
  <c r="BC41" i="33" s="1"/>
  <c r="BD41" i="33" s="1"/>
  <c r="BE41" i="33" s="1"/>
  <c r="BF41" i="33" s="1"/>
  <c r="AI35" i="33"/>
  <c r="AJ35" i="33" s="1"/>
  <c r="AK35" i="33" s="1"/>
  <c r="AL35" i="33" s="1"/>
  <c r="AM35" i="33" s="1"/>
  <c r="AN35" i="33" s="1"/>
  <c r="AO35" i="33" s="1"/>
  <c r="AP35" i="33" s="1"/>
  <c r="AQ35" i="33" s="1"/>
  <c r="AR35" i="33" s="1"/>
  <c r="AS35" i="33" s="1"/>
  <c r="AT35" i="33" s="1"/>
  <c r="AU35" i="33" s="1"/>
  <c r="AV35" i="33" s="1"/>
  <c r="AW35" i="33" s="1"/>
  <c r="AX35" i="33" s="1"/>
  <c r="AY35" i="33" s="1"/>
  <c r="AZ35" i="33" s="1"/>
  <c r="BA35" i="33" s="1"/>
  <c r="BB35" i="33" s="1"/>
  <c r="BC35" i="33" s="1"/>
  <c r="BD35" i="33" s="1"/>
  <c r="AI29" i="33"/>
  <c r="AJ29" i="33" s="1"/>
  <c r="AK29" i="33" s="1"/>
  <c r="AL29" i="33" s="1"/>
  <c r="AM29" i="33" s="1"/>
  <c r="AN29" i="33" s="1"/>
  <c r="AO29" i="33" s="1"/>
  <c r="AP29" i="33" s="1"/>
  <c r="AQ29" i="33" s="1"/>
  <c r="AR29" i="33" s="1"/>
  <c r="AS29" i="33" s="1"/>
  <c r="AT29" i="33" s="1"/>
  <c r="AU29" i="33" s="1"/>
  <c r="AV29" i="33" s="1"/>
  <c r="AW29" i="33" s="1"/>
  <c r="AX29" i="33" s="1"/>
  <c r="AY29" i="33" s="1"/>
  <c r="AZ29" i="33" s="1"/>
  <c r="BA29" i="33" s="1"/>
  <c r="BB29" i="33" s="1"/>
  <c r="AI17" i="33"/>
  <c r="AJ17" i="33" s="1"/>
  <c r="AK17" i="33" s="1"/>
  <c r="AL17" i="33" s="1"/>
  <c r="AM17" i="33" s="1"/>
  <c r="AN17" i="33" s="1"/>
  <c r="AO17" i="33" s="1"/>
  <c r="AP17" i="33" s="1"/>
  <c r="AQ17" i="33" s="1"/>
  <c r="AR17" i="33" s="1"/>
  <c r="AS17" i="33" s="1"/>
  <c r="AT17" i="33" s="1"/>
  <c r="AU17" i="33" s="1"/>
  <c r="AV17" i="33" s="1"/>
  <c r="AW17" i="33" s="1"/>
  <c r="AX17" i="33" s="1"/>
  <c r="AY17" i="33" s="1"/>
  <c r="AZ17" i="33" s="1"/>
  <c r="AI11" i="33"/>
  <c r="AJ11" i="33" s="1"/>
  <c r="AK11" i="33" s="1"/>
  <c r="AL11" i="33" s="1"/>
  <c r="AM11" i="33" s="1"/>
  <c r="AN11" i="33" s="1"/>
  <c r="AO11" i="33" s="1"/>
  <c r="AP11" i="33" s="1"/>
  <c r="AQ11" i="33" s="1"/>
  <c r="AR11" i="33" s="1"/>
  <c r="AS11" i="33" s="1"/>
  <c r="AT11" i="33" s="1"/>
  <c r="AU11" i="33" s="1"/>
  <c r="AV11" i="33" s="1"/>
  <c r="AW11" i="33" s="1"/>
  <c r="AX11" i="33" s="1"/>
  <c r="K68" i="33" l="1"/>
  <c r="H891" i="36" s="1"/>
  <c r="AD116" i="33"/>
  <c r="AE116" i="33" s="1"/>
  <c r="AF116" i="33" s="1"/>
  <c r="AG116" i="33" s="1"/>
  <c r="AH116" i="33" s="1"/>
  <c r="AI116" i="33" s="1"/>
  <c r="AJ116" i="33" s="1"/>
  <c r="AK116" i="33" s="1"/>
  <c r="AL116" i="33" s="1"/>
  <c r="AM116" i="33" s="1"/>
  <c r="AN116" i="33" s="1"/>
  <c r="AO116" i="33" s="1"/>
  <c r="AP116" i="33" s="1"/>
  <c r="AQ116" i="33" s="1"/>
  <c r="AR116" i="33" s="1"/>
  <c r="AS116" i="33" s="1"/>
  <c r="AT116" i="33" s="1"/>
  <c r="AU116" i="33" s="1"/>
  <c r="AV116" i="33" s="1"/>
  <c r="K14" i="33"/>
  <c r="H882" i="36" s="1"/>
  <c r="K44" i="33"/>
  <c r="H887" i="36" s="1"/>
  <c r="K92" i="33"/>
  <c r="H895" i="36" s="1"/>
  <c r="AD74" i="33"/>
  <c r="AE74" i="33" s="1"/>
  <c r="AF74" i="33" s="1"/>
  <c r="K26" i="33"/>
  <c r="H884" i="36" s="1"/>
  <c r="K50" i="33"/>
  <c r="H888" i="36" s="1"/>
  <c r="K98" i="33"/>
  <c r="H896" i="36" s="1"/>
  <c r="AD80" i="33"/>
  <c r="AE80" i="33" s="1"/>
  <c r="AF80" i="33" s="1"/>
  <c r="AG80" i="33" s="1"/>
  <c r="AH80" i="33" s="1"/>
  <c r="K32" i="33"/>
  <c r="H885" i="36" s="1"/>
  <c r="K56" i="33"/>
  <c r="H889" i="36" s="1"/>
  <c r="K110" i="33"/>
  <c r="H898" i="36" s="1"/>
  <c r="AD86" i="33"/>
  <c r="AE86" i="33" s="1"/>
  <c r="AF86" i="33" s="1"/>
  <c r="AG86" i="33" s="1"/>
  <c r="AH86" i="33" s="1"/>
  <c r="AI86" i="33" s="1"/>
  <c r="AJ86" i="33" s="1"/>
  <c r="K38" i="33"/>
  <c r="H886" i="36" s="1"/>
  <c r="K62" i="33"/>
  <c r="H890" i="36" s="1"/>
  <c r="AN46" i="33"/>
  <c r="AO46" i="33" s="1"/>
  <c r="AP46" i="33" s="1"/>
  <c r="AQ46" i="33" s="1"/>
  <c r="AR46" i="33" s="1"/>
  <c r="K28" i="33"/>
  <c r="H922" i="36" s="1"/>
  <c r="K52" i="33"/>
  <c r="H926" i="36" s="1"/>
  <c r="K100" i="33"/>
  <c r="H934" i="36" s="1"/>
  <c r="K34" i="33"/>
  <c r="H923" i="36" s="1"/>
  <c r="K58" i="33"/>
  <c r="H927" i="36" s="1"/>
  <c r="K82" i="33"/>
  <c r="H931" i="36" s="1"/>
  <c r="K112" i="33"/>
  <c r="H936" i="36" s="1"/>
  <c r="K94" i="33"/>
  <c r="H933" i="36" s="1"/>
  <c r="K76" i="33"/>
  <c r="H930" i="36" s="1"/>
  <c r="AD79" i="33"/>
  <c r="AE79" i="33" s="1"/>
  <c r="AF79" i="33" s="1"/>
  <c r="K40" i="33"/>
  <c r="H924" i="36" s="1"/>
  <c r="K64" i="33"/>
  <c r="H928" i="36" s="1"/>
  <c r="K88" i="33"/>
  <c r="H932" i="36" s="1"/>
  <c r="K118" i="33"/>
  <c r="H937" i="36" s="1"/>
  <c r="K97" i="33"/>
  <c r="H877" i="36" s="1"/>
  <c r="K91" i="33"/>
  <c r="H876" i="36" s="1"/>
  <c r="K9" i="33"/>
  <c r="H900" i="36" s="1"/>
  <c r="O27" i="33"/>
  <c r="P27" i="33" s="1"/>
  <c r="Q27" i="33" s="1"/>
  <c r="R27" i="33" s="1"/>
  <c r="S27" i="33" s="1"/>
  <c r="T27" i="33" s="1"/>
  <c r="U27" i="33" s="1"/>
  <c r="V27" i="33" s="1"/>
  <c r="W27" i="33" s="1"/>
  <c r="X27" i="33" s="1"/>
  <c r="Y27" i="33" s="1"/>
  <c r="Z27" i="33" s="1"/>
  <c r="AA27" i="33" s="1"/>
  <c r="AB27" i="33" s="1"/>
  <c r="AC27" i="33" s="1"/>
  <c r="AD27" i="33" s="1"/>
  <c r="AE27" i="33" s="1"/>
  <c r="AF27" i="33" s="1"/>
  <c r="AG27" i="33" s="1"/>
  <c r="AH27" i="33" s="1"/>
  <c r="AI27" i="33" s="1"/>
  <c r="O63" i="33"/>
  <c r="P63" i="33" s="1"/>
  <c r="Q63" i="33" s="1"/>
  <c r="R63" i="33" s="1"/>
  <c r="S63" i="33" s="1"/>
  <c r="T63" i="33" s="1"/>
  <c r="U63" i="33" s="1"/>
  <c r="V63" i="33" s="1"/>
  <c r="W63" i="33" s="1"/>
  <c r="X63" i="33" s="1"/>
  <c r="Y63" i="33" s="1"/>
  <c r="Z63" i="33" s="1"/>
  <c r="AA63" i="33" s="1"/>
  <c r="AB63" i="33" s="1"/>
  <c r="AC63" i="33" s="1"/>
  <c r="AD63" i="33" s="1"/>
  <c r="AE63" i="33" s="1"/>
  <c r="AF63" i="33" s="1"/>
  <c r="AG63" i="33" s="1"/>
  <c r="AH63" i="33" s="1"/>
  <c r="AI63" i="33" s="1"/>
  <c r="AJ63" i="33" s="1"/>
  <c r="AK63" i="33" s="1"/>
  <c r="AL63" i="33" s="1"/>
  <c r="AM63" i="33" s="1"/>
  <c r="AN63" i="33" s="1"/>
  <c r="AO63" i="33" s="1"/>
  <c r="AP63" i="33" s="1"/>
  <c r="AQ63" i="33" s="1"/>
  <c r="AR63" i="33" s="1"/>
  <c r="AS63" i="33" s="1"/>
  <c r="AT63" i="33" s="1"/>
  <c r="AU63" i="33" s="1"/>
  <c r="AV63" i="33" s="1"/>
  <c r="AW63" i="33" s="1"/>
  <c r="AX63" i="33" s="1"/>
  <c r="AD85" i="33"/>
  <c r="AE85" i="33" s="1"/>
  <c r="AF85" i="33" s="1"/>
  <c r="AG85" i="33" s="1"/>
  <c r="AH85" i="33" s="1"/>
  <c r="K25" i="33"/>
  <c r="H865" i="36" s="1"/>
  <c r="K49" i="33"/>
  <c r="H869" i="36" s="1"/>
  <c r="K43" i="33"/>
  <c r="H868" i="36" s="1"/>
  <c r="AD109" i="33"/>
  <c r="AE109" i="33" s="1"/>
  <c r="AF109" i="33" s="1"/>
  <c r="AG109" i="33" s="1"/>
  <c r="AH109" i="33" s="1"/>
  <c r="AI109" i="33" s="1"/>
  <c r="AJ109" i="33" s="1"/>
  <c r="AK109" i="33" s="1"/>
  <c r="AL109" i="33" s="1"/>
  <c r="AM109" i="33" s="1"/>
  <c r="AN109" i="33" s="1"/>
  <c r="AO109" i="33" s="1"/>
  <c r="AP109" i="33" s="1"/>
  <c r="AQ109" i="33" s="1"/>
  <c r="K31" i="33"/>
  <c r="H866" i="36" s="1"/>
  <c r="K55" i="33"/>
  <c r="H870" i="36" s="1"/>
  <c r="K69" i="33"/>
  <c r="H910" i="36" s="1"/>
  <c r="AD115" i="33"/>
  <c r="AE115" i="33" s="1"/>
  <c r="AF115" i="33" s="1"/>
  <c r="AG115" i="33" s="1"/>
  <c r="AH115" i="33" s="1"/>
  <c r="AI115" i="33" s="1"/>
  <c r="AJ115" i="33" s="1"/>
  <c r="AK115" i="33" s="1"/>
  <c r="AL115" i="33" s="1"/>
  <c r="AM115" i="33" s="1"/>
  <c r="AN115" i="33" s="1"/>
  <c r="AO115" i="33" s="1"/>
  <c r="AP115" i="33" s="1"/>
  <c r="AQ115" i="33" s="1"/>
  <c r="AR115" i="33" s="1"/>
  <c r="AS115" i="33" s="1"/>
  <c r="K37" i="33"/>
  <c r="H867" i="36" s="1"/>
  <c r="K61" i="33"/>
  <c r="H871" i="36" s="1"/>
  <c r="AG93" i="33"/>
  <c r="AH93" i="33" s="1"/>
  <c r="AI93" i="33" s="1"/>
  <c r="AJ93" i="33" s="1"/>
  <c r="AK93" i="33" s="1"/>
  <c r="AL93" i="33" s="1"/>
  <c r="AM93" i="33" s="1"/>
  <c r="AN93" i="33" s="1"/>
  <c r="AO93" i="33" s="1"/>
  <c r="AG45" i="33"/>
  <c r="AH45" i="33" s="1"/>
  <c r="AI45" i="33" s="1"/>
  <c r="AJ45" i="33" s="1"/>
  <c r="AK45" i="33" s="1"/>
  <c r="AL45" i="33" s="1"/>
  <c r="AM45" i="33" s="1"/>
  <c r="AN45" i="33" s="1"/>
  <c r="AO45" i="33" s="1"/>
  <c r="AP45" i="33" s="1"/>
  <c r="K75" i="33"/>
  <c r="H911" i="36" s="1"/>
  <c r="K117" i="33"/>
  <c r="H918" i="36" s="1"/>
  <c r="K15" i="33"/>
  <c r="H901" i="36" s="1"/>
  <c r="O51" i="33"/>
  <c r="P51" i="33" s="1"/>
  <c r="Q51" i="33" s="1"/>
  <c r="R51" i="33" s="1"/>
  <c r="S51" i="33" s="1"/>
  <c r="T51" i="33" s="1"/>
  <c r="U51" i="33" s="1"/>
  <c r="V51" i="33" s="1"/>
  <c r="W51" i="33" s="1"/>
  <c r="X51" i="33" s="1"/>
  <c r="Y51" i="33" s="1"/>
  <c r="Z51" i="33" s="1"/>
  <c r="AA51" i="33" s="1"/>
  <c r="AB51" i="33" s="1"/>
  <c r="AC51" i="33" s="1"/>
  <c r="AD51" i="33" s="1"/>
  <c r="AE51" i="33" s="1"/>
  <c r="AF51" i="33" s="1"/>
  <c r="AG51" i="33" s="1"/>
  <c r="AH51" i="33" s="1"/>
  <c r="AI51" i="33" s="1"/>
  <c r="AJ51" i="33" s="1"/>
  <c r="AK51" i="33" s="1"/>
  <c r="AL51" i="33" s="1"/>
  <c r="AM51" i="33" s="1"/>
  <c r="AN51" i="33" s="1"/>
  <c r="AO51" i="33" s="1"/>
  <c r="AP51" i="33" s="1"/>
  <c r="AQ51" i="33" s="1"/>
  <c r="AR51" i="33" s="1"/>
  <c r="AS51" i="33" s="1"/>
  <c r="O99" i="33"/>
  <c r="P99" i="33" s="1"/>
  <c r="Q99" i="33" s="1"/>
  <c r="R99" i="33" s="1"/>
  <c r="S99" i="33" s="1"/>
  <c r="T99" i="33" s="1"/>
  <c r="U99" i="33" s="1"/>
  <c r="V99" i="33" s="1"/>
  <c r="W99" i="33" s="1"/>
  <c r="X99" i="33" s="1"/>
  <c r="Y99" i="33" s="1"/>
  <c r="Z99" i="33" s="1"/>
  <c r="AA99" i="33" s="1"/>
  <c r="AB99" i="33" s="1"/>
  <c r="AC99" i="33" s="1"/>
  <c r="AD99" i="33" s="1"/>
  <c r="AE99" i="33" s="1"/>
  <c r="AF99" i="33" s="1"/>
  <c r="AG99" i="33" s="1"/>
  <c r="AH99" i="33" s="1"/>
  <c r="AI99" i="33" s="1"/>
  <c r="AJ99" i="33" s="1"/>
  <c r="AK99" i="33" s="1"/>
  <c r="AL99" i="33" s="1"/>
  <c r="AM99" i="33" s="1"/>
  <c r="AN99" i="33" s="1"/>
  <c r="AO99" i="33" s="1"/>
  <c r="AP99" i="33" s="1"/>
  <c r="AQ99" i="33" s="1"/>
  <c r="AR99" i="33" s="1"/>
  <c r="K11" i="33"/>
  <c r="H938" i="36" s="1"/>
  <c r="K33" i="33"/>
  <c r="H904" i="36" s="1"/>
  <c r="K57" i="33"/>
  <c r="H908" i="36" s="1"/>
  <c r="K81" i="33"/>
  <c r="H912" i="36" s="1"/>
  <c r="K111" i="33"/>
  <c r="H917" i="36" s="1"/>
  <c r="K39" i="33"/>
  <c r="H905" i="36" s="1"/>
  <c r="K87" i="33"/>
  <c r="H913" i="36" s="1"/>
  <c r="K17" i="33"/>
  <c r="H939" i="36" s="1"/>
  <c r="K95" i="33"/>
  <c r="H952" i="36" s="1"/>
  <c r="K29" i="33"/>
  <c r="H941" i="36" s="1"/>
  <c r="K53" i="33"/>
  <c r="H945" i="36" s="1"/>
  <c r="K77" i="33"/>
  <c r="H949" i="36" s="1"/>
  <c r="K101" i="33"/>
  <c r="H953" i="36" s="1"/>
  <c r="K71" i="33"/>
  <c r="H948" i="36" s="1"/>
  <c r="K35" i="33"/>
  <c r="H942" i="36" s="1"/>
  <c r="K59" i="33"/>
  <c r="H946" i="36" s="1"/>
  <c r="K83" i="33"/>
  <c r="H950" i="36" s="1"/>
  <c r="K113" i="33"/>
  <c r="H955" i="36" s="1"/>
  <c r="K47" i="33"/>
  <c r="H944" i="36" s="1"/>
  <c r="K41" i="33"/>
  <c r="H943" i="36" s="1"/>
  <c r="K65" i="33"/>
  <c r="H947" i="36" s="1"/>
  <c r="K89" i="33"/>
  <c r="H951" i="36" s="1"/>
  <c r="K119" i="33"/>
  <c r="H956" i="36" s="1"/>
  <c r="J94" i="20"/>
  <c r="J93" i="20"/>
  <c r="H93" i="20"/>
  <c r="H95" i="20" s="1"/>
  <c r="G93" i="20"/>
  <c r="G94" i="20" s="1"/>
  <c r="G95" i="20" s="1"/>
  <c r="B93" i="20"/>
  <c r="B95" i="20" s="1"/>
  <c r="J92" i="20"/>
  <c r="J91" i="20"/>
  <c r="J90" i="20"/>
  <c r="J88" i="20"/>
  <c r="J87" i="20"/>
  <c r="H87" i="20"/>
  <c r="H89" i="20" s="1"/>
  <c r="G87" i="20"/>
  <c r="G88" i="20" s="1"/>
  <c r="G89" i="20" s="1"/>
  <c r="G90" i="20" s="1"/>
  <c r="G91" i="20" s="1"/>
  <c r="B87" i="20"/>
  <c r="B89" i="20" s="1"/>
  <c r="J86" i="20"/>
  <c r="J85" i="20"/>
  <c r="J84" i="20"/>
  <c r="J82" i="20"/>
  <c r="J81" i="20"/>
  <c r="H81" i="20"/>
  <c r="H83" i="20" s="1"/>
  <c r="G81" i="20"/>
  <c r="G82" i="20" s="1"/>
  <c r="G83" i="20" s="1"/>
  <c r="G84" i="20" s="1"/>
  <c r="G85" i="20" s="1"/>
  <c r="B81" i="20"/>
  <c r="B83" i="20" s="1"/>
  <c r="J80" i="20"/>
  <c r="J79" i="20"/>
  <c r="J78" i="20"/>
  <c r="J76" i="20"/>
  <c r="J75" i="20"/>
  <c r="H75" i="20"/>
  <c r="H77" i="20" s="1"/>
  <c r="G75" i="20"/>
  <c r="G76" i="20" s="1"/>
  <c r="G77" i="20" s="1"/>
  <c r="G78" i="20" s="1"/>
  <c r="G79" i="20" s="1"/>
  <c r="B75" i="20"/>
  <c r="B77" i="20" s="1"/>
  <c r="J74" i="20"/>
  <c r="J73" i="20"/>
  <c r="J72" i="20"/>
  <c r="J70" i="20"/>
  <c r="J69" i="20"/>
  <c r="H69" i="20"/>
  <c r="H71" i="20" s="1"/>
  <c r="G69" i="20"/>
  <c r="G70" i="20" s="1"/>
  <c r="G71" i="20" s="1"/>
  <c r="G72" i="20" s="1"/>
  <c r="G73" i="20" s="1"/>
  <c r="B69" i="20"/>
  <c r="B71" i="20" s="1"/>
  <c r="J68" i="20"/>
  <c r="J67" i="20"/>
  <c r="J66" i="20"/>
  <c r="J64" i="20"/>
  <c r="J63" i="20"/>
  <c r="H63" i="20"/>
  <c r="H65" i="20" s="1"/>
  <c r="G63" i="20"/>
  <c r="G64" i="20" s="1"/>
  <c r="G65" i="20" s="1"/>
  <c r="G66" i="20" s="1"/>
  <c r="G67" i="20" s="1"/>
  <c r="B63" i="20"/>
  <c r="B65" i="20" s="1"/>
  <c r="J62" i="20"/>
  <c r="J61" i="20"/>
  <c r="J60" i="20"/>
  <c r="J58" i="20"/>
  <c r="J57" i="20"/>
  <c r="H57" i="20"/>
  <c r="H59" i="20" s="1"/>
  <c r="G57" i="20"/>
  <c r="G58" i="20" s="1"/>
  <c r="G59" i="20" s="1"/>
  <c r="G60" i="20" s="1"/>
  <c r="G61" i="20" s="1"/>
  <c r="B57" i="20"/>
  <c r="B59" i="20" s="1"/>
  <c r="J56" i="20"/>
  <c r="J55" i="20"/>
  <c r="J54" i="20"/>
  <c r="J52" i="20"/>
  <c r="J51" i="20"/>
  <c r="H51" i="20"/>
  <c r="H53" i="20" s="1"/>
  <c r="G51" i="20"/>
  <c r="G52" i="20" s="1"/>
  <c r="G53" i="20" s="1"/>
  <c r="G54" i="20" s="1"/>
  <c r="G55" i="20" s="1"/>
  <c r="B51" i="20"/>
  <c r="B53" i="20" s="1"/>
  <c r="J50" i="20"/>
  <c r="J49" i="20"/>
  <c r="J48" i="20"/>
  <c r="J46" i="20"/>
  <c r="J45" i="20"/>
  <c r="H45" i="20"/>
  <c r="H47" i="20" s="1"/>
  <c r="G45" i="20"/>
  <c r="G46" i="20" s="1"/>
  <c r="G47" i="20" s="1"/>
  <c r="G48" i="20" s="1"/>
  <c r="G49" i="20" s="1"/>
  <c r="B45" i="20"/>
  <c r="B47" i="20" s="1"/>
  <c r="J44" i="20"/>
  <c r="J43" i="20"/>
  <c r="J42" i="20"/>
  <c r="J40" i="20"/>
  <c r="J39" i="20"/>
  <c r="H39" i="20"/>
  <c r="H41" i="20" s="1"/>
  <c r="G39" i="20"/>
  <c r="G40" i="20" s="1"/>
  <c r="G41" i="20" s="1"/>
  <c r="G42" i="20" s="1"/>
  <c r="G43" i="20" s="1"/>
  <c r="B39" i="20"/>
  <c r="B41" i="20" s="1"/>
  <c r="J38" i="20"/>
  <c r="J37" i="20"/>
  <c r="J36" i="20"/>
  <c r="J34" i="20"/>
  <c r="J33" i="20"/>
  <c r="H33" i="20"/>
  <c r="H35" i="20" s="1"/>
  <c r="G33" i="20"/>
  <c r="G34" i="20" s="1"/>
  <c r="G35" i="20" s="1"/>
  <c r="G36" i="20" s="1"/>
  <c r="G37" i="20" s="1"/>
  <c r="B33" i="20"/>
  <c r="B35" i="20" s="1"/>
  <c r="J32" i="20"/>
  <c r="J31" i="20"/>
  <c r="J30" i="20"/>
  <c r="J28" i="20"/>
  <c r="J27" i="20"/>
  <c r="H27" i="20"/>
  <c r="H29" i="20" s="1"/>
  <c r="G27" i="20"/>
  <c r="G28" i="20" s="1"/>
  <c r="G29" i="20" s="1"/>
  <c r="G30" i="20" s="1"/>
  <c r="G31" i="20" s="1"/>
  <c r="B27" i="20"/>
  <c r="B29" i="20" s="1"/>
  <c r="J26" i="20"/>
  <c r="J25" i="20"/>
  <c r="J24" i="20"/>
  <c r="J22" i="20"/>
  <c r="J21" i="20"/>
  <c r="H21" i="20"/>
  <c r="H23" i="20" s="1"/>
  <c r="G21" i="20"/>
  <c r="G22" i="20" s="1"/>
  <c r="G23" i="20" s="1"/>
  <c r="G24" i="20" s="1"/>
  <c r="G25" i="20" s="1"/>
  <c r="B21" i="20"/>
  <c r="B23" i="20" s="1"/>
  <c r="J20" i="20"/>
  <c r="J19" i="20"/>
  <c r="J18" i="20"/>
  <c r="J16" i="20"/>
  <c r="J15" i="20"/>
  <c r="H15" i="20"/>
  <c r="H17" i="20" s="1"/>
  <c r="G15" i="20"/>
  <c r="G16" i="20" s="1"/>
  <c r="G17" i="20" s="1"/>
  <c r="G18" i="20" s="1"/>
  <c r="G19" i="20" s="1"/>
  <c r="B15" i="20"/>
  <c r="B17" i="20" s="1"/>
  <c r="J14" i="20"/>
  <c r="J13" i="20"/>
  <c r="J12" i="20"/>
  <c r="J10" i="20"/>
  <c r="J9" i="20"/>
  <c r="H9" i="20"/>
  <c r="H11" i="20" s="1"/>
  <c r="G9" i="20"/>
  <c r="G10" i="20" s="1"/>
  <c r="G11" i="20" s="1"/>
  <c r="G12" i="20" s="1"/>
  <c r="G13" i="20" s="1"/>
  <c r="B9" i="20"/>
  <c r="B11" i="20" s="1"/>
  <c r="J8" i="20"/>
  <c r="J7" i="20"/>
  <c r="G7" i="20"/>
  <c r="J6" i="20"/>
  <c r="J27" i="16"/>
  <c r="K116" i="33" l="1"/>
  <c r="H899" i="36" s="1"/>
  <c r="K86" i="33"/>
  <c r="H894" i="36" s="1"/>
  <c r="K93" i="33"/>
  <c r="H914" i="36" s="1"/>
  <c r="K79" i="33"/>
  <c r="H874" i="36" s="1"/>
  <c r="K80" i="33"/>
  <c r="H893" i="36" s="1"/>
  <c r="K46" i="33"/>
  <c r="H925" i="36" s="1"/>
  <c r="K74" i="33"/>
  <c r="H892" i="36" s="1"/>
  <c r="K115" i="33"/>
  <c r="H880" i="36" s="1"/>
  <c r="K85" i="33"/>
  <c r="H875" i="36" s="1"/>
  <c r="K63" i="33"/>
  <c r="H909" i="36" s="1"/>
  <c r="K109" i="33"/>
  <c r="H879" i="36" s="1"/>
  <c r="K45" i="33"/>
  <c r="H906" i="36" s="1"/>
  <c r="K27" i="33"/>
  <c r="H903" i="36" s="1"/>
  <c r="K51" i="33"/>
  <c r="H907" i="36" s="1"/>
  <c r="K99" i="33"/>
  <c r="H915" i="36" s="1"/>
  <c r="J94" i="16"/>
  <c r="J93" i="16"/>
  <c r="H93" i="16"/>
  <c r="H95" i="16" s="1"/>
  <c r="G93" i="16"/>
  <c r="G94" i="16" s="1"/>
  <c r="G95" i="16" s="1"/>
  <c r="B93" i="16"/>
  <c r="B95" i="16" s="1"/>
  <c r="J92" i="16"/>
  <c r="J91" i="16"/>
  <c r="J90" i="16"/>
  <c r="J88" i="16"/>
  <c r="J87" i="16"/>
  <c r="H87" i="16"/>
  <c r="H89" i="16" s="1"/>
  <c r="G87" i="16"/>
  <c r="G88" i="16" s="1"/>
  <c r="G89" i="16" s="1"/>
  <c r="G90" i="16" s="1"/>
  <c r="G91" i="16" s="1"/>
  <c r="B87" i="16"/>
  <c r="B89" i="16" s="1"/>
  <c r="J86" i="16"/>
  <c r="J85" i="16"/>
  <c r="J84" i="16"/>
  <c r="J82" i="16"/>
  <c r="J81" i="16"/>
  <c r="H81" i="16"/>
  <c r="H83" i="16" s="1"/>
  <c r="G81" i="16"/>
  <c r="G82" i="16" s="1"/>
  <c r="G83" i="16" s="1"/>
  <c r="G84" i="16" s="1"/>
  <c r="G85" i="16" s="1"/>
  <c r="B81" i="16"/>
  <c r="B83" i="16" s="1"/>
  <c r="J80" i="16"/>
  <c r="J79" i="16"/>
  <c r="J78" i="16"/>
  <c r="J76" i="16"/>
  <c r="J75" i="16"/>
  <c r="H75" i="16"/>
  <c r="H77" i="16" s="1"/>
  <c r="G75" i="16"/>
  <c r="G76" i="16" s="1"/>
  <c r="G77" i="16" s="1"/>
  <c r="G78" i="16" s="1"/>
  <c r="G79" i="16" s="1"/>
  <c r="B75" i="16"/>
  <c r="B77" i="16" s="1"/>
  <c r="J74" i="16"/>
  <c r="J73" i="16"/>
  <c r="J72" i="16"/>
  <c r="J70" i="16"/>
  <c r="J69" i="16"/>
  <c r="H69" i="16"/>
  <c r="H71" i="16" s="1"/>
  <c r="G69" i="16"/>
  <c r="G70" i="16" s="1"/>
  <c r="G71" i="16" s="1"/>
  <c r="G72" i="16" s="1"/>
  <c r="G73" i="16" s="1"/>
  <c r="B69" i="16"/>
  <c r="B71" i="16" s="1"/>
  <c r="J68" i="16"/>
  <c r="J67" i="16"/>
  <c r="J66" i="16"/>
  <c r="J64" i="16"/>
  <c r="J63" i="16"/>
  <c r="H63" i="16"/>
  <c r="H65" i="16" s="1"/>
  <c r="G63" i="16"/>
  <c r="G64" i="16" s="1"/>
  <c r="G65" i="16" s="1"/>
  <c r="G66" i="16" s="1"/>
  <c r="G67" i="16" s="1"/>
  <c r="B63" i="16"/>
  <c r="B65" i="16" s="1"/>
  <c r="J62" i="16"/>
  <c r="J61" i="16"/>
  <c r="J60" i="16"/>
  <c r="J58" i="16"/>
  <c r="J57" i="16"/>
  <c r="H57" i="16"/>
  <c r="H59" i="16" s="1"/>
  <c r="G57" i="16"/>
  <c r="G58" i="16" s="1"/>
  <c r="G59" i="16" s="1"/>
  <c r="G60" i="16" s="1"/>
  <c r="G61" i="16" s="1"/>
  <c r="B57" i="16"/>
  <c r="B59" i="16" s="1"/>
  <c r="J56" i="16"/>
  <c r="J55" i="16"/>
  <c r="J54" i="16"/>
  <c r="J52" i="16"/>
  <c r="J51" i="16"/>
  <c r="H51" i="16"/>
  <c r="H53" i="16" s="1"/>
  <c r="G51" i="16"/>
  <c r="G52" i="16" s="1"/>
  <c r="G53" i="16" s="1"/>
  <c r="G54" i="16" s="1"/>
  <c r="G55" i="16" s="1"/>
  <c r="B51" i="16"/>
  <c r="B53" i="16" s="1"/>
  <c r="J50" i="16"/>
  <c r="J49" i="16"/>
  <c r="J48" i="16"/>
  <c r="J46" i="16"/>
  <c r="J45" i="16"/>
  <c r="H45" i="16"/>
  <c r="H47" i="16" s="1"/>
  <c r="G45" i="16"/>
  <c r="G46" i="16" s="1"/>
  <c r="G47" i="16" s="1"/>
  <c r="G48" i="16" s="1"/>
  <c r="G49" i="16" s="1"/>
  <c r="B45" i="16"/>
  <c r="B47" i="16" s="1"/>
  <c r="J44" i="16"/>
  <c r="J43" i="16"/>
  <c r="J42" i="16"/>
  <c r="J40" i="16"/>
  <c r="J39" i="16"/>
  <c r="H39" i="16"/>
  <c r="H41" i="16" s="1"/>
  <c r="G39" i="16"/>
  <c r="G40" i="16" s="1"/>
  <c r="G41" i="16" s="1"/>
  <c r="G42" i="16" s="1"/>
  <c r="G43" i="16" s="1"/>
  <c r="B39" i="16"/>
  <c r="B41" i="16" s="1"/>
  <c r="J38" i="16"/>
  <c r="J37" i="16"/>
  <c r="J36" i="16"/>
  <c r="J34" i="16"/>
  <c r="J33" i="16"/>
  <c r="H33" i="16"/>
  <c r="H35" i="16" s="1"/>
  <c r="G33" i="16"/>
  <c r="G34" i="16" s="1"/>
  <c r="G35" i="16" s="1"/>
  <c r="G36" i="16" s="1"/>
  <c r="G37" i="16" s="1"/>
  <c r="B33" i="16"/>
  <c r="B35" i="16" s="1"/>
  <c r="J32" i="16"/>
  <c r="J31" i="16"/>
  <c r="J30" i="16"/>
  <c r="J28" i="16"/>
  <c r="H27" i="16"/>
  <c r="H29" i="16" s="1"/>
  <c r="G27" i="16"/>
  <c r="G28" i="16" s="1"/>
  <c r="G29" i="16" s="1"/>
  <c r="G30" i="16" s="1"/>
  <c r="G31" i="16" s="1"/>
  <c r="B27" i="16"/>
  <c r="B29" i="16" s="1"/>
  <c r="J26" i="16"/>
  <c r="J25" i="16"/>
  <c r="J24" i="16"/>
  <c r="J22" i="16"/>
  <c r="J21" i="16"/>
  <c r="H21" i="16"/>
  <c r="H23" i="16" s="1"/>
  <c r="G21" i="16"/>
  <c r="G22" i="16" s="1"/>
  <c r="G23" i="16" s="1"/>
  <c r="G24" i="16" s="1"/>
  <c r="G25" i="16" s="1"/>
  <c r="B21" i="16"/>
  <c r="B23" i="16" s="1"/>
  <c r="J20" i="16"/>
  <c r="J19" i="16"/>
  <c r="J18" i="16"/>
  <c r="J16" i="16"/>
  <c r="J15" i="16"/>
  <c r="H15" i="16"/>
  <c r="H17" i="16" s="1"/>
  <c r="G15" i="16"/>
  <c r="G16" i="16" s="1"/>
  <c r="G17" i="16" s="1"/>
  <c r="G18" i="16" s="1"/>
  <c r="G19" i="16" s="1"/>
  <c r="B15" i="16"/>
  <c r="B17" i="16" s="1"/>
  <c r="J14" i="16"/>
  <c r="J13" i="16"/>
  <c r="J12" i="16"/>
  <c r="J10" i="16"/>
  <c r="J9" i="16"/>
  <c r="H9" i="16"/>
  <c r="H11" i="16" s="1"/>
  <c r="G9" i="16"/>
  <c r="G10" i="16" s="1"/>
  <c r="G11" i="16" s="1"/>
  <c r="G12" i="16" s="1"/>
  <c r="G13" i="16" s="1"/>
  <c r="B9" i="16"/>
  <c r="B11" i="16" s="1"/>
  <c r="J8" i="16"/>
  <c r="J7" i="16"/>
  <c r="G7" i="16"/>
  <c r="J6" i="16"/>
</calcChain>
</file>

<file path=xl/comments1.xml><?xml version="1.0" encoding="utf-8"?>
<comments xmlns="http://schemas.openxmlformats.org/spreadsheetml/2006/main">
  <authors>
    <author>Author</author>
  </authors>
  <commentList>
    <comment ref="C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 This</t>
        </r>
      </text>
    </comment>
  </commentList>
</comments>
</file>

<file path=xl/sharedStrings.xml><?xml version="1.0" encoding="utf-8"?>
<sst xmlns="http://schemas.openxmlformats.org/spreadsheetml/2006/main" count="11446" uniqueCount="353">
  <si>
    <t>SUPPLY</t>
  </si>
  <si>
    <t>ROUTE</t>
  </si>
  <si>
    <t>A</t>
  </si>
  <si>
    <t>B</t>
  </si>
  <si>
    <t>C</t>
  </si>
  <si>
    <t>D1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</si>
  <si>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</si>
  <si>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</si>
  <si>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</si>
  <si>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</si>
  <si>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</si>
  <si>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</si>
  <si>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</si>
  <si>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</si>
  <si>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</si>
  <si>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</si>
  <si>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D2</t>
  </si>
  <si>
    <t>ZONE</t>
  </si>
  <si>
    <t>EAST</t>
  </si>
  <si>
    <t>WEST</t>
  </si>
  <si>
    <t>LANE</t>
  </si>
  <si>
    <t>TRANSFER</t>
  </si>
  <si>
    <t>PREPARE B PASS</t>
  </si>
  <si>
    <t>UNLOAD P LANE</t>
  </si>
  <si>
    <t>UNLOAD SORTING</t>
  </si>
  <si>
    <t>NO PROCESS</t>
  </si>
  <si>
    <t>NO SEQ</t>
  </si>
  <si>
    <t>GROUP</t>
  </si>
  <si>
    <t>DIRECT</t>
  </si>
  <si>
    <t>PROCESS NAME</t>
  </si>
  <si>
    <t>OFFSET 1</t>
  </si>
  <si>
    <t>OFFSET 2</t>
  </si>
  <si>
    <t>EMPTY</t>
  </si>
  <si>
    <t>COUNTDOWN</t>
  </si>
  <si>
    <t>MAIN PROCESS</t>
  </si>
  <si>
    <t>UNLOAD</t>
  </si>
  <si>
    <t>MAIN JOB</t>
  </si>
  <si>
    <t>PICS</t>
  </si>
  <si>
    <t>COUNT DOWN : 8</t>
  </si>
  <si>
    <t>COUNT DOWN : 7</t>
  </si>
  <si>
    <t>O</t>
  </si>
  <si>
    <t>P</t>
  </si>
  <si>
    <t>UNP</t>
  </si>
  <si>
    <t>Advance 6 C/D</t>
  </si>
  <si>
    <t>PICS=Supply</t>
  </si>
  <si>
    <t>SORTING</t>
  </si>
  <si>
    <t>PREPARE</t>
  </si>
  <si>
    <t>D</t>
  </si>
  <si>
    <t>PT.TOYOTA MOTOR MANUFACTURING INDONESIA</t>
  </si>
  <si>
    <t>PAD LOGISTIC OPERATION - INTEGRAL</t>
  </si>
  <si>
    <t>OFFSET</t>
  </si>
  <si>
    <t>INV. ID</t>
  </si>
  <si>
    <t>Dock</t>
  </si>
  <si>
    <t>Process</t>
  </si>
  <si>
    <t>Zone</t>
  </si>
  <si>
    <t>Route</t>
  </si>
  <si>
    <t>Lane</t>
  </si>
  <si>
    <t>Volume</t>
  </si>
  <si>
    <t>Offset</t>
  </si>
  <si>
    <t>Q</t>
  </si>
  <si>
    <t xml:space="preserve">COUNT DOWN : </t>
  </si>
  <si>
    <t>COUNT DOWN : 15</t>
  </si>
  <si>
    <t>4 Route Ketemu</t>
  </si>
  <si>
    <t>3 Route Ketemu</t>
  </si>
  <si>
    <t>2 Route Ketemu</t>
  </si>
  <si>
    <t>1 Route Ketemu</t>
  </si>
  <si>
    <t>0 Route Ketemu</t>
  </si>
  <si>
    <t>C/U</t>
  </si>
  <si>
    <t>SORTING_EAST_UNP_1_22</t>
  </si>
  <si>
    <t>SORTING_EAST_A_2_22</t>
  </si>
  <si>
    <t>SORTING_EAST_C/U_1_22</t>
  </si>
  <si>
    <t>SORTING_EAST_C_2_22</t>
  </si>
  <si>
    <t>SORTING_EAST_I_1_22</t>
  </si>
  <si>
    <t>SORTING_EAST_G_2_22</t>
  </si>
  <si>
    <t>SORTING_EAST_B_1_22</t>
  </si>
  <si>
    <t>SORTING_EAST_E_2_22</t>
  </si>
  <si>
    <t>SORTING_EAST_D_1_22</t>
  </si>
  <si>
    <t>SORTING_EAST_K_2_22</t>
  </si>
  <si>
    <t>SORTING_WEST_H_1_22</t>
  </si>
  <si>
    <t>SORTING_WEST_P_2_22</t>
  </si>
  <si>
    <t>SORTING_WEST_O_1_22</t>
  </si>
  <si>
    <t>SORTING_WEST_L_2_22</t>
  </si>
  <si>
    <t>SORTING_WEST_N_1_22</t>
  </si>
  <si>
    <t>SORTING_WEST_J_2_22</t>
  </si>
  <si>
    <t>SORTING_WEST_Q_1_22</t>
  </si>
  <si>
    <t>SORTING_WEST_F_2_22</t>
  </si>
  <si>
    <t>SORTING_WEST_M_1_22</t>
  </si>
  <si>
    <t>TRANSFER_EAST_UNP_1_22</t>
  </si>
  <si>
    <t>TRANSFER_EAST_A_2_22</t>
  </si>
  <si>
    <t>TRANSFER_EAST_C/U_1_22</t>
  </si>
  <si>
    <t>TRANSFER_EAST_C_2_22</t>
  </si>
  <si>
    <t>TRANSFER_EAST_I_1_22</t>
  </si>
  <si>
    <t>TRANSFER_EAST_G_2_22</t>
  </si>
  <si>
    <t>TRANSFER_EAST_B_1_22</t>
  </si>
  <si>
    <t>TRANSFER_EAST_E_2_22</t>
  </si>
  <si>
    <t>TRANSFER_EAST_D_1_22</t>
  </si>
  <si>
    <t>TRANSFER_EAST_K_2_22</t>
  </si>
  <si>
    <t>TRANSFER_WEST_H_1_22</t>
  </si>
  <si>
    <t>TRANSFER_WEST_P_2_22</t>
  </si>
  <si>
    <t>TRANSFER_WEST_O_1_22</t>
  </si>
  <si>
    <t>TRANSFER_WEST_L_2_22</t>
  </si>
  <si>
    <t>TRANSFER_WEST_N_1_22</t>
  </si>
  <si>
    <t>TRANSFER_WEST_J_2_22</t>
  </si>
  <si>
    <t>TRANSFER_WEST_Q_1_22</t>
  </si>
  <si>
    <t>TRANSFER_WEST_F_2_22</t>
  </si>
  <si>
    <t>TRANSFER_WEST_M_1_22</t>
  </si>
  <si>
    <t>PREPARE_EAST_UNP_1_22</t>
  </si>
  <si>
    <t>PREPARE_EAST_A_2_22</t>
  </si>
  <si>
    <t>PREPARE_EAST_C/U_1_22</t>
  </si>
  <si>
    <t>PREPARE_EAST_C_2_22</t>
  </si>
  <si>
    <t>PREPARE_EAST_I_1_22</t>
  </si>
  <si>
    <t>PREPARE_EAST_G_2_22</t>
  </si>
  <si>
    <t>PREPARE_EAST_B_1_22</t>
  </si>
  <si>
    <t>PREPARE_EAST_E_2_22</t>
  </si>
  <si>
    <t>PREPARE_EAST_D_1_22</t>
  </si>
  <si>
    <t>PREPARE_EAST_K_2_22</t>
  </si>
  <si>
    <t>PREPARE_WEST_H_1_22</t>
  </si>
  <si>
    <t>PREPARE_WEST_P_2_22</t>
  </si>
  <si>
    <t>PREPARE_WEST_O_1_22</t>
  </si>
  <si>
    <t>PREPARE_WEST_L_2_22</t>
  </si>
  <si>
    <t>PREPARE_WEST_N_1_22</t>
  </si>
  <si>
    <t>PREPARE_WEST_J_2_22</t>
  </si>
  <si>
    <t>PREPARE_WEST_Q_1_22</t>
  </si>
  <si>
    <t>PREPARE_WEST_F_2_22</t>
  </si>
  <si>
    <t>PREPARE_WEST_M_1_22</t>
  </si>
  <si>
    <t>SUPPLY_EAST_UNP_1_22</t>
  </si>
  <si>
    <t>SUPPLY_EAST_A_2_22</t>
  </si>
  <si>
    <t>SUPPLY_EAST_C/U_1_22</t>
  </si>
  <si>
    <t>SUPPLY_EAST_C_2_22</t>
  </si>
  <si>
    <t>SUPPLY_EAST_I_1_22</t>
  </si>
  <si>
    <t>SUPPLY_EAST_G_2_22</t>
  </si>
  <si>
    <t>SUPPLY_EAST_B_1_22</t>
  </si>
  <si>
    <t>SUPPLY_EAST_E_2_22</t>
  </si>
  <si>
    <t>SUPPLY_EAST_D_1_22</t>
  </si>
  <si>
    <t>SUPPLY_EAST_K_2_22</t>
  </si>
  <si>
    <t>SUPPLY_WEST_H_1_22</t>
  </si>
  <si>
    <t>SUPPLY_WEST_P_2_22</t>
  </si>
  <si>
    <t>SUPPLY_WEST_O_1_22</t>
  </si>
  <si>
    <t>SUPPLY_WEST_L_2_22</t>
  </si>
  <si>
    <t>SUPPLY_WEST_N_1_22</t>
  </si>
  <si>
    <t>SUPPLY_WEST_J_2_22</t>
  </si>
  <si>
    <t>SUPPLY_WEST_Q_1_22</t>
  </si>
  <si>
    <t>SUPPLY_WEST_F_2_22</t>
  </si>
  <si>
    <t>SUPPLY_WEST_M_1_22</t>
  </si>
  <si>
    <t>EMPTY_EAST_UNP_1_22</t>
  </si>
  <si>
    <t>EMPTY_EAST_A_2_22</t>
  </si>
  <si>
    <t>EMPTY_EAST_C/U_1_22</t>
  </si>
  <si>
    <t>EMPTY_EAST_C_2_22</t>
  </si>
  <si>
    <t>EMPTY_EAST_I_1_22</t>
  </si>
  <si>
    <t>EMPTY_EAST_G_2_22</t>
  </si>
  <si>
    <t>EMPTY_EAST_B_1_22</t>
  </si>
  <si>
    <t>EMPTY_EAST_E_2_22</t>
  </si>
  <si>
    <t>EMPTY_EAST_D_1_22</t>
  </si>
  <si>
    <t>EMPTY_EAST_K_2_22</t>
  </si>
  <si>
    <t>EMPTY_WEST_H_1_22</t>
  </si>
  <si>
    <t>EMPTY_WEST_P_2_22</t>
  </si>
  <si>
    <t>EMPTY_WEST_O_1_22</t>
  </si>
  <si>
    <t>EMPTY_WEST_L_2_22</t>
  </si>
  <si>
    <t>EMPTY_WEST_N_1_22</t>
  </si>
  <si>
    <t>EMPTY_WEST_J_2_22</t>
  </si>
  <si>
    <t>EMPTY_WEST_Q_1_22</t>
  </si>
  <si>
    <t>EMPTY_WEST_F_2_22</t>
  </si>
  <si>
    <t>EMPTY_WEST_M_1_22</t>
  </si>
  <si>
    <t>SORTING_EAST_UNP_1_23</t>
  </si>
  <si>
    <t>SORTING_EAST_A_2_23</t>
  </si>
  <si>
    <t>SORTING_EAST_C/U_1_23</t>
  </si>
  <si>
    <t>SORTING_EAST_C_2_23</t>
  </si>
  <si>
    <t>SORTING_EAST_I_1_23</t>
  </si>
  <si>
    <t>SORTING_EAST_G_2_23</t>
  </si>
  <si>
    <t>SORTING_EAST_B_1_23</t>
  </si>
  <si>
    <t>SORTING_EAST_E_2_23</t>
  </si>
  <si>
    <t>SORTING_EAST_D_1_23</t>
  </si>
  <si>
    <t>SORTING_EAST_K_2_23</t>
  </si>
  <si>
    <t>SORTING_WEST_H_1_23</t>
  </si>
  <si>
    <t>SORTING_WEST_P_2_23</t>
  </si>
  <si>
    <t>SORTING_WEST_O_1_23</t>
  </si>
  <si>
    <t>SORTING_WEST_L_2_23</t>
  </si>
  <si>
    <t>SORTING_WEST_N_1_23</t>
  </si>
  <si>
    <t>SORTING_WEST_J_2_23</t>
  </si>
  <si>
    <t>SORTING_WEST_Q_1_23</t>
  </si>
  <si>
    <t>SORTING_WEST_F_2_23</t>
  </si>
  <si>
    <t>SORTING_WEST_M_1_23</t>
  </si>
  <si>
    <t>TRANSFER_EAST_UNP_1_23</t>
  </si>
  <si>
    <t>TRANSFER_EAST_A_2_23</t>
  </si>
  <si>
    <t>TRANSFER_EAST_C/U_1_23</t>
  </si>
  <si>
    <t>TRANSFER_EAST_C_2_23</t>
  </si>
  <si>
    <t>TRANSFER_EAST_I_1_23</t>
  </si>
  <si>
    <t>TRANSFER_EAST_G_2_23</t>
  </si>
  <si>
    <t>TRANSFER_EAST_B_1_23</t>
  </si>
  <si>
    <t>TRANSFER_EAST_E_2_23</t>
  </si>
  <si>
    <t>TRANSFER_EAST_D_1_23</t>
  </si>
  <si>
    <t>TRANSFER_EAST_K_2_23</t>
  </si>
  <si>
    <t>TRANSFER_WEST_H_1_23</t>
  </si>
  <si>
    <t>TRANSFER_WEST_P_2_23</t>
  </si>
  <si>
    <t>TRANSFER_WEST_O_1_23</t>
  </si>
  <si>
    <t>TRANSFER_WEST_L_2_23</t>
  </si>
  <si>
    <t>TRANSFER_WEST_N_1_23</t>
  </si>
  <si>
    <t>TRANSFER_WEST_J_2_23</t>
  </si>
  <si>
    <t>TRANSFER_WEST_Q_1_23</t>
  </si>
  <si>
    <t>TRANSFER_WEST_F_2_23</t>
  </si>
  <si>
    <t>TRANSFER_WEST_M_1_23</t>
  </si>
  <si>
    <t>PREPARE_EAST_UNP_1_23</t>
  </si>
  <si>
    <t>PREPARE_EAST_A_2_23</t>
  </si>
  <si>
    <t>PREPARE_EAST_C/U_1_23</t>
  </si>
  <si>
    <t>PREPARE_EAST_C_2_23</t>
  </si>
  <si>
    <t>PREPARE_EAST_I_1_23</t>
  </si>
  <si>
    <t>PREPARE_EAST_G_2_23</t>
  </si>
  <si>
    <t>PREPARE_EAST_B_1_23</t>
  </si>
  <si>
    <t>PREPARE_EAST_E_2_23</t>
  </si>
  <si>
    <t>PREPARE_EAST_D_1_23</t>
  </si>
  <si>
    <t>PREPARE_EAST_K_2_23</t>
  </si>
  <si>
    <t>PREPARE_WEST_H_1_23</t>
  </si>
  <si>
    <t>PREPARE_WEST_P_2_23</t>
  </si>
  <si>
    <t>PREPARE_WEST_O_1_23</t>
  </si>
  <si>
    <t>PREPARE_WEST_L_2_23</t>
  </si>
  <si>
    <t>PREPARE_WEST_N_1_23</t>
  </si>
  <si>
    <t>PREPARE_WEST_J_2_23</t>
  </si>
  <si>
    <t>PREPARE_WEST_Q_1_23</t>
  </si>
  <si>
    <t>PREPARE_WEST_F_2_23</t>
  </si>
  <si>
    <t>PREPARE_WEST_M_1_23</t>
  </si>
  <si>
    <t>SUPPLY_EAST_UNP_1_23</t>
  </si>
  <si>
    <t>SUPPLY_EAST_A_2_23</t>
  </si>
  <si>
    <t>SUPPLY_EAST_C/U_1_23</t>
  </si>
  <si>
    <t>SUPPLY_EAST_C_2_23</t>
  </si>
  <si>
    <t>SUPPLY_EAST_I_1_23</t>
  </si>
  <si>
    <t>SUPPLY_EAST_G_2_23</t>
  </si>
  <si>
    <t>SUPPLY_EAST_B_1_23</t>
  </si>
  <si>
    <t>SUPPLY_EAST_E_2_23</t>
  </si>
  <si>
    <t>SUPPLY_EAST_D_1_23</t>
  </si>
  <si>
    <t>SUPPLY_EAST_K_2_23</t>
  </si>
  <si>
    <t>SUPPLY_WEST_H_1_23</t>
  </si>
  <si>
    <t>SUPPLY_WEST_P_2_23</t>
  </si>
  <si>
    <t>SUPPLY_WEST_O_1_23</t>
  </si>
  <si>
    <t>SUPPLY_WEST_L_2_23</t>
  </si>
  <si>
    <t>SUPPLY_WEST_N_1_23</t>
  </si>
  <si>
    <t>SUPPLY_WEST_J_2_23</t>
  </si>
  <si>
    <t>SUPPLY_WEST_Q_1_23</t>
  </si>
  <si>
    <t>SUPPLY_WEST_F_2_23</t>
  </si>
  <si>
    <t>SUPPLY_WEST_M_1_23</t>
  </si>
  <si>
    <t>EMPTY_EAST_UNP_1_23</t>
  </si>
  <si>
    <t>EMPTY_EAST_A_2_23</t>
  </si>
  <si>
    <t>EMPTY_EAST_C/U_1_23</t>
  </si>
  <si>
    <t>EMPTY_EAST_C_2_23</t>
  </si>
  <si>
    <t>EMPTY_EAST_I_1_23</t>
  </si>
  <si>
    <t>EMPTY_EAST_G_2_23</t>
  </si>
  <si>
    <t>EMPTY_EAST_B_1_23</t>
  </si>
  <si>
    <t>EMPTY_EAST_E_2_23</t>
  </si>
  <si>
    <t>EMPTY_EAST_D_1_23</t>
  </si>
  <si>
    <t>EMPTY_EAST_K_2_23</t>
  </si>
  <si>
    <t>EMPTY_WEST_H_1_23</t>
  </si>
  <si>
    <t>EMPTY_WEST_P_2_23</t>
  </si>
  <si>
    <t>EMPTY_WEST_O_1_23</t>
  </si>
  <si>
    <t>EMPTY_WEST_L_2_23</t>
  </si>
  <si>
    <t>EMPTY_WEST_N_1_23</t>
  </si>
  <si>
    <t>EMPTY_WEST_J_2_23</t>
  </si>
  <si>
    <t>EMPTY_WEST_Q_1_23</t>
  </si>
  <si>
    <t>EMPTY_WEST_F_2_23</t>
  </si>
  <si>
    <t>EMPTY_WEST_M_1_23</t>
  </si>
  <si>
    <t>SORTING_EAST_UNP_1_21</t>
  </si>
  <si>
    <t>SORTING_EAST_A_2_21</t>
  </si>
  <si>
    <t>SORTING_EAST_C/U_1_21</t>
  </si>
  <si>
    <t>SORTING_EAST_C_2_21</t>
  </si>
  <si>
    <t>SORTING_EAST_I_1_21</t>
  </si>
  <si>
    <t>SORTING_EAST_G_2_21</t>
  </si>
  <si>
    <t>SORTING_EAST_B_1_21</t>
  </si>
  <si>
    <t>SORTING_EAST_E_2_21</t>
  </si>
  <si>
    <t>SORTING_EAST_D_1_21</t>
  </si>
  <si>
    <t>SORTING_EAST_K_2_21</t>
  </si>
  <si>
    <t>SORTING_WEST_H_1_21</t>
  </si>
  <si>
    <t>SORTING_WEST_P_2_21</t>
  </si>
  <si>
    <t>SORTING_WEST_O_1_21</t>
  </si>
  <si>
    <t>SORTING_WEST_L_2_21</t>
  </si>
  <si>
    <t>SORTING_WEST_N_1_21</t>
  </si>
  <si>
    <t>SORTING_WEST_J_2_21</t>
  </si>
  <si>
    <t>SORTING_WEST_Q_1_21</t>
  </si>
  <si>
    <t>SORTING_WEST_F_2_21</t>
  </si>
  <si>
    <t>SORTING_WEST_M_1_21</t>
  </si>
  <si>
    <t>TRANSFER_EAST_UNP_1_21</t>
  </si>
  <si>
    <t>TRANSFER_EAST_A_2_21</t>
  </si>
  <si>
    <t>TRANSFER_EAST_C/U_1_21</t>
  </si>
  <si>
    <t>TRANSFER_EAST_C_2_21</t>
  </si>
  <si>
    <t>TRANSFER_EAST_I_1_21</t>
  </si>
  <si>
    <t>TRANSFER_EAST_G_2_21</t>
  </si>
  <si>
    <t>TRANSFER_EAST_B_1_21</t>
  </si>
  <si>
    <t>TRANSFER_EAST_E_2_21</t>
  </si>
  <si>
    <t>TRANSFER_EAST_D_1_21</t>
  </si>
  <si>
    <t>TRANSFER_EAST_K_2_21</t>
  </si>
  <si>
    <t>TRANSFER_WEST_H_1_21</t>
  </si>
  <si>
    <t>TRANSFER_WEST_P_2_21</t>
  </si>
  <si>
    <t>TRANSFER_WEST_O_1_21</t>
  </si>
  <si>
    <t>TRANSFER_WEST_L_2_21</t>
  </si>
  <si>
    <t>TRANSFER_WEST_N_1_21</t>
  </si>
  <si>
    <t>TRANSFER_WEST_J_2_21</t>
  </si>
  <si>
    <t>TRANSFER_WEST_Q_1_21</t>
  </si>
  <si>
    <t>TRANSFER_WEST_F_2_21</t>
  </si>
  <si>
    <t>TRANSFER_WEST_M_1_21</t>
  </si>
  <si>
    <t>PREPARE_EAST_UNP_1_21</t>
  </si>
  <si>
    <t>PREPARE_EAST_A_2_21</t>
  </si>
  <si>
    <t>PREPARE_EAST_C/U_1_21</t>
  </si>
  <si>
    <t>PREPARE_EAST_C_2_21</t>
  </si>
  <si>
    <t>PREPARE_EAST_I_1_21</t>
  </si>
  <si>
    <t>PREPARE_EAST_G_2_21</t>
  </si>
  <si>
    <t>PREPARE_EAST_B_1_21</t>
  </si>
  <si>
    <t>PREPARE_EAST_E_2_21</t>
  </si>
  <si>
    <t>PREPARE_EAST_D_1_21</t>
  </si>
  <si>
    <t>PREPARE_EAST_K_2_21</t>
  </si>
  <si>
    <t>PREPARE_WEST_H_1_21</t>
  </si>
  <si>
    <t>PREPARE_WEST_P_2_21</t>
  </si>
  <si>
    <t>PREPARE_WEST_O_1_21</t>
  </si>
  <si>
    <t>PREPARE_WEST_L_2_21</t>
  </si>
  <si>
    <t>PREPARE_WEST_N_1_21</t>
  </si>
  <si>
    <t>PREPARE_WEST_J_2_21</t>
  </si>
  <si>
    <t>PREPARE_WEST_Q_1_21</t>
  </si>
  <si>
    <t>PREPARE_WEST_F_2_21</t>
  </si>
  <si>
    <t>PREPARE_WEST_M_1_21</t>
  </si>
  <si>
    <t>SUPPLY_EAST_UNP_1_21</t>
  </si>
  <si>
    <t>SUPPLY_EAST_A_2_21</t>
  </si>
  <si>
    <t>SUPPLY_EAST_C/U_1_21</t>
  </si>
  <si>
    <t>SUPPLY_EAST_C_2_21</t>
  </si>
  <si>
    <t>SUPPLY_EAST_I_1_21</t>
  </si>
  <si>
    <t>SUPPLY_EAST_G_2_21</t>
  </si>
  <si>
    <t>SUPPLY_EAST_B_1_21</t>
  </si>
  <si>
    <t>SUPPLY_EAST_E_2_21</t>
  </si>
  <si>
    <t>SUPPLY_EAST_D_1_21</t>
  </si>
  <si>
    <t>SUPPLY_EAST_K_2_21</t>
  </si>
  <si>
    <t>SUPPLY_WEST_H_1_21</t>
  </si>
  <si>
    <t>SUPPLY_WEST_P_2_21</t>
  </si>
  <si>
    <t>SUPPLY_WEST_O_1_21</t>
  </si>
  <si>
    <t>SUPPLY_WEST_L_2_21</t>
  </si>
  <si>
    <t>SUPPLY_WEST_N_1_21</t>
  </si>
  <si>
    <t>SUPPLY_WEST_J_2_21</t>
  </si>
  <si>
    <t>SUPPLY_WEST_Q_1_21</t>
  </si>
  <si>
    <t>SUPPLY_WEST_F_2_21</t>
  </si>
  <si>
    <t>SUPPLY_WEST_M_1_21</t>
  </si>
  <si>
    <t>EMPTY_EAST_UNP_1_21</t>
  </si>
  <si>
    <t>EMPTY_EAST_A_2_21</t>
  </si>
  <si>
    <t>EMPTY_EAST_C/U_1_21</t>
  </si>
  <si>
    <t>EMPTY_EAST_C_2_21</t>
  </si>
  <si>
    <t>EMPTY_EAST_I_1_21</t>
  </si>
  <si>
    <t>EMPTY_EAST_G_2_21</t>
  </si>
  <si>
    <t>EMPTY_EAST_B_1_21</t>
  </si>
  <si>
    <t>EMPTY_EAST_E_2_21</t>
  </si>
  <si>
    <t>EMPTY_EAST_D_1_21</t>
  </si>
  <si>
    <t>EMPTY_EAST_K_2_21</t>
  </si>
  <si>
    <t>EMPTY_WEST_H_1_21</t>
  </si>
  <si>
    <t>EMPTY_WEST_P_2_21</t>
  </si>
  <si>
    <t>EMPTY_WEST_O_1_21</t>
  </si>
  <si>
    <t>EMPTY_WEST_L_2_21</t>
  </si>
  <si>
    <t>EMPTY_WEST_N_1_21</t>
  </si>
  <si>
    <t>EMPTY_WEST_J_2_21</t>
  </si>
  <si>
    <t>EMPTY_WEST_Q_1_21</t>
  </si>
  <si>
    <t>EMPTY_WEST_F_2_21</t>
  </si>
  <si>
    <t>EMPTY_WEST_M_1_21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</si>
</sst>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ck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</borders>
  <cellStyleXfs count="1">
    <xf numFmtId="0" fontId="0" fillId="0" borderId="0"/>
  </cellStyleXfs>
  <cellXfs count="363">
    <xf numFmtId="0" fontId="0" fillId="0" borderId="0" xfId="0"/>
    <xf numFmtId="0" fontId="0" fillId="0" borderId="1" xfId="0" applyBorder="1"/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4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7" borderId="2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2" borderId="17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8" xfId="0" applyFill="1" applyBorder="1" applyAlignment="1">
      <alignment vertical="center"/>
    </xf>
    <xf numFmtId="0" fontId="0" fillId="10" borderId="29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27" xfId="0" applyFill="1" applyBorder="1" applyAlignment="1">
      <alignment vertical="center"/>
    </xf>
    <xf numFmtId="0" fontId="0" fillId="0" borderId="19" xfId="0" applyBorder="1"/>
    <xf numFmtId="0" fontId="0" fillId="8" borderId="19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0" borderId="0" xfId="0" applyFont="1" applyFill="1"/>
    <xf numFmtId="0" fontId="4" fillId="10" borderId="0" xfId="0" applyFont="1" applyFill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0" xfId="0" applyFont="1" applyFill="1" applyAlignment="1">
      <alignment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horizontal="center" vertical="top"/>
    </xf>
    <xf numFmtId="0" fontId="3" fillId="12" borderId="2" xfId="0" applyFont="1" applyFill="1" applyBorder="1" applyAlignment="1">
      <alignment horizontal="center" vertical="top"/>
    </xf>
    <xf numFmtId="0" fontId="0" fillId="0" borderId="33" xfId="0" applyBorder="1"/>
    <xf numFmtId="0" fontId="0" fillId="7" borderId="1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/>
    <xf numFmtId="0" fontId="0" fillId="0" borderId="18" xfId="0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 applyAlignment="1">
      <alignment vertical="top"/>
    </xf>
    <xf numFmtId="0" fontId="0" fillId="0" borderId="34" xfId="0" applyFill="1" applyBorder="1"/>
    <xf numFmtId="0" fontId="0" fillId="0" borderId="34" xfId="0" applyBorder="1" applyAlignment="1">
      <alignment vertical="top"/>
    </xf>
    <xf numFmtId="0" fontId="1" fillId="11" borderId="1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36" xfId="0" applyBorder="1"/>
    <xf numFmtId="0" fontId="0" fillId="0" borderId="37" xfId="0" applyBorder="1" applyAlignment="1">
      <alignment vertical="top"/>
    </xf>
    <xf numFmtId="0" fontId="0" fillId="0" borderId="36" xfId="0" applyFill="1" applyBorder="1"/>
    <xf numFmtId="0" fontId="0" fillId="0" borderId="38" xfId="0" applyBorder="1"/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0" fontId="0" fillId="0" borderId="1" xfId="0" applyFill="1" applyBorder="1"/>
    <xf numFmtId="0" fontId="0" fillId="0" borderId="0" xfId="0" applyBorder="1"/>
    <xf numFmtId="0" fontId="0" fillId="6" borderId="1" xfId="0" applyFill="1" applyBorder="1"/>
    <xf numFmtId="0" fontId="0" fillId="6" borderId="2" xfId="0" applyFill="1" applyBorder="1"/>
    <xf numFmtId="0" fontId="0" fillId="6" borderId="11" xfId="0" applyFill="1" applyBorder="1"/>
    <xf numFmtId="0" fontId="0" fillId="6" borderId="12" xfId="0" applyFill="1" applyBorder="1"/>
    <xf numFmtId="0" fontId="0" fillId="6" borderId="2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right" vertical="center"/>
    </xf>
    <xf numFmtId="0" fontId="12" fillId="6" borderId="1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center" vertical="center"/>
    </xf>
    <xf numFmtId="0" fontId="12" fillId="8" borderId="19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0" fillId="0" borderId="0" xfId="0" quotePrefix="1" applyFont="1" applyFill="1"/>
    <xf numFmtId="0" fontId="9" fillId="0" borderId="0" xfId="0" applyFont="1" applyFill="1"/>
    <xf numFmtId="0" fontId="7" fillId="0" borderId="39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0" xfId="0" applyFont="1"/>
    <xf numFmtId="0" fontId="0" fillId="6" borderId="13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0" xfId="0" applyFill="1"/>
    <xf numFmtId="0" fontId="2" fillId="0" borderId="0" xfId="0" applyFont="1"/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10" borderId="0" xfId="0" applyFill="1"/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0" xfId="0" applyFill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4" borderId="12" xfId="0" applyFill="1" applyBorder="1" applyAlignment="1">
      <alignment horizontal="center" vertical="top"/>
    </xf>
    <xf numFmtId="0" fontId="0" fillId="4" borderId="19" xfId="0" applyFill="1" applyBorder="1" applyAlignment="1">
      <alignment horizontal="center" vertical="top"/>
    </xf>
    <xf numFmtId="0" fontId="0" fillId="4" borderId="43" xfId="0" applyFill="1" applyBorder="1" applyAlignment="1">
      <alignment horizontal="center" vertical="top"/>
    </xf>
    <xf numFmtId="0" fontId="0" fillId="5" borderId="19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13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46" xfId="0" applyFill="1" applyBorder="1" applyAlignment="1">
      <alignment horizontal="center" vertical="center"/>
    </xf>
    <xf numFmtId="0" fontId="0" fillId="0" borderId="0" xfId="0" applyFill="1" applyBorder="1"/>
    <xf numFmtId="0" fontId="0" fillId="0" borderId="47" xfId="0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/>
    </xf>
    <xf numFmtId="0" fontId="0" fillId="2" borderId="14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0" fillId="2" borderId="4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/>
    </xf>
    <xf numFmtId="0" fontId="0" fillId="0" borderId="48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14" borderId="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50" xfId="0" applyFill="1" applyBorder="1" applyAlignment="1">
      <alignment horizontal="center"/>
    </xf>
    <xf numFmtId="0" fontId="0" fillId="0" borderId="4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6" borderId="44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52" xfId="0" applyFill="1" applyBorder="1" applyAlignment="1">
      <alignment horizontal="center"/>
    </xf>
    <xf numFmtId="0" fontId="0" fillId="2" borderId="52" xfId="0" applyFill="1" applyBorder="1" applyAlignment="1">
      <alignment horizontal="center"/>
    </xf>
    <xf numFmtId="0" fontId="0" fillId="0" borderId="52" xfId="0" applyFill="1" applyBorder="1" applyAlignment="1">
      <alignment horizontal="center"/>
    </xf>
    <xf numFmtId="0" fontId="0" fillId="0" borderId="47" xfId="0" applyFill="1" applyBorder="1" applyAlignment="1">
      <alignment horizontal="center"/>
    </xf>
    <xf numFmtId="0" fontId="0" fillId="2" borderId="48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Font="1" applyFill="1" applyAlignment="1">
      <alignment horizontal="right"/>
    </xf>
    <xf numFmtId="0" fontId="0" fillId="2" borderId="52" xfId="0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top"/>
    </xf>
    <xf numFmtId="0" fontId="0" fillId="15" borderId="2" xfId="0" applyFill="1" applyBorder="1" applyAlignment="1">
      <alignment horizontal="center" vertical="top"/>
    </xf>
    <xf numFmtId="0" fontId="0" fillId="2" borderId="1" xfId="0" applyFont="1" applyFill="1" applyBorder="1" applyAlignment="1">
      <alignment horizontal="center"/>
    </xf>
    <xf numFmtId="0" fontId="0" fillId="6" borderId="43" xfId="0" applyFill="1" applyBorder="1" applyAlignment="1">
      <alignment horizontal="center" vertical="center"/>
    </xf>
    <xf numFmtId="0" fontId="0" fillId="6" borderId="4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45" xfId="0" applyFill="1" applyBorder="1" applyAlignment="1">
      <alignment horizontal="center"/>
    </xf>
    <xf numFmtId="0" fontId="0" fillId="0" borderId="53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0" borderId="51" xfId="0" applyFill="1" applyBorder="1" applyAlignment="1">
      <alignment horizontal="center"/>
    </xf>
    <xf numFmtId="0" fontId="0" fillId="2" borderId="46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0" fillId="5" borderId="0" xfId="0" applyFont="1" applyFill="1" applyBorder="1" applyAlignment="1">
      <alignment horizontal="left" vertical="center"/>
    </xf>
    <xf numFmtId="0" fontId="0" fillId="0" borderId="0" xfId="0" applyBorder="1" applyAlignment="1">
      <alignment vertical="top"/>
    </xf>
    <xf numFmtId="0" fontId="0" fillId="0" borderId="54" xfId="0" applyBorder="1"/>
    <xf numFmtId="0" fontId="0" fillId="6" borderId="2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95"/>
  <sheetViews>
    <sheetView zoomScale="70" zoomScaleNormal="70" workbookViewId="0">
      <selection activeCell="U7" sqref="U7"/>
    </sheetView>
  </sheetViews>
  <sheetFormatPr defaultColWidth="3.28515625" defaultRowHeight="15" x14ac:dyDescent="0.25"/>
  <cols>
    <col min="1" max="1" width="3.28515625" style="43"/>
    <col min="2" max="2" width="9.140625" style="43" bestFit="1" customWidth="1"/>
    <col min="3" max="3" width="12.140625" style="43" bestFit="1" customWidth="1"/>
    <col min="4" max="4" width="21.140625" style="43" customWidth="1"/>
    <col min="5" max="5" width="21" style="43" bestFit="1" customWidth="1"/>
    <col min="6" max="6" width="7.140625" style="43" bestFit="1" customWidth="1"/>
    <col min="7" max="7" width="6.7109375" style="43" bestFit="1" customWidth="1"/>
    <col min="8" max="8" width="8.28515625" style="43" bestFit="1" customWidth="1"/>
    <col min="9" max="9" width="10.5703125" style="43" bestFit="1" customWidth="1"/>
    <col min="10" max="10" width="11" style="43" bestFit="1" customWidth="1"/>
    <col min="11" max="11" width="8.85546875" style="43" customWidth="1"/>
    <col min="12" max="12" width="4" style="102" customWidth="1"/>
    <col min="13" max="51" width="4" style="43" customWidth="1"/>
    <col min="52" max="16384" width="3.28515625" style="43"/>
  </cols>
  <sheetData>
    <row r="1" spans="2:51" ht="21" x14ac:dyDescent="0.25">
      <c r="B1" s="44" t="s">
        <v>38</v>
      </c>
    </row>
    <row r="3" spans="2:51" s="91" customFormat="1" ht="15.75" thickBot="1" x14ac:dyDescent="0.3">
      <c r="B3" s="46" t="s">
        <v>26</v>
      </c>
      <c r="C3" s="46" t="s">
        <v>25</v>
      </c>
      <c r="D3" s="46" t="s">
        <v>36</v>
      </c>
      <c r="E3" s="46" t="s">
        <v>29</v>
      </c>
      <c r="F3" s="46" t="s">
        <v>17</v>
      </c>
      <c r="G3" s="46" t="s">
        <v>20</v>
      </c>
      <c r="H3" s="46" t="s">
        <v>1</v>
      </c>
      <c r="I3" s="46" t="s">
        <v>30</v>
      </c>
      <c r="J3" s="46" t="s">
        <v>31</v>
      </c>
      <c r="K3" s="101" t="s">
        <v>27</v>
      </c>
      <c r="L3" s="103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</row>
    <row r="4" spans="2:51" x14ac:dyDescent="0.25">
      <c r="B4" s="47"/>
      <c r="C4" s="47"/>
      <c r="D4" s="47"/>
      <c r="E4" s="47"/>
      <c r="F4" s="47"/>
      <c r="G4" s="47"/>
      <c r="H4" s="47"/>
      <c r="I4" s="47"/>
      <c r="J4" s="47">
        <v>8</v>
      </c>
      <c r="K4" s="47"/>
      <c r="L4" s="11">
        <v>8</v>
      </c>
      <c r="M4" s="12">
        <v>7</v>
      </c>
      <c r="N4" s="12">
        <v>6</v>
      </c>
      <c r="O4" s="12">
        <v>5</v>
      </c>
      <c r="P4" s="12">
        <v>4</v>
      </c>
      <c r="Q4" s="12">
        <v>3</v>
      </c>
      <c r="R4" s="12">
        <v>2</v>
      </c>
      <c r="S4" s="18">
        <v>1</v>
      </c>
      <c r="T4" s="19">
        <v>8</v>
      </c>
      <c r="U4" s="13">
        <v>7</v>
      </c>
      <c r="V4" s="13">
        <v>6</v>
      </c>
      <c r="W4" s="13">
        <v>5</v>
      </c>
      <c r="X4" s="13">
        <v>4</v>
      </c>
      <c r="Y4" s="13">
        <v>3</v>
      </c>
      <c r="Z4" s="13">
        <v>2</v>
      </c>
      <c r="AA4" s="20">
        <v>1</v>
      </c>
      <c r="AB4" s="23">
        <v>8</v>
      </c>
      <c r="AC4" s="14">
        <v>7</v>
      </c>
      <c r="AD4" s="14">
        <v>6</v>
      </c>
      <c r="AE4" s="14">
        <v>5</v>
      </c>
      <c r="AF4" s="14">
        <v>4</v>
      </c>
      <c r="AG4" s="14">
        <v>3</v>
      </c>
      <c r="AH4" s="14">
        <v>2</v>
      </c>
      <c r="AI4" s="24">
        <v>1</v>
      </c>
      <c r="AJ4" s="25">
        <v>8</v>
      </c>
      <c r="AK4" s="15">
        <v>7</v>
      </c>
      <c r="AL4" s="15">
        <v>6</v>
      </c>
      <c r="AM4" s="15">
        <v>5</v>
      </c>
      <c r="AN4" s="15">
        <v>4</v>
      </c>
      <c r="AO4" s="15">
        <v>3</v>
      </c>
      <c r="AP4" s="15">
        <v>2</v>
      </c>
      <c r="AQ4" s="26">
        <v>1</v>
      </c>
      <c r="AR4" s="48">
        <v>8</v>
      </c>
      <c r="AS4" s="16">
        <v>7</v>
      </c>
      <c r="AT4" s="16">
        <v>6</v>
      </c>
      <c r="AU4" s="16">
        <v>5</v>
      </c>
      <c r="AV4" s="16">
        <v>4</v>
      </c>
      <c r="AW4" s="16">
        <v>3</v>
      </c>
      <c r="AX4" s="16">
        <v>2</v>
      </c>
      <c r="AY4" s="17">
        <v>1</v>
      </c>
    </row>
    <row r="5" spans="2:51" ht="23.25" customHeight="1" x14ac:dyDescent="0.25">
      <c r="B5" s="5">
        <v>0</v>
      </c>
      <c r="C5" s="5">
        <v>0</v>
      </c>
      <c r="D5" s="5" t="s">
        <v>35</v>
      </c>
      <c r="E5" s="49" t="s">
        <v>23</v>
      </c>
      <c r="F5" s="49"/>
      <c r="G5" s="49"/>
      <c r="H5" s="49"/>
      <c r="I5" s="49">
        <v>-4</v>
      </c>
      <c r="J5" s="87">
        <v>4</v>
      </c>
      <c r="K5" s="87"/>
      <c r="L5" s="66">
        <v>4</v>
      </c>
      <c r="M5" s="65">
        <v>3</v>
      </c>
      <c r="N5" s="65">
        <v>2</v>
      </c>
      <c r="O5" s="65">
        <v>1</v>
      </c>
      <c r="P5" s="68">
        <v>8</v>
      </c>
      <c r="Q5" s="68">
        <v>7</v>
      </c>
      <c r="R5" s="68">
        <v>6</v>
      </c>
      <c r="S5" s="69">
        <v>5</v>
      </c>
      <c r="T5" s="70">
        <v>4</v>
      </c>
      <c r="U5" s="68">
        <v>3</v>
      </c>
      <c r="V5" s="68">
        <v>2</v>
      </c>
      <c r="W5" s="68">
        <v>1</v>
      </c>
      <c r="X5" s="71">
        <v>8</v>
      </c>
      <c r="Y5" s="71">
        <v>7</v>
      </c>
      <c r="Z5" s="71">
        <v>6</v>
      </c>
      <c r="AA5" s="72">
        <v>5</v>
      </c>
      <c r="AB5" s="73">
        <v>4</v>
      </c>
      <c r="AC5" s="71">
        <v>3</v>
      </c>
      <c r="AD5" s="71">
        <v>2</v>
      </c>
      <c r="AE5" s="71">
        <v>1</v>
      </c>
      <c r="AF5" s="89">
        <v>8</v>
      </c>
      <c r="AG5" s="89">
        <v>7</v>
      </c>
      <c r="AH5" s="89">
        <v>6</v>
      </c>
      <c r="AI5" s="104">
        <v>5</v>
      </c>
      <c r="AJ5" s="105">
        <v>4</v>
      </c>
      <c r="AK5" s="89">
        <v>3</v>
      </c>
      <c r="AL5" s="89">
        <v>2</v>
      </c>
      <c r="AM5" s="89">
        <v>1</v>
      </c>
      <c r="AN5" s="78">
        <v>8</v>
      </c>
      <c r="AO5" s="78">
        <v>7</v>
      </c>
      <c r="AP5" s="106">
        <v>6</v>
      </c>
      <c r="AQ5" s="107">
        <v>5</v>
      </c>
      <c r="AR5" s="108">
        <v>4</v>
      </c>
      <c r="AS5" s="78">
        <v>3</v>
      </c>
      <c r="AT5" s="78">
        <v>2</v>
      </c>
      <c r="AU5" s="78">
        <v>1</v>
      </c>
      <c r="AV5" s="78">
        <v>8</v>
      </c>
      <c r="AW5" s="78">
        <v>7</v>
      </c>
      <c r="AX5" s="78">
        <v>6</v>
      </c>
      <c r="AY5" s="106">
        <v>5</v>
      </c>
    </row>
    <row r="6" spans="2:51" x14ac:dyDescent="0.25">
      <c r="B6" s="5">
        <v>1</v>
      </c>
      <c r="C6" s="5">
        <v>1</v>
      </c>
      <c r="D6" s="5" t="s">
        <v>35</v>
      </c>
      <c r="E6" s="49" t="s">
        <v>24</v>
      </c>
      <c r="F6" s="5" t="s">
        <v>18</v>
      </c>
      <c r="G6" s="5">
        <v>1</v>
      </c>
      <c r="H6" s="5" t="s">
        <v>2</v>
      </c>
      <c r="I6" s="5">
        <v>-4</v>
      </c>
      <c r="J6" s="7">
        <f>I6+$J$4</f>
        <v>4</v>
      </c>
      <c r="K6" s="7"/>
      <c r="L6" s="8"/>
      <c r="M6" s="3"/>
      <c r="N6" s="3"/>
      <c r="O6" s="3"/>
      <c r="P6" s="4">
        <v>4</v>
      </c>
      <c r="Q6" s="4">
        <v>3</v>
      </c>
      <c r="R6" s="3"/>
      <c r="S6" s="31"/>
      <c r="T6" s="8"/>
      <c r="U6" s="3"/>
      <c r="V6" s="3"/>
      <c r="W6" s="3"/>
      <c r="X6" s="40">
        <v>4</v>
      </c>
      <c r="Y6" s="40">
        <v>3</v>
      </c>
      <c r="Z6" s="3"/>
      <c r="AA6" s="31"/>
      <c r="AB6" s="8"/>
      <c r="AC6" s="3"/>
      <c r="AD6" s="3"/>
      <c r="AE6" s="3"/>
      <c r="AF6" s="37">
        <v>4</v>
      </c>
      <c r="AG6" s="37">
        <v>3</v>
      </c>
      <c r="AH6" s="3"/>
      <c r="AI6" s="31"/>
      <c r="AJ6" s="8"/>
      <c r="AK6" s="3"/>
      <c r="AL6" s="3"/>
      <c r="AM6" s="3"/>
      <c r="AN6" s="3">
        <v>4</v>
      </c>
      <c r="AO6" s="3">
        <v>3</v>
      </c>
      <c r="AP6" s="3"/>
      <c r="AQ6" s="31"/>
      <c r="AR6" s="8"/>
      <c r="AS6" s="3"/>
      <c r="AT6" s="3"/>
      <c r="AU6" s="3"/>
      <c r="AV6" s="3"/>
      <c r="AW6" s="3"/>
      <c r="AX6" s="3"/>
      <c r="AY6" s="31"/>
    </row>
    <row r="7" spans="2:51" x14ac:dyDescent="0.25">
      <c r="B7" s="5">
        <v>1</v>
      </c>
      <c r="C7" s="5">
        <v>2</v>
      </c>
      <c r="D7" s="5" t="s">
        <v>21</v>
      </c>
      <c r="E7" s="49" t="s">
        <v>21</v>
      </c>
      <c r="F7" s="5" t="s">
        <v>18</v>
      </c>
      <c r="G7" s="5">
        <f>G6</f>
        <v>1</v>
      </c>
      <c r="H7" s="5" t="s">
        <v>2</v>
      </c>
      <c r="I7" s="5">
        <v>-2</v>
      </c>
      <c r="J7" s="7">
        <f>I7+$J$4</f>
        <v>6</v>
      </c>
      <c r="K7" s="7"/>
      <c r="L7" s="8"/>
      <c r="M7" s="3"/>
      <c r="N7" s="3"/>
      <c r="O7" s="3"/>
      <c r="P7" s="3"/>
      <c r="Q7" s="3"/>
      <c r="R7" s="4">
        <v>2</v>
      </c>
      <c r="S7" s="31"/>
      <c r="T7" s="8"/>
      <c r="U7" s="3"/>
      <c r="V7" s="3"/>
      <c r="W7" s="3"/>
      <c r="X7" s="3"/>
      <c r="Y7" s="3"/>
      <c r="Z7" s="40">
        <v>2</v>
      </c>
      <c r="AA7" s="31"/>
      <c r="AB7" s="8"/>
      <c r="AC7" s="3"/>
      <c r="AD7" s="3"/>
      <c r="AE7" s="3"/>
      <c r="AF7" s="3"/>
      <c r="AG7" s="3"/>
      <c r="AH7" s="37">
        <v>2</v>
      </c>
      <c r="AI7" s="31"/>
      <c r="AJ7" s="8"/>
      <c r="AK7" s="3"/>
      <c r="AL7" s="3"/>
      <c r="AM7" s="3"/>
      <c r="AN7" s="3"/>
      <c r="AO7" s="3"/>
      <c r="AP7" s="3">
        <v>2</v>
      </c>
      <c r="AQ7" s="31"/>
      <c r="AR7" s="8"/>
      <c r="AS7" s="3"/>
      <c r="AT7" s="3"/>
      <c r="AU7" s="3"/>
      <c r="AV7" s="3"/>
      <c r="AW7" s="3"/>
      <c r="AX7" s="3"/>
      <c r="AY7" s="31"/>
    </row>
    <row r="8" spans="2:51" x14ac:dyDescent="0.25">
      <c r="B8" s="5">
        <v>1</v>
      </c>
      <c r="C8" s="5">
        <v>3</v>
      </c>
      <c r="D8" s="5" t="s">
        <v>0</v>
      </c>
      <c r="E8" s="34" t="s">
        <v>0</v>
      </c>
      <c r="F8" s="5" t="s">
        <v>18</v>
      </c>
      <c r="G8" s="3">
        <v>1</v>
      </c>
      <c r="H8" s="5" t="s">
        <v>2</v>
      </c>
      <c r="I8" s="30">
        <v>0</v>
      </c>
      <c r="J8" s="7">
        <f>I8+$J$4</f>
        <v>8</v>
      </c>
      <c r="K8" s="7"/>
      <c r="L8" s="79"/>
      <c r="M8" s="80"/>
      <c r="N8" s="80"/>
      <c r="O8" s="80"/>
      <c r="P8" s="80"/>
      <c r="Q8" s="80"/>
      <c r="R8" s="80"/>
      <c r="S8" s="81"/>
      <c r="T8" s="9">
        <v>8</v>
      </c>
      <c r="U8" s="4">
        <v>7</v>
      </c>
      <c r="V8" s="4">
        <v>6</v>
      </c>
      <c r="W8" s="4">
        <v>5</v>
      </c>
      <c r="X8" s="4">
        <v>4</v>
      </c>
      <c r="Y8" s="80"/>
      <c r="Z8" s="80"/>
      <c r="AA8" s="81"/>
      <c r="AB8" s="39">
        <v>8</v>
      </c>
      <c r="AC8" s="40">
        <v>7</v>
      </c>
      <c r="AD8" s="40">
        <v>6</v>
      </c>
      <c r="AE8" s="40">
        <v>5</v>
      </c>
      <c r="AF8" s="40">
        <v>4</v>
      </c>
      <c r="AG8" s="80"/>
      <c r="AH8" s="80"/>
      <c r="AI8" s="81"/>
      <c r="AJ8" s="36">
        <v>8</v>
      </c>
      <c r="AK8" s="37">
        <v>7</v>
      </c>
      <c r="AL8" s="37">
        <v>6</v>
      </c>
      <c r="AM8" s="37">
        <v>5</v>
      </c>
      <c r="AN8" s="37">
        <v>4</v>
      </c>
      <c r="AO8" s="80"/>
      <c r="AP8" s="80"/>
      <c r="AQ8" s="81"/>
      <c r="AR8" s="79"/>
      <c r="AS8" s="80"/>
      <c r="AT8" s="80"/>
      <c r="AU8" s="80"/>
      <c r="AV8" s="80"/>
      <c r="AW8" s="80"/>
      <c r="AX8" s="80"/>
      <c r="AY8" s="81"/>
    </row>
    <row r="9" spans="2:51" s="45" customFormat="1" x14ac:dyDescent="0.25">
      <c r="B9" s="3">
        <f>B8</f>
        <v>1</v>
      </c>
      <c r="C9" s="3">
        <v>4</v>
      </c>
      <c r="D9" s="5" t="s">
        <v>0</v>
      </c>
      <c r="E9" s="34" t="s">
        <v>32</v>
      </c>
      <c r="F9" s="5" t="s">
        <v>18</v>
      </c>
      <c r="G9" s="5">
        <f>G8</f>
        <v>1</v>
      </c>
      <c r="H9" s="3" t="str">
        <f>H8</f>
        <v>A</v>
      </c>
      <c r="I9" s="30">
        <v>-3</v>
      </c>
      <c r="J9" s="7">
        <f>I9+$J$4</f>
        <v>5</v>
      </c>
      <c r="K9" s="30"/>
      <c r="L9" s="8"/>
      <c r="M9" s="3"/>
      <c r="N9" s="3"/>
      <c r="O9" s="3"/>
      <c r="P9" s="3"/>
      <c r="Q9" s="3">
        <v>3</v>
      </c>
      <c r="R9" s="3">
        <v>2</v>
      </c>
      <c r="S9" s="31"/>
      <c r="T9" s="8"/>
      <c r="U9" s="3"/>
      <c r="V9" s="3"/>
      <c r="W9" s="3"/>
      <c r="X9" s="3"/>
      <c r="Y9" s="4">
        <v>3</v>
      </c>
      <c r="Z9" s="4">
        <v>2</v>
      </c>
      <c r="AA9" s="31"/>
      <c r="AB9" s="8"/>
      <c r="AC9" s="3"/>
      <c r="AD9" s="3"/>
      <c r="AE9" s="3"/>
      <c r="AF9" s="3"/>
      <c r="AG9" s="40">
        <v>3</v>
      </c>
      <c r="AH9" s="40">
        <v>2</v>
      </c>
      <c r="AI9" s="31"/>
      <c r="AJ9" s="8"/>
      <c r="AK9" s="3"/>
      <c r="AL9" s="3"/>
      <c r="AM9" s="3"/>
      <c r="AN9" s="3"/>
      <c r="AO9" s="37">
        <v>3</v>
      </c>
      <c r="AP9" s="37">
        <v>2</v>
      </c>
      <c r="AQ9" s="31"/>
      <c r="AR9" s="8"/>
      <c r="AS9" s="3"/>
      <c r="AT9" s="3"/>
      <c r="AU9" s="3"/>
      <c r="AV9" s="3"/>
      <c r="AW9" s="3"/>
      <c r="AX9" s="3"/>
      <c r="AY9" s="31"/>
    </row>
    <row r="10" spans="2:51" x14ac:dyDescent="0.25">
      <c r="B10" s="5">
        <v>1</v>
      </c>
      <c r="C10" s="5">
        <v>5</v>
      </c>
      <c r="D10" s="5" t="s">
        <v>0</v>
      </c>
      <c r="E10" s="49" t="s">
        <v>22</v>
      </c>
      <c r="F10" s="5" t="s">
        <v>18</v>
      </c>
      <c r="G10" s="5">
        <f>G9</f>
        <v>1</v>
      </c>
      <c r="H10" s="5" t="s">
        <v>2</v>
      </c>
      <c r="I10" s="5">
        <v>-1</v>
      </c>
      <c r="J10" s="7">
        <f>I10+$J$4</f>
        <v>7</v>
      </c>
      <c r="K10" s="7"/>
      <c r="L10" s="79"/>
      <c r="M10" s="80"/>
      <c r="N10" s="80"/>
      <c r="O10" s="80"/>
      <c r="P10" s="80"/>
      <c r="Q10" s="80"/>
      <c r="R10" s="80"/>
      <c r="S10" s="21">
        <v>1</v>
      </c>
      <c r="T10" s="79"/>
      <c r="U10" s="80"/>
      <c r="V10" s="80"/>
      <c r="W10" s="80"/>
      <c r="X10" s="80"/>
      <c r="Y10" s="80"/>
      <c r="Z10" s="80"/>
      <c r="AA10" s="41">
        <v>1</v>
      </c>
      <c r="AB10" s="79"/>
      <c r="AC10" s="80"/>
      <c r="AD10" s="80"/>
      <c r="AE10" s="80"/>
      <c r="AF10" s="80"/>
      <c r="AG10" s="80"/>
      <c r="AH10" s="80"/>
      <c r="AI10" s="38">
        <v>1</v>
      </c>
      <c r="AJ10" s="79"/>
      <c r="AK10" s="80"/>
      <c r="AL10" s="80"/>
      <c r="AM10" s="80"/>
      <c r="AN10" s="80"/>
      <c r="AO10" s="80"/>
      <c r="AP10" s="80"/>
      <c r="AQ10" s="81">
        <v>1</v>
      </c>
      <c r="AR10" s="79"/>
      <c r="AS10" s="80"/>
      <c r="AT10" s="80"/>
      <c r="AU10" s="80"/>
      <c r="AV10" s="80"/>
      <c r="AW10" s="80"/>
      <c r="AX10" s="80"/>
      <c r="AY10" s="81"/>
    </row>
    <row r="11" spans="2:51" s="45" customFormat="1" x14ac:dyDescent="0.25">
      <c r="B11" s="3">
        <f>B9</f>
        <v>1</v>
      </c>
      <c r="C11" s="3">
        <v>6</v>
      </c>
      <c r="D11" s="5"/>
      <c r="E11" s="34" t="s">
        <v>33</v>
      </c>
      <c r="F11" s="5" t="s">
        <v>18</v>
      </c>
      <c r="G11" s="5">
        <f>G10</f>
        <v>1</v>
      </c>
      <c r="H11" s="3" t="str">
        <f>H9</f>
        <v>A</v>
      </c>
      <c r="I11" s="32"/>
      <c r="J11" s="32"/>
      <c r="K11" s="30"/>
      <c r="L11" s="8">
        <v>8</v>
      </c>
      <c r="M11" s="3">
        <v>7</v>
      </c>
      <c r="N11" s="3">
        <v>6</v>
      </c>
      <c r="O11" s="3">
        <v>5</v>
      </c>
      <c r="P11" s="56">
        <v>4</v>
      </c>
      <c r="Q11" s="56">
        <v>3</v>
      </c>
      <c r="R11" s="46">
        <v>2</v>
      </c>
      <c r="S11" s="28">
        <v>1</v>
      </c>
      <c r="T11" s="9">
        <v>8</v>
      </c>
      <c r="U11" s="4">
        <v>7</v>
      </c>
      <c r="V11" s="4">
        <v>6</v>
      </c>
      <c r="W11" s="4">
        <v>5</v>
      </c>
      <c r="X11" s="4">
        <v>4</v>
      </c>
      <c r="Y11" s="4">
        <v>3</v>
      </c>
      <c r="Z11" s="4">
        <v>2</v>
      </c>
      <c r="AA11" s="21">
        <v>1</v>
      </c>
      <c r="AB11" s="39">
        <v>8</v>
      </c>
      <c r="AC11" s="40">
        <v>7</v>
      </c>
      <c r="AD11" s="40">
        <v>6</v>
      </c>
      <c r="AE11" s="40">
        <v>5</v>
      </c>
      <c r="AF11" s="40">
        <v>4</v>
      </c>
      <c r="AG11" s="40">
        <v>3</v>
      </c>
      <c r="AH11" s="40">
        <v>2</v>
      </c>
      <c r="AI11" s="41">
        <v>1</v>
      </c>
      <c r="AJ11" s="36">
        <v>8</v>
      </c>
      <c r="AK11" s="37">
        <v>7</v>
      </c>
      <c r="AL11" s="37">
        <v>6</v>
      </c>
      <c r="AM11" s="37">
        <v>5</v>
      </c>
      <c r="AN11" s="37">
        <v>4</v>
      </c>
      <c r="AO11" s="37">
        <v>3</v>
      </c>
      <c r="AP11" s="37">
        <v>2</v>
      </c>
      <c r="AQ11" s="38">
        <v>1</v>
      </c>
      <c r="AR11" s="8">
        <v>8</v>
      </c>
      <c r="AS11" s="3">
        <v>7</v>
      </c>
      <c r="AT11" s="3">
        <v>6</v>
      </c>
      <c r="AU11" s="3">
        <v>5</v>
      </c>
      <c r="AV11" s="3">
        <v>4</v>
      </c>
      <c r="AW11" s="3">
        <v>3</v>
      </c>
      <c r="AX11" s="3">
        <v>2</v>
      </c>
      <c r="AY11" s="31">
        <v>1</v>
      </c>
    </row>
    <row r="12" spans="2:51" x14ac:dyDescent="0.25">
      <c r="B12" s="5">
        <v>2</v>
      </c>
      <c r="C12" s="5">
        <v>1</v>
      </c>
      <c r="D12" s="5" t="s">
        <v>35</v>
      </c>
      <c r="E12" s="49" t="s">
        <v>24</v>
      </c>
      <c r="F12" s="5" t="s">
        <v>18</v>
      </c>
      <c r="G12" s="5">
        <f>G11</f>
        <v>1</v>
      </c>
      <c r="H12" s="5" t="s">
        <v>3</v>
      </c>
      <c r="I12" s="5">
        <v>-2</v>
      </c>
      <c r="J12" s="7">
        <f t="shared" ref="J12:J93" si="0">I12+$J$4</f>
        <v>6</v>
      </c>
      <c r="K12" s="7"/>
      <c r="L12" s="8"/>
      <c r="M12" s="3"/>
      <c r="N12" s="3"/>
      <c r="O12" s="3"/>
      <c r="P12" s="3"/>
      <c r="Q12" s="3"/>
      <c r="R12" s="4">
        <v>4</v>
      </c>
      <c r="S12" s="31"/>
      <c r="T12" s="8"/>
      <c r="U12" s="3"/>
      <c r="V12" s="3"/>
      <c r="W12" s="3"/>
      <c r="X12" s="3"/>
      <c r="Y12" s="3"/>
      <c r="Z12" s="40">
        <v>4</v>
      </c>
      <c r="AA12" s="31"/>
      <c r="AB12" s="8"/>
      <c r="AC12" s="3"/>
      <c r="AD12" s="3"/>
      <c r="AE12" s="3"/>
      <c r="AF12" s="3"/>
      <c r="AG12" s="3"/>
      <c r="AH12" s="37">
        <v>4</v>
      </c>
      <c r="AI12" s="31"/>
      <c r="AJ12" s="8"/>
      <c r="AK12" s="3"/>
      <c r="AL12" s="3"/>
      <c r="AM12" s="3"/>
      <c r="AN12" s="3"/>
      <c r="AO12" s="3"/>
      <c r="AP12" s="3">
        <v>4</v>
      </c>
      <c r="AQ12" s="31"/>
      <c r="AR12" s="8"/>
      <c r="AS12" s="3"/>
      <c r="AT12" s="3"/>
      <c r="AU12" s="3"/>
      <c r="AV12" s="3"/>
      <c r="AW12" s="3"/>
      <c r="AX12" s="5"/>
      <c r="AY12" s="64"/>
    </row>
    <row r="13" spans="2:51" x14ac:dyDescent="0.25">
      <c r="B13" s="5">
        <v>2</v>
      </c>
      <c r="C13" s="5">
        <v>2</v>
      </c>
      <c r="D13" s="5" t="s">
        <v>21</v>
      </c>
      <c r="E13" s="49" t="s">
        <v>21</v>
      </c>
      <c r="F13" s="5" t="s">
        <v>18</v>
      </c>
      <c r="G13" s="5">
        <f>G12</f>
        <v>1</v>
      </c>
      <c r="H13" s="5" t="s">
        <v>3</v>
      </c>
      <c r="I13" s="5">
        <v>-1</v>
      </c>
      <c r="J13" s="7">
        <f t="shared" si="0"/>
        <v>7</v>
      </c>
      <c r="K13" s="7"/>
      <c r="L13" s="8"/>
      <c r="M13" s="3"/>
      <c r="N13" s="3"/>
      <c r="O13" s="3"/>
      <c r="P13" s="3"/>
      <c r="Q13" s="3"/>
      <c r="R13" s="3"/>
      <c r="S13" s="21">
        <v>3</v>
      </c>
      <c r="T13" s="8"/>
      <c r="U13" s="3"/>
      <c r="V13" s="3"/>
      <c r="W13" s="3"/>
      <c r="X13" s="3"/>
      <c r="Y13" s="3"/>
      <c r="Z13" s="3"/>
      <c r="AA13" s="41">
        <v>3</v>
      </c>
      <c r="AB13" s="8"/>
      <c r="AC13" s="3"/>
      <c r="AD13" s="3"/>
      <c r="AE13" s="3"/>
      <c r="AF13" s="3"/>
      <c r="AG13" s="3"/>
      <c r="AH13" s="3"/>
      <c r="AI13" s="38">
        <v>3</v>
      </c>
      <c r="AJ13" s="8"/>
      <c r="AK13" s="3"/>
      <c r="AL13" s="3"/>
      <c r="AM13" s="3"/>
      <c r="AN13" s="3"/>
      <c r="AO13" s="3"/>
      <c r="AP13" s="3"/>
      <c r="AQ13" s="31">
        <v>3</v>
      </c>
      <c r="AR13" s="8"/>
      <c r="AS13" s="3"/>
      <c r="AT13" s="3"/>
      <c r="AU13" s="3"/>
      <c r="AV13" s="3"/>
      <c r="AW13" s="3"/>
      <c r="AX13" s="5"/>
      <c r="AY13" s="64"/>
    </row>
    <row r="14" spans="2:51" x14ac:dyDescent="0.25">
      <c r="B14" s="5">
        <v>2</v>
      </c>
      <c r="C14" s="5">
        <v>3</v>
      </c>
      <c r="D14" s="5" t="s">
        <v>0</v>
      </c>
      <c r="E14" s="34" t="s">
        <v>0</v>
      </c>
      <c r="F14" s="5" t="s">
        <v>18</v>
      </c>
      <c r="G14" s="3">
        <v>1</v>
      </c>
      <c r="H14" s="5" t="s">
        <v>3</v>
      </c>
      <c r="I14" s="30">
        <v>2</v>
      </c>
      <c r="J14" s="30">
        <f t="shared" si="0"/>
        <v>10</v>
      </c>
      <c r="K14" s="7"/>
      <c r="L14" s="79"/>
      <c r="M14" s="80"/>
      <c r="N14" s="80"/>
      <c r="O14" s="80"/>
      <c r="P14" s="80"/>
      <c r="Q14" s="80"/>
      <c r="R14" s="80"/>
      <c r="S14" s="81"/>
      <c r="T14" s="79"/>
      <c r="U14" s="49"/>
      <c r="V14" s="4">
        <v>8</v>
      </c>
      <c r="W14" s="4">
        <v>7</v>
      </c>
      <c r="X14" s="4">
        <v>6</v>
      </c>
      <c r="Y14" s="4">
        <v>5</v>
      </c>
      <c r="Z14" s="4">
        <v>4</v>
      </c>
      <c r="AA14" s="81"/>
      <c r="AB14" s="79"/>
      <c r="AC14" s="3"/>
      <c r="AD14" s="40">
        <v>8</v>
      </c>
      <c r="AE14" s="40">
        <v>7</v>
      </c>
      <c r="AF14" s="40">
        <v>6</v>
      </c>
      <c r="AG14" s="40">
        <v>5</v>
      </c>
      <c r="AH14" s="40">
        <v>4</v>
      </c>
      <c r="AI14" s="81"/>
      <c r="AJ14" s="79"/>
      <c r="AK14" s="3"/>
      <c r="AL14" s="37">
        <v>8</v>
      </c>
      <c r="AM14" s="37">
        <v>7</v>
      </c>
      <c r="AN14" s="37">
        <v>6</v>
      </c>
      <c r="AO14" s="37">
        <v>5</v>
      </c>
      <c r="AP14" s="37">
        <v>4</v>
      </c>
      <c r="AQ14" s="81"/>
      <c r="AR14" s="79"/>
      <c r="AS14" s="80"/>
      <c r="AT14" s="80"/>
      <c r="AU14" s="80"/>
      <c r="AV14" s="80"/>
      <c r="AW14" s="80"/>
      <c r="AX14" s="80"/>
      <c r="AY14" s="81"/>
    </row>
    <row r="15" spans="2:51" s="45" customFormat="1" x14ac:dyDescent="0.25">
      <c r="B15" s="3">
        <f>B14</f>
        <v>2</v>
      </c>
      <c r="C15" s="3">
        <v>4</v>
      </c>
      <c r="D15" s="5" t="s">
        <v>0</v>
      </c>
      <c r="E15" s="34" t="s">
        <v>32</v>
      </c>
      <c r="F15" s="5" t="s">
        <v>18</v>
      </c>
      <c r="G15" s="5">
        <f t="shared" ref="G15:H19" si="1">G14</f>
        <v>1</v>
      </c>
      <c r="H15" s="3" t="str">
        <f t="shared" si="1"/>
        <v>B</v>
      </c>
      <c r="I15" s="30">
        <v>-1</v>
      </c>
      <c r="J15" s="30">
        <f t="shared" si="0"/>
        <v>7</v>
      </c>
      <c r="K15" s="30"/>
      <c r="L15" s="8"/>
      <c r="M15" s="3"/>
      <c r="N15" s="3"/>
      <c r="O15" s="3"/>
      <c r="P15" s="3"/>
      <c r="Q15" s="3"/>
      <c r="R15" s="3"/>
      <c r="S15" s="31">
        <v>3</v>
      </c>
      <c r="T15" s="8"/>
      <c r="U15" s="3"/>
      <c r="V15" s="3"/>
      <c r="W15" s="3"/>
      <c r="X15" s="3"/>
      <c r="Y15" s="3"/>
      <c r="Z15" s="3"/>
      <c r="AA15" s="21">
        <v>3</v>
      </c>
      <c r="AB15" s="8"/>
      <c r="AC15" s="3"/>
      <c r="AD15" s="3"/>
      <c r="AE15" s="3"/>
      <c r="AF15" s="3"/>
      <c r="AG15" s="3"/>
      <c r="AH15" s="3"/>
      <c r="AI15" s="41">
        <v>3</v>
      </c>
      <c r="AJ15" s="8"/>
      <c r="AK15" s="3"/>
      <c r="AL15" s="3"/>
      <c r="AM15" s="3"/>
      <c r="AN15" s="3"/>
      <c r="AO15" s="3"/>
      <c r="AP15" s="3"/>
      <c r="AQ15" s="38">
        <v>3</v>
      </c>
      <c r="AR15" s="8"/>
      <c r="AS15" s="3"/>
      <c r="AT15" s="3"/>
      <c r="AU15" s="3"/>
      <c r="AV15" s="3"/>
      <c r="AW15" s="3"/>
      <c r="AX15" s="3"/>
      <c r="AY15" s="31"/>
    </row>
    <row r="16" spans="2:51" x14ac:dyDescent="0.25">
      <c r="B16" s="5">
        <v>2</v>
      </c>
      <c r="C16" s="5">
        <v>5</v>
      </c>
      <c r="D16" s="5" t="s">
        <v>0</v>
      </c>
      <c r="E16" s="49" t="s">
        <v>22</v>
      </c>
      <c r="F16" s="5" t="s">
        <v>18</v>
      </c>
      <c r="G16" s="5">
        <f t="shared" si="1"/>
        <v>1</v>
      </c>
      <c r="H16" s="5" t="s">
        <v>3</v>
      </c>
      <c r="I16" s="5">
        <v>0</v>
      </c>
      <c r="J16" s="7">
        <f>I16+$J$4</f>
        <v>8</v>
      </c>
      <c r="K16" s="7"/>
      <c r="L16" s="8"/>
      <c r="M16" s="3"/>
      <c r="N16" s="3"/>
      <c r="O16" s="3"/>
      <c r="P16" s="3"/>
      <c r="Q16" s="3"/>
      <c r="R16" s="3"/>
      <c r="S16" s="31"/>
      <c r="T16" s="4">
        <v>2</v>
      </c>
      <c r="U16" s="4">
        <v>1</v>
      </c>
      <c r="V16" s="3"/>
      <c r="W16" s="3"/>
      <c r="X16" s="3"/>
      <c r="Y16" s="3"/>
      <c r="Z16" s="3"/>
      <c r="AA16" s="31"/>
      <c r="AB16" s="40">
        <v>2</v>
      </c>
      <c r="AC16" s="40">
        <v>1</v>
      </c>
      <c r="AD16" s="3"/>
      <c r="AE16" s="3"/>
      <c r="AF16" s="3"/>
      <c r="AG16" s="3"/>
      <c r="AH16" s="3"/>
      <c r="AI16" s="31"/>
      <c r="AJ16" s="37">
        <v>2</v>
      </c>
      <c r="AK16" s="37">
        <v>1</v>
      </c>
      <c r="AL16" s="3"/>
      <c r="AM16" s="3"/>
      <c r="AN16" s="3"/>
      <c r="AO16" s="3"/>
      <c r="AP16" s="3"/>
      <c r="AQ16" s="31"/>
      <c r="AR16" s="3">
        <v>2</v>
      </c>
      <c r="AS16" s="3">
        <v>1</v>
      </c>
      <c r="AT16" s="3"/>
      <c r="AU16" s="3"/>
      <c r="AV16" s="3"/>
      <c r="AW16" s="3"/>
      <c r="AX16" s="5"/>
      <c r="AY16" s="64"/>
    </row>
    <row r="17" spans="2:51" s="45" customFormat="1" x14ac:dyDescent="0.25">
      <c r="B17" s="3">
        <f>B15</f>
        <v>2</v>
      </c>
      <c r="C17" s="3">
        <v>6</v>
      </c>
      <c r="D17" s="5"/>
      <c r="E17" s="34" t="s">
        <v>33</v>
      </c>
      <c r="F17" s="5" t="s">
        <v>18</v>
      </c>
      <c r="G17" s="5">
        <f t="shared" si="1"/>
        <v>1</v>
      </c>
      <c r="H17" s="3" t="str">
        <f>H15</f>
        <v>B</v>
      </c>
      <c r="I17" s="32"/>
      <c r="J17" s="32"/>
      <c r="K17" s="30"/>
      <c r="L17" s="8">
        <v>2</v>
      </c>
      <c r="M17" s="3">
        <v>1</v>
      </c>
      <c r="N17" s="3">
        <v>8</v>
      </c>
      <c r="O17" s="3">
        <v>7</v>
      </c>
      <c r="P17" s="3">
        <v>6</v>
      </c>
      <c r="Q17" s="3">
        <v>5</v>
      </c>
      <c r="R17" s="3">
        <v>4</v>
      </c>
      <c r="S17" s="59">
        <v>3</v>
      </c>
      <c r="T17" s="42">
        <v>2</v>
      </c>
      <c r="U17" s="6">
        <v>1</v>
      </c>
      <c r="V17" s="4">
        <v>8</v>
      </c>
      <c r="W17" s="4">
        <v>7</v>
      </c>
      <c r="X17" s="4">
        <v>6</v>
      </c>
      <c r="Y17" s="4">
        <v>5</v>
      </c>
      <c r="Z17" s="4">
        <v>4</v>
      </c>
      <c r="AA17" s="21">
        <v>3</v>
      </c>
      <c r="AB17" s="9">
        <v>2</v>
      </c>
      <c r="AC17" s="4">
        <v>1</v>
      </c>
      <c r="AD17" s="40">
        <v>8</v>
      </c>
      <c r="AE17" s="40">
        <v>7</v>
      </c>
      <c r="AF17" s="40">
        <v>6</v>
      </c>
      <c r="AG17" s="40">
        <v>5</v>
      </c>
      <c r="AH17" s="40">
        <v>4</v>
      </c>
      <c r="AI17" s="41">
        <v>3</v>
      </c>
      <c r="AJ17" s="39">
        <v>2</v>
      </c>
      <c r="AK17" s="40">
        <v>1</v>
      </c>
      <c r="AL17" s="37">
        <v>8</v>
      </c>
      <c r="AM17" s="37">
        <v>7</v>
      </c>
      <c r="AN17" s="37">
        <v>6</v>
      </c>
      <c r="AO17" s="37">
        <v>5</v>
      </c>
      <c r="AP17" s="37">
        <v>4</v>
      </c>
      <c r="AQ17" s="90">
        <v>3</v>
      </c>
      <c r="AR17" s="36">
        <v>2</v>
      </c>
      <c r="AS17" s="37">
        <v>1</v>
      </c>
      <c r="AT17" s="3">
        <v>8</v>
      </c>
      <c r="AU17" s="3">
        <v>7</v>
      </c>
      <c r="AV17" s="3">
        <v>6</v>
      </c>
      <c r="AW17" s="3">
        <v>5</v>
      </c>
      <c r="AX17" s="3">
        <v>4</v>
      </c>
      <c r="AY17" s="31">
        <v>3</v>
      </c>
    </row>
    <row r="18" spans="2:51" x14ac:dyDescent="0.25">
      <c r="B18" s="5">
        <v>3</v>
      </c>
      <c r="C18" s="5">
        <v>1</v>
      </c>
      <c r="D18" s="5" t="s">
        <v>35</v>
      </c>
      <c r="E18" s="49" t="s">
        <v>24</v>
      </c>
      <c r="F18" s="5" t="s">
        <v>18</v>
      </c>
      <c r="G18" s="5">
        <f t="shared" si="1"/>
        <v>1</v>
      </c>
      <c r="H18" s="5" t="s">
        <v>6</v>
      </c>
      <c r="I18" s="5">
        <v>2</v>
      </c>
      <c r="J18" s="7">
        <f t="shared" si="0"/>
        <v>10</v>
      </c>
      <c r="K18" s="7"/>
      <c r="L18" s="8"/>
      <c r="M18" s="3"/>
      <c r="N18" s="3"/>
      <c r="O18" s="3"/>
      <c r="P18" s="3"/>
      <c r="Q18" s="3"/>
      <c r="R18" s="3"/>
      <c r="S18" s="31"/>
      <c r="T18" s="8"/>
      <c r="U18" s="3"/>
      <c r="V18" s="4">
        <v>3</v>
      </c>
      <c r="W18" s="3"/>
      <c r="X18" s="3"/>
      <c r="Y18" s="3"/>
      <c r="Z18" s="3"/>
      <c r="AA18" s="31"/>
      <c r="AB18" s="8"/>
      <c r="AC18" s="3"/>
      <c r="AD18" s="40">
        <v>3</v>
      </c>
      <c r="AE18" s="3"/>
      <c r="AF18" s="3"/>
      <c r="AG18" s="3"/>
      <c r="AH18" s="3"/>
      <c r="AI18" s="31"/>
      <c r="AJ18" s="8"/>
      <c r="AK18" s="3"/>
      <c r="AL18" s="37">
        <v>3</v>
      </c>
      <c r="AM18" s="3"/>
      <c r="AN18" s="3"/>
      <c r="AO18" s="3"/>
      <c r="AP18" s="3"/>
      <c r="AQ18" s="30"/>
      <c r="AR18" s="8"/>
      <c r="AS18" s="3"/>
      <c r="AT18" s="3">
        <v>3</v>
      </c>
      <c r="AU18" s="3"/>
      <c r="AV18" s="3"/>
      <c r="AW18" s="3"/>
      <c r="AX18" s="5"/>
      <c r="AY18" s="64"/>
    </row>
    <row r="19" spans="2:51" x14ac:dyDescent="0.25">
      <c r="B19" s="5">
        <v>3</v>
      </c>
      <c r="C19" s="5">
        <v>2</v>
      </c>
      <c r="D19" s="5" t="s">
        <v>21</v>
      </c>
      <c r="E19" s="49" t="s">
        <v>21</v>
      </c>
      <c r="F19" s="5" t="s">
        <v>18</v>
      </c>
      <c r="G19" s="5">
        <f t="shared" si="1"/>
        <v>1</v>
      </c>
      <c r="H19" s="5" t="s">
        <v>6</v>
      </c>
      <c r="I19" s="5">
        <v>3</v>
      </c>
      <c r="J19" s="7">
        <f t="shared" si="0"/>
        <v>11</v>
      </c>
      <c r="K19" s="7"/>
      <c r="L19" s="8"/>
      <c r="M19" s="3"/>
      <c r="N19" s="3"/>
      <c r="O19" s="3"/>
      <c r="P19" s="3"/>
      <c r="Q19" s="3"/>
      <c r="R19" s="3"/>
      <c r="S19" s="31"/>
      <c r="T19" s="8"/>
      <c r="U19" s="3"/>
      <c r="V19" s="3"/>
      <c r="W19" s="4">
        <v>2</v>
      </c>
      <c r="X19" s="3"/>
      <c r="Y19" s="3"/>
      <c r="Z19" s="3"/>
      <c r="AA19" s="31"/>
      <c r="AB19" s="8"/>
      <c r="AC19" s="3"/>
      <c r="AD19" s="3"/>
      <c r="AE19" s="40">
        <v>2</v>
      </c>
      <c r="AF19" s="3"/>
      <c r="AG19" s="3"/>
      <c r="AH19" s="3"/>
      <c r="AI19" s="31"/>
      <c r="AJ19" s="8"/>
      <c r="AK19" s="3"/>
      <c r="AL19" s="3"/>
      <c r="AM19" s="37">
        <v>2</v>
      </c>
      <c r="AN19" s="3"/>
      <c r="AO19" s="3"/>
      <c r="AP19" s="3"/>
      <c r="AQ19" s="30"/>
      <c r="AR19" s="8"/>
      <c r="AS19" s="3"/>
      <c r="AT19" s="3"/>
      <c r="AU19" s="3">
        <v>2</v>
      </c>
      <c r="AV19" s="3"/>
      <c r="AW19" s="3"/>
      <c r="AX19" s="5"/>
      <c r="AY19" s="64"/>
    </row>
    <row r="20" spans="2:51" x14ac:dyDescent="0.25">
      <c r="B20" s="5">
        <v>3</v>
      </c>
      <c r="C20" s="5">
        <v>3</v>
      </c>
      <c r="D20" s="5" t="s">
        <v>0</v>
      </c>
      <c r="E20" s="34" t="s">
        <v>0</v>
      </c>
      <c r="F20" s="5" t="s">
        <v>18</v>
      </c>
      <c r="G20" s="3">
        <v>1</v>
      </c>
      <c r="H20" s="5" t="s">
        <v>6</v>
      </c>
      <c r="I20" s="30">
        <v>5</v>
      </c>
      <c r="J20" s="30">
        <f t="shared" si="0"/>
        <v>13</v>
      </c>
      <c r="K20" s="7"/>
      <c r="L20" s="79"/>
      <c r="M20" s="80"/>
      <c r="N20" s="80"/>
      <c r="O20" s="80"/>
      <c r="P20" s="80"/>
      <c r="Q20" s="80"/>
      <c r="R20" s="80"/>
      <c r="S20" s="81"/>
      <c r="T20" s="79"/>
      <c r="U20" s="80"/>
      <c r="V20" s="80"/>
      <c r="W20" s="80"/>
      <c r="X20" s="3"/>
      <c r="Y20" s="4">
        <v>8</v>
      </c>
      <c r="Z20" s="4">
        <v>7</v>
      </c>
      <c r="AA20" s="21">
        <v>6</v>
      </c>
      <c r="AB20" s="9">
        <v>5</v>
      </c>
      <c r="AC20" s="4">
        <v>4</v>
      </c>
      <c r="AD20" s="80"/>
      <c r="AE20" s="80"/>
      <c r="AF20" s="3"/>
      <c r="AG20" s="40">
        <v>8</v>
      </c>
      <c r="AH20" s="40">
        <v>7</v>
      </c>
      <c r="AI20" s="41">
        <v>6</v>
      </c>
      <c r="AJ20" s="39">
        <v>5</v>
      </c>
      <c r="AK20" s="40">
        <v>4</v>
      </c>
      <c r="AL20" s="80"/>
      <c r="AM20" s="80"/>
      <c r="AN20" s="3"/>
      <c r="AO20" s="37">
        <v>8</v>
      </c>
      <c r="AP20" s="37">
        <v>7</v>
      </c>
      <c r="AQ20" s="90">
        <v>6</v>
      </c>
      <c r="AR20" s="36">
        <v>5</v>
      </c>
      <c r="AS20" s="37">
        <v>4</v>
      </c>
      <c r="AT20" s="80"/>
      <c r="AU20" s="80"/>
      <c r="AV20" s="80"/>
      <c r="AW20" s="80"/>
      <c r="AX20" s="80"/>
      <c r="AY20" s="81"/>
    </row>
    <row r="21" spans="2:51" s="45" customFormat="1" x14ac:dyDescent="0.25">
      <c r="B21" s="3">
        <f>B20</f>
        <v>3</v>
      </c>
      <c r="C21" s="3">
        <v>4</v>
      </c>
      <c r="D21" s="5" t="s">
        <v>0</v>
      </c>
      <c r="E21" s="34" t="s">
        <v>32</v>
      </c>
      <c r="F21" s="5" t="s">
        <v>18</v>
      </c>
      <c r="G21" s="5">
        <f t="shared" ref="G21:H25" si="2">G20</f>
        <v>1</v>
      </c>
      <c r="H21" s="3" t="str">
        <f t="shared" si="2"/>
        <v>E</v>
      </c>
      <c r="I21" s="30">
        <v>2</v>
      </c>
      <c r="J21" s="30">
        <f t="shared" si="0"/>
        <v>10</v>
      </c>
      <c r="K21" s="30"/>
      <c r="L21" s="8"/>
      <c r="M21" s="3"/>
      <c r="N21" s="3"/>
      <c r="O21" s="3"/>
      <c r="P21" s="3"/>
      <c r="Q21" s="3"/>
      <c r="R21" s="3"/>
      <c r="S21" s="31"/>
      <c r="T21" s="8"/>
      <c r="U21" s="3"/>
      <c r="V21" s="3">
        <v>3</v>
      </c>
      <c r="W21" s="3">
        <v>2</v>
      </c>
      <c r="X21" s="3"/>
      <c r="Y21" s="3"/>
      <c r="Z21" s="3"/>
      <c r="AA21" s="31"/>
      <c r="AB21" s="8"/>
      <c r="AC21" s="3"/>
      <c r="AD21" s="4">
        <v>3</v>
      </c>
      <c r="AE21" s="4">
        <v>2</v>
      </c>
      <c r="AF21" s="3"/>
      <c r="AG21" s="3"/>
      <c r="AH21" s="3"/>
      <c r="AI21" s="31"/>
      <c r="AJ21" s="8"/>
      <c r="AK21" s="3"/>
      <c r="AL21" s="40">
        <v>3</v>
      </c>
      <c r="AM21" s="40">
        <v>2</v>
      </c>
      <c r="AN21" s="3"/>
      <c r="AO21" s="3"/>
      <c r="AP21" s="3"/>
      <c r="AQ21" s="30"/>
      <c r="AR21" s="8"/>
      <c r="AS21" s="34"/>
      <c r="AT21" s="37">
        <v>3</v>
      </c>
      <c r="AU21" s="37">
        <v>2</v>
      </c>
      <c r="AV21" s="3"/>
      <c r="AW21" s="3"/>
      <c r="AX21" s="3"/>
      <c r="AY21" s="31"/>
    </row>
    <row r="22" spans="2:51" x14ac:dyDescent="0.25">
      <c r="B22" s="5">
        <v>3</v>
      </c>
      <c r="C22" s="5">
        <v>5</v>
      </c>
      <c r="D22" s="5" t="s">
        <v>0</v>
      </c>
      <c r="E22" s="49" t="s">
        <v>22</v>
      </c>
      <c r="F22" s="5" t="s">
        <v>18</v>
      </c>
      <c r="G22" s="5">
        <f t="shared" si="2"/>
        <v>1</v>
      </c>
      <c r="H22" s="5" t="s">
        <v>6</v>
      </c>
      <c r="I22" s="5">
        <v>4</v>
      </c>
      <c r="J22" s="7">
        <f>I22+$J$4</f>
        <v>12</v>
      </c>
      <c r="K22" s="7"/>
      <c r="L22" s="8"/>
      <c r="M22" s="3"/>
      <c r="N22" s="3"/>
      <c r="O22" s="3"/>
      <c r="P22" s="3"/>
      <c r="Q22" s="3"/>
      <c r="R22" s="3"/>
      <c r="S22" s="31"/>
      <c r="T22" s="8"/>
      <c r="U22" s="3"/>
      <c r="V22" s="3"/>
      <c r="W22" s="3"/>
      <c r="X22" s="4">
        <v>1</v>
      </c>
      <c r="Y22" s="3"/>
      <c r="Z22" s="3"/>
      <c r="AA22" s="31"/>
      <c r="AB22" s="8"/>
      <c r="AC22" s="3"/>
      <c r="AD22" s="3"/>
      <c r="AE22" s="3"/>
      <c r="AF22" s="40">
        <v>1</v>
      </c>
      <c r="AG22" s="3"/>
      <c r="AH22" s="3"/>
      <c r="AI22" s="31"/>
      <c r="AJ22" s="8"/>
      <c r="AK22" s="3"/>
      <c r="AL22" s="3"/>
      <c r="AM22" s="3"/>
      <c r="AN22" s="37">
        <v>1</v>
      </c>
      <c r="AO22" s="3"/>
      <c r="AP22" s="3"/>
      <c r="AQ22" s="30"/>
      <c r="AR22" s="8"/>
      <c r="AS22" s="3"/>
      <c r="AT22" s="3"/>
      <c r="AU22" s="3"/>
      <c r="AV22" s="3">
        <v>1</v>
      </c>
      <c r="AW22" s="3"/>
      <c r="AX22" s="5"/>
      <c r="AY22" s="64"/>
    </row>
    <row r="23" spans="2:51" s="45" customFormat="1" x14ac:dyDescent="0.25">
      <c r="B23" s="3">
        <f>B21</f>
        <v>3</v>
      </c>
      <c r="C23" s="3">
        <v>6</v>
      </c>
      <c r="D23" s="5"/>
      <c r="E23" s="34" t="s">
        <v>33</v>
      </c>
      <c r="F23" s="5" t="s">
        <v>18</v>
      </c>
      <c r="G23" s="5">
        <f t="shared" si="2"/>
        <v>1</v>
      </c>
      <c r="H23" s="3" t="str">
        <f>H21</f>
        <v>E</v>
      </c>
      <c r="I23" s="32"/>
      <c r="J23" s="32"/>
      <c r="K23" s="30"/>
      <c r="L23" s="8">
        <v>5</v>
      </c>
      <c r="M23" s="3">
        <v>4</v>
      </c>
      <c r="N23" s="3">
        <v>3</v>
      </c>
      <c r="O23" s="3">
        <v>2</v>
      </c>
      <c r="P23" s="3">
        <v>1</v>
      </c>
      <c r="Q23" s="3">
        <v>8</v>
      </c>
      <c r="R23" s="3">
        <v>7</v>
      </c>
      <c r="S23" s="31">
        <v>6</v>
      </c>
      <c r="T23" s="8">
        <v>5</v>
      </c>
      <c r="U23" s="3">
        <v>4</v>
      </c>
      <c r="V23" s="56">
        <v>3</v>
      </c>
      <c r="W23" s="46">
        <v>2</v>
      </c>
      <c r="X23" s="6">
        <v>1</v>
      </c>
      <c r="Y23" s="4">
        <v>8</v>
      </c>
      <c r="Z23" s="4">
        <v>7</v>
      </c>
      <c r="AA23" s="21">
        <v>6</v>
      </c>
      <c r="AB23" s="9">
        <v>5</v>
      </c>
      <c r="AC23" s="4">
        <v>4</v>
      </c>
      <c r="AD23" s="4">
        <v>3</v>
      </c>
      <c r="AE23" s="4">
        <v>2</v>
      </c>
      <c r="AF23" s="4">
        <v>1</v>
      </c>
      <c r="AG23" s="40">
        <v>8</v>
      </c>
      <c r="AH23" s="40">
        <v>7</v>
      </c>
      <c r="AI23" s="41">
        <v>6</v>
      </c>
      <c r="AJ23" s="39">
        <v>5</v>
      </c>
      <c r="AK23" s="40">
        <v>4</v>
      </c>
      <c r="AL23" s="40">
        <v>3</v>
      </c>
      <c r="AM23" s="40">
        <v>2</v>
      </c>
      <c r="AN23" s="40">
        <v>1</v>
      </c>
      <c r="AO23" s="37">
        <v>8</v>
      </c>
      <c r="AP23" s="37">
        <v>7</v>
      </c>
      <c r="AQ23" s="90">
        <v>6</v>
      </c>
      <c r="AR23" s="36">
        <v>5</v>
      </c>
      <c r="AS23" s="37">
        <v>4</v>
      </c>
      <c r="AT23" s="37">
        <v>3</v>
      </c>
      <c r="AU23" s="37">
        <v>2</v>
      </c>
      <c r="AV23" s="37">
        <v>1</v>
      </c>
      <c r="AW23" s="3">
        <v>8</v>
      </c>
      <c r="AX23" s="3">
        <v>7</v>
      </c>
      <c r="AY23" s="31">
        <v>6</v>
      </c>
    </row>
    <row r="24" spans="2:51" x14ac:dyDescent="0.25">
      <c r="B24" s="5">
        <v>4</v>
      </c>
      <c r="C24" s="5">
        <v>1</v>
      </c>
      <c r="D24" s="5" t="s">
        <v>35</v>
      </c>
      <c r="E24" s="49" t="s">
        <v>24</v>
      </c>
      <c r="F24" s="5" t="s">
        <v>18</v>
      </c>
      <c r="G24" s="5">
        <f t="shared" si="2"/>
        <v>1</v>
      </c>
      <c r="H24" s="5" t="s">
        <v>11</v>
      </c>
      <c r="I24" s="5">
        <v>3</v>
      </c>
      <c r="J24" s="7">
        <f t="shared" si="0"/>
        <v>11</v>
      </c>
      <c r="K24" s="7"/>
      <c r="L24" s="8"/>
      <c r="M24" s="3"/>
      <c r="N24" s="3"/>
      <c r="O24" s="3"/>
      <c r="P24" s="3"/>
      <c r="Q24" s="3"/>
      <c r="R24" s="3"/>
      <c r="S24" s="31"/>
      <c r="T24" s="8"/>
      <c r="U24" s="3"/>
      <c r="V24" s="3"/>
      <c r="W24" s="4">
        <v>4</v>
      </c>
      <c r="X24" s="3"/>
      <c r="Y24" s="3"/>
      <c r="Z24" s="3"/>
      <c r="AA24" s="31"/>
      <c r="AB24" s="8"/>
      <c r="AC24" s="3"/>
      <c r="AD24" s="49"/>
      <c r="AE24" s="40">
        <v>4</v>
      </c>
      <c r="AF24" s="3"/>
      <c r="AG24" s="3"/>
      <c r="AH24" s="3"/>
      <c r="AI24" s="31"/>
      <c r="AJ24" s="8"/>
      <c r="AK24" s="3"/>
      <c r="AL24" s="49"/>
      <c r="AM24" s="37">
        <v>4</v>
      </c>
      <c r="AN24" s="3"/>
      <c r="AO24" s="3"/>
      <c r="AP24" s="3"/>
      <c r="AQ24" s="31"/>
      <c r="AR24" s="8"/>
      <c r="AS24" s="3"/>
      <c r="AT24" s="49"/>
      <c r="AU24" s="3">
        <v>4</v>
      </c>
      <c r="AV24" s="3"/>
      <c r="AW24" s="3"/>
      <c r="AX24" s="5"/>
      <c r="AY24" s="64"/>
    </row>
    <row r="25" spans="2:51" x14ac:dyDescent="0.25">
      <c r="B25" s="5">
        <v>4</v>
      </c>
      <c r="C25" s="5">
        <v>2</v>
      </c>
      <c r="D25" s="5" t="s">
        <v>21</v>
      </c>
      <c r="E25" s="49" t="s">
        <v>21</v>
      </c>
      <c r="F25" s="5" t="s">
        <v>18</v>
      </c>
      <c r="G25" s="5">
        <f t="shared" si="2"/>
        <v>1</v>
      </c>
      <c r="H25" s="5" t="s">
        <v>11</v>
      </c>
      <c r="I25" s="5">
        <v>4</v>
      </c>
      <c r="J25" s="7">
        <f t="shared" si="0"/>
        <v>12</v>
      </c>
      <c r="K25" s="7"/>
      <c r="L25" s="8"/>
      <c r="M25" s="3"/>
      <c r="N25" s="3"/>
      <c r="O25" s="3"/>
      <c r="P25" s="3"/>
      <c r="Q25" s="3"/>
      <c r="R25" s="3"/>
      <c r="S25" s="31"/>
      <c r="T25" s="8"/>
      <c r="U25" s="3"/>
      <c r="V25" s="3"/>
      <c r="W25" s="49"/>
      <c r="X25" s="4">
        <v>3</v>
      </c>
      <c r="Y25" s="3"/>
      <c r="Z25" s="3"/>
      <c r="AA25" s="31"/>
      <c r="AB25" s="8"/>
      <c r="AC25" s="3"/>
      <c r="AD25" s="49"/>
      <c r="AE25" s="3"/>
      <c r="AF25" s="40">
        <v>3</v>
      </c>
      <c r="AG25" s="3"/>
      <c r="AH25" s="3"/>
      <c r="AI25" s="31"/>
      <c r="AJ25" s="8"/>
      <c r="AK25" s="3"/>
      <c r="AL25" s="49"/>
      <c r="AM25" s="3"/>
      <c r="AN25" s="37">
        <v>3</v>
      </c>
      <c r="AO25" s="3"/>
      <c r="AP25" s="3"/>
      <c r="AQ25" s="31"/>
      <c r="AR25" s="8"/>
      <c r="AS25" s="3"/>
      <c r="AT25" s="49"/>
      <c r="AU25" s="3"/>
      <c r="AV25" s="3">
        <v>3</v>
      </c>
      <c r="AW25" s="3"/>
      <c r="AX25" s="5"/>
      <c r="AY25" s="64"/>
    </row>
    <row r="26" spans="2:51" x14ac:dyDescent="0.25">
      <c r="B26" s="5">
        <v>4</v>
      </c>
      <c r="C26" s="5">
        <v>3</v>
      </c>
      <c r="D26" s="5" t="s">
        <v>0</v>
      </c>
      <c r="E26" s="34" t="s">
        <v>0</v>
      </c>
      <c r="F26" s="5" t="s">
        <v>18</v>
      </c>
      <c r="G26" s="3">
        <v>1</v>
      </c>
      <c r="H26" s="5" t="s">
        <v>11</v>
      </c>
      <c r="I26" s="30">
        <v>7</v>
      </c>
      <c r="J26" s="30">
        <f t="shared" si="0"/>
        <v>15</v>
      </c>
      <c r="K26" s="7"/>
      <c r="L26" s="79"/>
      <c r="M26" s="80"/>
      <c r="N26" s="80"/>
      <c r="O26" s="80"/>
      <c r="P26" s="80"/>
      <c r="Q26" s="80"/>
      <c r="R26" s="80"/>
      <c r="S26" s="81"/>
      <c r="T26" s="79"/>
      <c r="U26" s="80"/>
      <c r="V26" s="80"/>
      <c r="W26" s="80"/>
      <c r="X26" s="80"/>
      <c r="Y26" s="80"/>
      <c r="Z26" s="3"/>
      <c r="AA26" s="21">
        <v>8</v>
      </c>
      <c r="AB26" s="9">
        <v>7</v>
      </c>
      <c r="AC26" s="4">
        <v>6</v>
      </c>
      <c r="AD26" s="4">
        <v>5</v>
      </c>
      <c r="AE26" s="4">
        <v>4</v>
      </c>
      <c r="AF26" s="80"/>
      <c r="AG26" s="80"/>
      <c r="AH26" s="3"/>
      <c r="AI26" s="41">
        <v>8</v>
      </c>
      <c r="AJ26" s="39">
        <v>7</v>
      </c>
      <c r="AK26" s="40">
        <v>6</v>
      </c>
      <c r="AL26" s="40">
        <v>5</v>
      </c>
      <c r="AM26" s="40">
        <v>4</v>
      </c>
      <c r="AN26" s="80"/>
      <c r="AO26" s="80"/>
      <c r="AP26" s="3"/>
      <c r="AQ26" s="90">
        <v>8</v>
      </c>
      <c r="AR26" s="36">
        <v>7</v>
      </c>
      <c r="AS26" s="37">
        <v>6</v>
      </c>
      <c r="AT26" s="37">
        <v>5</v>
      </c>
      <c r="AU26" s="37">
        <v>4</v>
      </c>
      <c r="AV26" s="80"/>
      <c r="AW26" s="80"/>
      <c r="AX26" s="80"/>
      <c r="AY26" s="81"/>
    </row>
    <row r="27" spans="2:51" s="45" customFormat="1" x14ac:dyDescent="0.25">
      <c r="B27" s="3">
        <f>B26</f>
        <v>4</v>
      </c>
      <c r="C27" s="3">
        <v>4</v>
      </c>
      <c r="D27" s="5" t="s">
        <v>0</v>
      </c>
      <c r="E27" s="34" t="s">
        <v>32</v>
      </c>
      <c r="F27" s="5" t="s">
        <v>18</v>
      </c>
      <c r="G27" s="5">
        <f t="shared" ref="G27:H31" si="3">G26</f>
        <v>1</v>
      </c>
      <c r="H27" s="3" t="str">
        <f t="shared" si="3"/>
        <v>J</v>
      </c>
      <c r="I27" s="30">
        <v>4</v>
      </c>
      <c r="J27" s="30">
        <f>I27+$J$4</f>
        <v>12</v>
      </c>
      <c r="K27" s="30"/>
      <c r="L27" s="8"/>
      <c r="M27" s="3"/>
      <c r="N27" s="3"/>
      <c r="O27" s="3"/>
      <c r="P27" s="3"/>
      <c r="Q27" s="3"/>
      <c r="R27" s="3"/>
      <c r="S27" s="31"/>
      <c r="T27" s="8"/>
      <c r="U27" s="3"/>
      <c r="V27" s="3"/>
      <c r="W27" s="3"/>
      <c r="X27" s="3">
        <v>3</v>
      </c>
      <c r="Y27" s="3"/>
      <c r="Z27" s="3"/>
      <c r="AA27" s="31"/>
      <c r="AB27" s="8"/>
      <c r="AC27" s="3"/>
      <c r="AD27" s="3"/>
      <c r="AE27" s="34"/>
      <c r="AF27" s="4">
        <v>3</v>
      </c>
      <c r="AG27" s="3"/>
      <c r="AH27" s="3"/>
      <c r="AI27" s="31"/>
      <c r="AJ27" s="8"/>
      <c r="AK27" s="3"/>
      <c r="AL27" s="3"/>
      <c r="AM27" s="34"/>
      <c r="AN27" s="40">
        <v>3</v>
      </c>
      <c r="AO27" s="3"/>
      <c r="AP27" s="3"/>
      <c r="AQ27" s="31"/>
      <c r="AR27" s="8"/>
      <c r="AS27" s="3"/>
      <c r="AT27" s="3"/>
      <c r="AU27" s="34"/>
      <c r="AV27" s="37">
        <v>3</v>
      </c>
      <c r="AW27" s="3"/>
      <c r="AX27" s="3"/>
      <c r="AY27" s="31"/>
    </row>
    <row r="28" spans="2:51" x14ac:dyDescent="0.25">
      <c r="B28" s="5">
        <v>4</v>
      </c>
      <c r="C28" s="5">
        <v>5</v>
      </c>
      <c r="D28" s="5" t="s">
        <v>0</v>
      </c>
      <c r="E28" s="49" t="s">
        <v>22</v>
      </c>
      <c r="F28" s="5" t="s">
        <v>18</v>
      </c>
      <c r="G28" s="5">
        <f t="shared" si="3"/>
        <v>1</v>
      </c>
      <c r="H28" s="5" t="s">
        <v>11</v>
      </c>
      <c r="I28" s="5">
        <v>5</v>
      </c>
      <c r="J28" s="7">
        <f>I28+$J$4</f>
        <v>13</v>
      </c>
      <c r="K28" s="7"/>
      <c r="L28" s="8"/>
      <c r="M28" s="3"/>
      <c r="N28" s="3"/>
      <c r="O28" s="3"/>
      <c r="P28" s="3"/>
      <c r="Q28" s="3"/>
      <c r="R28" s="3"/>
      <c r="S28" s="31"/>
      <c r="T28" s="8"/>
      <c r="U28" s="3"/>
      <c r="V28" s="3"/>
      <c r="W28" s="3"/>
      <c r="X28" s="49"/>
      <c r="Y28" s="4">
        <v>2</v>
      </c>
      <c r="Z28" s="4">
        <v>1</v>
      </c>
      <c r="AA28" s="31"/>
      <c r="AB28" s="8"/>
      <c r="AC28" s="3"/>
      <c r="AD28" s="3"/>
      <c r="AE28" s="49"/>
      <c r="AF28" s="3"/>
      <c r="AG28" s="40">
        <v>2</v>
      </c>
      <c r="AH28" s="40">
        <v>1</v>
      </c>
      <c r="AI28" s="31"/>
      <c r="AJ28" s="8"/>
      <c r="AK28" s="3"/>
      <c r="AL28" s="3"/>
      <c r="AM28" s="49"/>
      <c r="AN28" s="3"/>
      <c r="AO28" s="37">
        <v>2</v>
      </c>
      <c r="AP28" s="37">
        <v>1</v>
      </c>
      <c r="AQ28" s="31"/>
      <c r="AR28" s="8"/>
      <c r="AS28" s="3"/>
      <c r="AT28" s="3"/>
      <c r="AU28" s="49"/>
      <c r="AV28" s="3"/>
      <c r="AW28" s="3">
        <v>2</v>
      </c>
      <c r="AX28" s="3">
        <v>1</v>
      </c>
      <c r="AY28" s="64"/>
    </row>
    <row r="29" spans="2:51" s="45" customFormat="1" x14ac:dyDescent="0.25">
      <c r="B29" s="3">
        <f>B27</f>
        <v>4</v>
      </c>
      <c r="C29" s="3">
        <v>6</v>
      </c>
      <c r="D29" s="5"/>
      <c r="E29" s="34" t="s">
        <v>33</v>
      </c>
      <c r="F29" s="5" t="s">
        <v>18</v>
      </c>
      <c r="G29" s="5">
        <f t="shared" si="3"/>
        <v>1</v>
      </c>
      <c r="H29" s="3" t="str">
        <f>H27</f>
        <v>J</v>
      </c>
      <c r="I29" s="32"/>
      <c r="J29" s="32"/>
      <c r="K29" s="30"/>
      <c r="L29" s="8">
        <v>7</v>
      </c>
      <c r="M29" s="3">
        <v>6</v>
      </c>
      <c r="N29" s="3">
        <v>5</v>
      </c>
      <c r="O29" s="3">
        <v>4</v>
      </c>
      <c r="P29" s="3">
        <v>3</v>
      </c>
      <c r="Q29" s="3">
        <v>2</v>
      </c>
      <c r="R29" s="3">
        <v>1</v>
      </c>
      <c r="S29" s="31">
        <v>8</v>
      </c>
      <c r="T29" s="8">
        <v>7</v>
      </c>
      <c r="U29" s="3">
        <v>6</v>
      </c>
      <c r="V29" s="3">
        <v>5</v>
      </c>
      <c r="W29" s="56">
        <v>4</v>
      </c>
      <c r="X29" s="46">
        <v>3</v>
      </c>
      <c r="Y29" s="6">
        <v>2</v>
      </c>
      <c r="Z29" s="6">
        <v>1</v>
      </c>
      <c r="AA29" s="21">
        <v>8</v>
      </c>
      <c r="AB29" s="9">
        <v>7</v>
      </c>
      <c r="AC29" s="4">
        <v>6</v>
      </c>
      <c r="AD29" s="4">
        <v>5</v>
      </c>
      <c r="AE29" s="4">
        <v>4</v>
      </c>
      <c r="AF29" s="4">
        <v>3</v>
      </c>
      <c r="AG29" s="4">
        <v>2</v>
      </c>
      <c r="AH29" s="4">
        <v>1</v>
      </c>
      <c r="AI29" s="41">
        <v>8</v>
      </c>
      <c r="AJ29" s="39">
        <v>7</v>
      </c>
      <c r="AK29" s="40">
        <v>6</v>
      </c>
      <c r="AL29" s="40">
        <v>5</v>
      </c>
      <c r="AM29" s="40">
        <v>4</v>
      </c>
      <c r="AN29" s="40">
        <v>3</v>
      </c>
      <c r="AO29" s="40">
        <v>2</v>
      </c>
      <c r="AP29" s="40">
        <v>1</v>
      </c>
      <c r="AQ29" s="38">
        <v>8</v>
      </c>
      <c r="AR29" s="36">
        <v>7</v>
      </c>
      <c r="AS29" s="37">
        <v>6</v>
      </c>
      <c r="AT29" s="37">
        <v>5</v>
      </c>
      <c r="AU29" s="37">
        <v>4</v>
      </c>
      <c r="AV29" s="37">
        <v>3</v>
      </c>
      <c r="AW29" s="37">
        <v>2</v>
      </c>
      <c r="AX29" s="37">
        <v>1</v>
      </c>
      <c r="AY29" s="31">
        <v>8</v>
      </c>
    </row>
    <row r="30" spans="2:51" x14ac:dyDescent="0.25">
      <c r="B30" s="5">
        <v>5</v>
      </c>
      <c r="C30" s="5">
        <v>1</v>
      </c>
      <c r="D30" s="5" t="s">
        <v>35</v>
      </c>
      <c r="E30" s="49" t="s">
        <v>24</v>
      </c>
      <c r="F30" s="5" t="s">
        <v>18</v>
      </c>
      <c r="G30" s="5">
        <f t="shared" si="3"/>
        <v>1</v>
      </c>
      <c r="H30" s="5" t="s">
        <v>5</v>
      </c>
      <c r="I30" s="5">
        <v>0</v>
      </c>
      <c r="J30" s="7">
        <f t="shared" si="0"/>
        <v>8</v>
      </c>
      <c r="K30" s="7" t="s">
        <v>28</v>
      </c>
      <c r="L30" s="8"/>
      <c r="M30" s="3"/>
      <c r="N30" s="3"/>
      <c r="O30" s="3"/>
      <c r="P30" s="3"/>
      <c r="Q30" s="3"/>
      <c r="R30" s="3"/>
      <c r="S30" s="31"/>
      <c r="T30" s="9">
        <v>4</v>
      </c>
      <c r="U30" s="4">
        <v>3</v>
      </c>
      <c r="V30" s="3"/>
      <c r="W30" s="3"/>
      <c r="X30" s="3"/>
      <c r="Y30" s="3"/>
      <c r="Z30" s="3"/>
      <c r="AA30" s="31"/>
      <c r="AB30" s="39">
        <v>4</v>
      </c>
      <c r="AC30" s="40">
        <v>3</v>
      </c>
      <c r="AD30" s="3"/>
      <c r="AE30" s="3"/>
      <c r="AF30" s="3"/>
      <c r="AG30" s="3"/>
      <c r="AH30" s="3"/>
      <c r="AI30" s="31"/>
      <c r="AJ30" s="36">
        <v>4</v>
      </c>
      <c r="AK30" s="37">
        <v>3</v>
      </c>
      <c r="AL30" s="3"/>
      <c r="AM30" s="3"/>
      <c r="AN30" s="3"/>
      <c r="AO30" s="3"/>
      <c r="AP30" s="3"/>
      <c r="AQ30" s="31"/>
      <c r="AR30" s="8">
        <v>4</v>
      </c>
      <c r="AS30" s="3">
        <v>3</v>
      </c>
      <c r="AT30" s="3"/>
      <c r="AU30" s="3"/>
      <c r="AV30" s="3"/>
      <c r="AW30" s="3"/>
      <c r="AX30" s="5"/>
      <c r="AY30" s="64"/>
    </row>
    <row r="31" spans="2:51" x14ac:dyDescent="0.25">
      <c r="B31" s="5">
        <v>5</v>
      </c>
      <c r="C31" s="5">
        <v>2</v>
      </c>
      <c r="D31" s="5" t="s">
        <v>21</v>
      </c>
      <c r="E31" s="49" t="s">
        <v>21</v>
      </c>
      <c r="F31" s="5" t="s">
        <v>18</v>
      </c>
      <c r="G31" s="5">
        <f t="shared" si="3"/>
        <v>1</v>
      </c>
      <c r="H31" s="5" t="s">
        <v>5</v>
      </c>
      <c r="I31" s="5">
        <v>2</v>
      </c>
      <c r="J31" s="7">
        <f t="shared" si="0"/>
        <v>10</v>
      </c>
      <c r="K31" s="7" t="s">
        <v>28</v>
      </c>
      <c r="L31" s="8"/>
      <c r="M31" s="3"/>
      <c r="N31" s="3"/>
      <c r="O31" s="3"/>
      <c r="P31" s="3"/>
      <c r="Q31" s="3"/>
      <c r="R31" s="3"/>
      <c r="S31" s="31"/>
      <c r="T31" s="8"/>
      <c r="U31" s="49"/>
      <c r="V31" s="4">
        <v>2</v>
      </c>
      <c r="W31" s="3"/>
      <c r="X31" s="3"/>
      <c r="Y31" s="3"/>
      <c r="Z31" s="3"/>
      <c r="AA31" s="31"/>
      <c r="AB31" s="8"/>
      <c r="AC31" s="49"/>
      <c r="AD31" s="40">
        <v>2</v>
      </c>
      <c r="AE31" s="3"/>
      <c r="AF31" s="3"/>
      <c r="AG31" s="3"/>
      <c r="AH31" s="3"/>
      <c r="AI31" s="31"/>
      <c r="AJ31" s="8"/>
      <c r="AK31" s="49"/>
      <c r="AL31" s="37">
        <v>2</v>
      </c>
      <c r="AM31" s="3"/>
      <c r="AN31" s="3"/>
      <c r="AO31" s="3"/>
      <c r="AP31" s="3"/>
      <c r="AQ31" s="31"/>
      <c r="AR31" s="8"/>
      <c r="AS31" s="34"/>
      <c r="AT31" s="3">
        <v>2</v>
      </c>
      <c r="AU31" s="3"/>
      <c r="AV31" s="3"/>
      <c r="AW31" s="3"/>
      <c r="AX31" s="5"/>
      <c r="AY31" s="64"/>
    </row>
    <row r="32" spans="2:51" x14ac:dyDescent="0.25">
      <c r="B32" s="5">
        <v>5</v>
      </c>
      <c r="C32" s="5">
        <v>3</v>
      </c>
      <c r="D32" s="5" t="s">
        <v>0</v>
      </c>
      <c r="E32" s="34" t="s">
        <v>0</v>
      </c>
      <c r="F32" s="5" t="s">
        <v>18</v>
      </c>
      <c r="G32" s="3">
        <v>2</v>
      </c>
      <c r="H32" s="5" t="s">
        <v>5</v>
      </c>
      <c r="I32" s="30">
        <v>4</v>
      </c>
      <c r="J32" s="30">
        <f t="shared" si="0"/>
        <v>12</v>
      </c>
      <c r="K32" s="7" t="s">
        <v>28</v>
      </c>
      <c r="L32" s="79"/>
      <c r="M32" s="80"/>
      <c r="N32" s="80"/>
      <c r="O32" s="80"/>
      <c r="P32" s="80"/>
      <c r="Q32" s="80"/>
      <c r="R32" s="80"/>
      <c r="S32" s="81"/>
      <c r="T32" s="79"/>
      <c r="U32" s="80"/>
      <c r="V32" s="80"/>
      <c r="W32" s="3"/>
      <c r="X32" s="4">
        <v>8</v>
      </c>
      <c r="Y32" s="4">
        <v>7</v>
      </c>
      <c r="Z32" s="4">
        <v>6</v>
      </c>
      <c r="AA32" s="21">
        <v>5</v>
      </c>
      <c r="AB32" s="9">
        <v>4</v>
      </c>
      <c r="AC32" s="80"/>
      <c r="AD32" s="80"/>
      <c r="AE32" s="3"/>
      <c r="AF32" s="40">
        <v>8</v>
      </c>
      <c r="AG32" s="40">
        <v>7</v>
      </c>
      <c r="AH32" s="40">
        <v>6</v>
      </c>
      <c r="AI32" s="96">
        <v>5</v>
      </c>
      <c r="AJ32" s="39">
        <v>4</v>
      </c>
      <c r="AK32" s="80"/>
      <c r="AL32" s="80"/>
      <c r="AM32" s="3"/>
      <c r="AN32" s="37">
        <v>8</v>
      </c>
      <c r="AO32" s="37">
        <v>7</v>
      </c>
      <c r="AP32" s="37">
        <v>6</v>
      </c>
      <c r="AQ32" s="90">
        <v>5</v>
      </c>
      <c r="AR32" s="36">
        <v>4</v>
      </c>
      <c r="AS32" s="80"/>
      <c r="AT32" s="80"/>
      <c r="AU32" s="80"/>
      <c r="AV32" s="80"/>
      <c r="AW32" s="80"/>
      <c r="AX32" s="80"/>
      <c r="AY32" s="81"/>
    </row>
    <row r="33" spans="2:51" s="45" customFormat="1" x14ac:dyDescent="0.25">
      <c r="B33" s="3">
        <f>B32</f>
        <v>5</v>
      </c>
      <c r="C33" s="3">
        <v>4</v>
      </c>
      <c r="D33" s="5" t="s">
        <v>0</v>
      </c>
      <c r="E33" s="34" t="s">
        <v>32</v>
      </c>
      <c r="F33" s="5" t="s">
        <v>18</v>
      </c>
      <c r="G33" s="5">
        <f t="shared" ref="G33:H37" si="4">G32</f>
        <v>2</v>
      </c>
      <c r="H33" s="3" t="str">
        <f t="shared" si="4"/>
        <v>D1</v>
      </c>
      <c r="I33" s="30">
        <v>1</v>
      </c>
      <c r="J33" s="30">
        <f t="shared" si="0"/>
        <v>9</v>
      </c>
      <c r="K33" s="7" t="s">
        <v>28</v>
      </c>
      <c r="L33" s="8"/>
      <c r="M33" s="3"/>
      <c r="N33" s="3"/>
      <c r="O33" s="3"/>
      <c r="P33" s="3"/>
      <c r="Q33" s="3"/>
      <c r="R33" s="3"/>
      <c r="S33" s="31"/>
      <c r="T33" s="8"/>
      <c r="U33" s="3">
        <v>3</v>
      </c>
      <c r="V33" s="3">
        <v>2</v>
      </c>
      <c r="W33" s="3"/>
      <c r="X33" s="3"/>
      <c r="Y33" s="3"/>
      <c r="Z33" s="3"/>
      <c r="AA33" s="31"/>
      <c r="AB33" s="110"/>
      <c r="AC33" s="4">
        <v>3</v>
      </c>
      <c r="AD33" s="4">
        <v>2</v>
      </c>
      <c r="AE33" s="3"/>
      <c r="AF33" s="3"/>
      <c r="AG33" s="3"/>
      <c r="AH33" s="3"/>
      <c r="AI33" s="31"/>
      <c r="AJ33" s="110"/>
      <c r="AK33" s="40">
        <v>3</v>
      </c>
      <c r="AL33" s="40">
        <v>2</v>
      </c>
      <c r="AM33" s="3"/>
      <c r="AN33" s="3"/>
      <c r="AO33" s="3"/>
      <c r="AP33" s="3"/>
      <c r="AQ33" s="31"/>
      <c r="AR33" s="110"/>
      <c r="AS33" s="37">
        <v>3</v>
      </c>
      <c r="AT33" s="37">
        <v>2</v>
      </c>
      <c r="AU33" s="3"/>
      <c r="AV33" s="3"/>
      <c r="AW33" s="3"/>
      <c r="AX33" s="3"/>
      <c r="AY33" s="31"/>
    </row>
    <row r="34" spans="2:51" x14ac:dyDescent="0.25">
      <c r="B34" s="5">
        <v>5</v>
      </c>
      <c r="C34" s="5">
        <v>5</v>
      </c>
      <c r="D34" s="5" t="s">
        <v>0</v>
      </c>
      <c r="E34" s="49" t="s">
        <v>22</v>
      </c>
      <c r="F34" s="5" t="s">
        <v>18</v>
      </c>
      <c r="G34" s="5">
        <f t="shared" si="4"/>
        <v>2</v>
      </c>
      <c r="H34" s="5" t="s">
        <v>5</v>
      </c>
      <c r="I34" s="5">
        <v>3</v>
      </c>
      <c r="J34" s="7">
        <f>I34+$J$4</f>
        <v>11</v>
      </c>
      <c r="K34" s="7" t="s">
        <v>28</v>
      </c>
      <c r="L34" s="8"/>
      <c r="M34" s="3"/>
      <c r="N34" s="3"/>
      <c r="O34" s="3"/>
      <c r="P34" s="3"/>
      <c r="Q34" s="3"/>
      <c r="R34" s="3"/>
      <c r="S34" s="31"/>
      <c r="T34" s="8"/>
      <c r="U34" s="3"/>
      <c r="V34" s="3"/>
      <c r="W34" s="4">
        <v>1</v>
      </c>
      <c r="X34" s="3"/>
      <c r="Y34" s="3"/>
      <c r="Z34" s="3"/>
      <c r="AA34" s="31"/>
      <c r="AB34" s="109"/>
      <c r="AC34" s="3"/>
      <c r="AD34" s="3"/>
      <c r="AE34" s="40">
        <v>1</v>
      </c>
      <c r="AF34" s="3"/>
      <c r="AG34" s="3"/>
      <c r="AH34" s="3"/>
      <c r="AI34" s="31"/>
      <c r="AJ34" s="109"/>
      <c r="AK34" s="3"/>
      <c r="AL34" s="3"/>
      <c r="AM34" s="37">
        <v>1</v>
      </c>
      <c r="AN34" s="3"/>
      <c r="AO34" s="3"/>
      <c r="AP34" s="3"/>
      <c r="AQ34" s="31"/>
      <c r="AR34" s="109"/>
      <c r="AS34" s="3"/>
      <c r="AT34" s="3"/>
      <c r="AU34" s="3">
        <v>1</v>
      </c>
      <c r="AV34" s="3"/>
      <c r="AW34" s="3"/>
      <c r="AX34" s="5"/>
      <c r="AY34" s="64"/>
    </row>
    <row r="35" spans="2:51" s="45" customFormat="1" x14ac:dyDescent="0.25">
      <c r="B35" s="3">
        <f>B33</f>
        <v>5</v>
      </c>
      <c r="C35" s="3">
        <v>6</v>
      </c>
      <c r="D35" s="5"/>
      <c r="E35" s="34" t="s">
        <v>33</v>
      </c>
      <c r="F35" s="5" t="s">
        <v>18</v>
      </c>
      <c r="G35" s="5">
        <f t="shared" si="4"/>
        <v>2</v>
      </c>
      <c r="H35" s="3" t="str">
        <f>H33</f>
        <v>D1</v>
      </c>
      <c r="I35" s="32"/>
      <c r="J35" s="32"/>
      <c r="K35" s="7" t="s">
        <v>28</v>
      </c>
      <c r="L35" s="8">
        <v>4</v>
      </c>
      <c r="M35" s="3">
        <v>3</v>
      </c>
      <c r="N35" s="3">
        <v>2</v>
      </c>
      <c r="O35" s="3">
        <v>1</v>
      </c>
      <c r="P35" s="3">
        <v>8</v>
      </c>
      <c r="Q35" s="3">
        <v>7</v>
      </c>
      <c r="R35" s="3">
        <v>6</v>
      </c>
      <c r="S35" s="31">
        <v>5</v>
      </c>
      <c r="T35" s="8">
        <v>4</v>
      </c>
      <c r="U35" s="56">
        <v>3</v>
      </c>
      <c r="V35" s="46">
        <v>2</v>
      </c>
      <c r="W35" s="6">
        <v>1</v>
      </c>
      <c r="X35" s="4">
        <v>8</v>
      </c>
      <c r="Y35" s="4">
        <v>7</v>
      </c>
      <c r="Z35" s="4">
        <v>6</v>
      </c>
      <c r="AA35" s="21">
        <v>5</v>
      </c>
      <c r="AB35" s="9">
        <v>4</v>
      </c>
      <c r="AC35" s="4">
        <v>3</v>
      </c>
      <c r="AD35" s="4">
        <v>2</v>
      </c>
      <c r="AE35" s="4">
        <v>1</v>
      </c>
      <c r="AF35" s="40">
        <v>8</v>
      </c>
      <c r="AG35" s="40">
        <v>7</v>
      </c>
      <c r="AH35" s="40">
        <v>6</v>
      </c>
      <c r="AI35" s="41">
        <v>5</v>
      </c>
      <c r="AJ35" s="39">
        <v>4</v>
      </c>
      <c r="AK35" s="40">
        <v>3</v>
      </c>
      <c r="AL35" s="40">
        <v>2</v>
      </c>
      <c r="AM35" s="40">
        <v>1</v>
      </c>
      <c r="AN35" s="37">
        <v>8</v>
      </c>
      <c r="AO35" s="37">
        <v>7</v>
      </c>
      <c r="AP35" s="37">
        <v>6</v>
      </c>
      <c r="AQ35" s="38">
        <v>5</v>
      </c>
      <c r="AR35" s="36">
        <v>4</v>
      </c>
      <c r="AS35" s="37">
        <v>3</v>
      </c>
      <c r="AT35" s="37">
        <v>2</v>
      </c>
      <c r="AU35" s="37">
        <v>1</v>
      </c>
      <c r="AV35" s="3">
        <v>8</v>
      </c>
      <c r="AW35" s="3">
        <v>7</v>
      </c>
      <c r="AX35" s="3">
        <v>6</v>
      </c>
      <c r="AY35" s="31">
        <v>5</v>
      </c>
    </row>
    <row r="36" spans="2:51" x14ac:dyDescent="0.25">
      <c r="B36" s="5">
        <v>6</v>
      </c>
      <c r="C36" s="5">
        <v>1</v>
      </c>
      <c r="D36" s="5" t="s">
        <v>35</v>
      </c>
      <c r="E36" s="49" t="s">
        <v>24</v>
      </c>
      <c r="F36" s="5" t="s">
        <v>18</v>
      </c>
      <c r="G36" s="5">
        <f t="shared" si="4"/>
        <v>2</v>
      </c>
      <c r="H36" s="5" t="s">
        <v>4</v>
      </c>
      <c r="I36" s="5">
        <v>-1</v>
      </c>
      <c r="J36" s="7">
        <f t="shared" si="0"/>
        <v>7</v>
      </c>
      <c r="K36" s="7"/>
      <c r="L36" s="8"/>
      <c r="M36" s="3"/>
      <c r="N36" s="3"/>
      <c r="O36" s="3"/>
      <c r="P36" s="3"/>
      <c r="Q36" s="3"/>
      <c r="R36" s="3"/>
      <c r="S36" s="21">
        <v>4</v>
      </c>
      <c r="T36" s="8"/>
      <c r="U36" s="3"/>
      <c r="V36" s="3"/>
      <c r="W36" s="3"/>
      <c r="X36" s="3"/>
      <c r="Y36" s="3"/>
      <c r="Z36" s="3"/>
      <c r="AA36" s="41">
        <v>4</v>
      </c>
      <c r="AB36" s="8"/>
      <c r="AC36" s="3"/>
      <c r="AD36" s="3"/>
      <c r="AE36" s="3"/>
      <c r="AF36" s="3"/>
      <c r="AG36" s="3"/>
      <c r="AH36" s="3"/>
      <c r="AI36" s="38">
        <v>4</v>
      </c>
      <c r="AJ36" s="8"/>
      <c r="AK36" s="3"/>
      <c r="AL36" s="3"/>
      <c r="AM36" s="3"/>
      <c r="AN36" s="3"/>
      <c r="AO36" s="3"/>
      <c r="AP36" s="3"/>
      <c r="AQ36" s="31">
        <v>4</v>
      </c>
      <c r="AR36" s="8"/>
      <c r="AS36" s="3"/>
      <c r="AT36" s="3"/>
      <c r="AU36" s="3"/>
      <c r="AV36" s="3"/>
      <c r="AW36" s="3"/>
      <c r="AX36" s="5"/>
      <c r="AY36" s="64"/>
    </row>
    <row r="37" spans="2:51" x14ac:dyDescent="0.25">
      <c r="B37" s="5">
        <v>6</v>
      </c>
      <c r="C37" s="5">
        <v>2</v>
      </c>
      <c r="D37" s="5" t="s">
        <v>21</v>
      </c>
      <c r="E37" s="49" t="s">
        <v>21</v>
      </c>
      <c r="F37" s="5" t="s">
        <v>18</v>
      </c>
      <c r="G37" s="5">
        <f t="shared" si="4"/>
        <v>2</v>
      </c>
      <c r="H37" s="5" t="s">
        <v>4</v>
      </c>
      <c r="I37" s="5">
        <v>0</v>
      </c>
      <c r="J37" s="7">
        <f t="shared" si="0"/>
        <v>8</v>
      </c>
      <c r="K37" s="7"/>
      <c r="L37" s="8"/>
      <c r="M37" s="3"/>
      <c r="N37" s="3"/>
      <c r="O37" s="3"/>
      <c r="P37" s="3"/>
      <c r="Q37" s="3"/>
      <c r="R37" s="3"/>
      <c r="S37" s="31"/>
      <c r="T37" s="9">
        <v>3</v>
      </c>
      <c r="U37" s="3"/>
      <c r="V37" s="3"/>
      <c r="W37" s="3"/>
      <c r="X37" s="3"/>
      <c r="Y37" s="3"/>
      <c r="Z37" s="3"/>
      <c r="AA37" s="31"/>
      <c r="AB37" s="39">
        <v>3</v>
      </c>
      <c r="AC37" s="3"/>
      <c r="AD37" s="3"/>
      <c r="AE37" s="3"/>
      <c r="AF37" s="3"/>
      <c r="AG37" s="3"/>
      <c r="AH37" s="3"/>
      <c r="AI37" s="31"/>
      <c r="AJ37" s="36">
        <v>3</v>
      </c>
      <c r="AK37" s="3"/>
      <c r="AL37" s="3"/>
      <c r="AM37" s="3"/>
      <c r="AN37" s="3"/>
      <c r="AO37" s="3"/>
      <c r="AP37" s="3"/>
      <c r="AQ37" s="31"/>
      <c r="AR37" s="8">
        <v>3</v>
      </c>
      <c r="AS37" s="3"/>
      <c r="AT37" s="3"/>
      <c r="AU37" s="3"/>
      <c r="AV37" s="3"/>
      <c r="AW37" s="3"/>
      <c r="AX37" s="5"/>
      <c r="AY37" s="64"/>
    </row>
    <row r="38" spans="2:51" x14ac:dyDescent="0.25">
      <c r="B38" s="5">
        <v>6</v>
      </c>
      <c r="C38" s="5">
        <v>3</v>
      </c>
      <c r="D38" s="5" t="s">
        <v>0</v>
      </c>
      <c r="E38" s="34" t="s">
        <v>0</v>
      </c>
      <c r="F38" s="5" t="s">
        <v>18</v>
      </c>
      <c r="G38" s="3">
        <v>2</v>
      </c>
      <c r="H38" s="5" t="s">
        <v>4</v>
      </c>
      <c r="I38" s="30">
        <v>3</v>
      </c>
      <c r="J38" s="30">
        <f t="shared" si="0"/>
        <v>11</v>
      </c>
      <c r="K38" s="7"/>
      <c r="L38" s="79"/>
      <c r="M38" s="80"/>
      <c r="N38" s="80"/>
      <c r="O38" s="80"/>
      <c r="P38" s="80"/>
      <c r="Q38" s="80"/>
      <c r="R38" s="80"/>
      <c r="S38" s="81"/>
      <c r="T38" s="79"/>
      <c r="U38" s="80"/>
      <c r="V38" s="3"/>
      <c r="W38" s="4">
        <v>8</v>
      </c>
      <c r="X38" s="4">
        <v>7</v>
      </c>
      <c r="Y38" s="4">
        <v>6</v>
      </c>
      <c r="Z38" s="4">
        <v>5</v>
      </c>
      <c r="AA38" s="21">
        <v>4</v>
      </c>
      <c r="AB38" s="79"/>
      <c r="AC38" s="80"/>
      <c r="AD38" s="3"/>
      <c r="AE38" s="40">
        <v>8</v>
      </c>
      <c r="AF38" s="40">
        <v>7</v>
      </c>
      <c r="AG38" s="40">
        <v>6</v>
      </c>
      <c r="AH38" s="40">
        <v>5</v>
      </c>
      <c r="AI38" s="41">
        <v>4</v>
      </c>
      <c r="AJ38" s="79"/>
      <c r="AK38" s="80"/>
      <c r="AL38" s="3"/>
      <c r="AM38" s="37">
        <v>8</v>
      </c>
      <c r="AN38" s="37">
        <v>7</v>
      </c>
      <c r="AO38" s="37">
        <v>6</v>
      </c>
      <c r="AP38" s="37">
        <v>5</v>
      </c>
      <c r="AQ38" s="38">
        <v>4</v>
      </c>
      <c r="AR38" s="79"/>
      <c r="AS38" s="80"/>
      <c r="AT38" s="80"/>
      <c r="AU38" s="80"/>
      <c r="AV38" s="80"/>
      <c r="AW38" s="80"/>
      <c r="AX38" s="80"/>
      <c r="AY38" s="81"/>
    </row>
    <row r="39" spans="2:51" s="45" customFormat="1" x14ac:dyDescent="0.25">
      <c r="B39" s="3">
        <f>B38</f>
        <v>6</v>
      </c>
      <c r="C39" s="3">
        <v>4</v>
      </c>
      <c r="D39" s="5" t="s">
        <v>0</v>
      </c>
      <c r="E39" s="34" t="s">
        <v>32</v>
      </c>
      <c r="F39" s="5" t="s">
        <v>18</v>
      </c>
      <c r="G39" s="5">
        <f t="shared" ref="G39:H43" si="5">G38</f>
        <v>2</v>
      </c>
      <c r="H39" s="3" t="str">
        <f t="shared" si="5"/>
        <v>C</v>
      </c>
      <c r="I39" s="30">
        <v>0</v>
      </c>
      <c r="J39" s="30">
        <f t="shared" si="0"/>
        <v>8</v>
      </c>
      <c r="K39" s="30"/>
      <c r="L39" s="8"/>
      <c r="M39" s="3"/>
      <c r="N39" s="3"/>
      <c r="O39" s="3"/>
      <c r="P39" s="3"/>
      <c r="Q39" s="3"/>
      <c r="R39" s="3"/>
      <c r="S39" s="31"/>
      <c r="T39" s="8">
        <v>3</v>
      </c>
      <c r="U39" s="3">
        <v>2</v>
      </c>
      <c r="V39" s="3"/>
      <c r="W39" s="3"/>
      <c r="X39" s="3"/>
      <c r="Y39" s="3"/>
      <c r="Z39" s="3"/>
      <c r="AA39" s="31"/>
      <c r="AB39" s="8">
        <v>3</v>
      </c>
      <c r="AC39" s="4">
        <v>2</v>
      </c>
      <c r="AD39" s="3"/>
      <c r="AE39" s="3"/>
      <c r="AF39" s="3"/>
      <c r="AG39" s="3"/>
      <c r="AH39" s="3"/>
      <c r="AI39" s="31"/>
      <c r="AJ39" s="8">
        <v>3</v>
      </c>
      <c r="AK39" s="40">
        <v>2</v>
      </c>
      <c r="AL39" s="3"/>
      <c r="AM39" s="3"/>
      <c r="AN39" s="3"/>
      <c r="AO39" s="3"/>
      <c r="AP39" s="3"/>
      <c r="AQ39" s="31"/>
      <c r="AR39" s="8">
        <v>3</v>
      </c>
      <c r="AS39" s="37">
        <v>2</v>
      </c>
      <c r="AT39" s="3"/>
      <c r="AU39" s="3"/>
      <c r="AV39" s="3"/>
      <c r="AW39" s="3"/>
      <c r="AX39" s="3"/>
      <c r="AY39" s="31"/>
    </row>
    <row r="40" spans="2:51" x14ac:dyDescent="0.25">
      <c r="B40" s="5">
        <v>6</v>
      </c>
      <c r="C40" s="5">
        <v>5</v>
      </c>
      <c r="D40" s="5" t="s">
        <v>0</v>
      </c>
      <c r="E40" s="49" t="s">
        <v>22</v>
      </c>
      <c r="F40" s="5" t="s">
        <v>18</v>
      </c>
      <c r="G40" s="5">
        <f t="shared" si="5"/>
        <v>2</v>
      </c>
      <c r="H40" s="5" t="s">
        <v>4</v>
      </c>
      <c r="I40" s="5">
        <v>2</v>
      </c>
      <c r="J40" s="7">
        <f>I40+$J$4</f>
        <v>10</v>
      </c>
      <c r="K40" s="7"/>
      <c r="L40" s="8"/>
      <c r="M40" s="3"/>
      <c r="N40" s="3"/>
      <c r="O40" s="3"/>
      <c r="P40" s="3"/>
      <c r="Q40" s="3"/>
      <c r="R40" s="3"/>
      <c r="S40" s="31"/>
      <c r="T40" s="8"/>
      <c r="U40" s="49"/>
      <c r="V40" s="4">
        <v>1</v>
      </c>
      <c r="W40" s="3"/>
      <c r="X40" s="3"/>
      <c r="Y40" s="3"/>
      <c r="Z40" s="3"/>
      <c r="AA40" s="31"/>
      <c r="AB40" s="109"/>
      <c r="AC40" s="3"/>
      <c r="AD40" s="40">
        <v>1</v>
      </c>
      <c r="AE40" s="3"/>
      <c r="AF40" s="3"/>
      <c r="AG40" s="3"/>
      <c r="AH40" s="3"/>
      <c r="AI40" s="31"/>
      <c r="AJ40" s="109"/>
      <c r="AK40" s="3"/>
      <c r="AL40" s="37">
        <v>1</v>
      </c>
      <c r="AM40" s="3"/>
      <c r="AN40" s="3"/>
      <c r="AO40" s="3"/>
      <c r="AP40" s="3"/>
      <c r="AQ40" s="31"/>
      <c r="AR40" s="109"/>
      <c r="AS40" s="3"/>
      <c r="AT40" s="3">
        <v>1</v>
      </c>
      <c r="AU40" s="3"/>
      <c r="AV40" s="3"/>
      <c r="AW40" s="3"/>
      <c r="AX40" s="5"/>
      <c r="AY40" s="64"/>
    </row>
    <row r="41" spans="2:51" s="45" customFormat="1" x14ac:dyDescent="0.25">
      <c r="B41" s="3">
        <f>B39</f>
        <v>6</v>
      </c>
      <c r="C41" s="3">
        <v>6</v>
      </c>
      <c r="D41" s="5"/>
      <c r="E41" s="34" t="s">
        <v>33</v>
      </c>
      <c r="F41" s="5" t="s">
        <v>18</v>
      </c>
      <c r="G41" s="5">
        <f t="shared" si="5"/>
        <v>2</v>
      </c>
      <c r="H41" s="3" t="str">
        <f>H39</f>
        <v>C</v>
      </c>
      <c r="I41" s="32"/>
      <c r="J41" s="32"/>
      <c r="K41" s="30"/>
      <c r="L41" s="8">
        <v>3</v>
      </c>
      <c r="M41" s="3">
        <v>2</v>
      </c>
      <c r="N41" s="3">
        <v>1</v>
      </c>
      <c r="O41" s="3">
        <v>8</v>
      </c>
      <c r="P41" s="3">
        <v>7</v>
      </c>
      <c r="Q41" s="3">
        <v>6</v>
      </c>
      <c r="R41" s="3">
        <v>5</v>
      </c>
      <c r="S41" s="31">
        <v>4</v>
      </c>
      <c r="T41" s="60">
        <v>3</v>
      </c>
      <c r="U41" s="46">
        <v>2</v>
      </c>
      <c r="V41" s="6">
        <v>1</v>
      </c>
      <c r="W41" s="4">
        <v>8</v>
      </c>
      <c r="X41" s="4">
        <v>7</v>
      </c>
      <c r="Y41" s="4">
        <v>6</v>
      </c>
      <c r="Z41" s="4">
        <v>5</v>
      </c>
      <c r="AA41" s="21">
        <v>4</v>
      </c>
      <c r="AB41" s="9">
        <v>3</v>
      </c>
      <c r="AC41" s="4">
        <v>2</v>
      </c>
      <c r="AD41" s="4">
        <v>1</v>
      </c>
      <c r="AE41" s="40">
        <v>8</v>
      </c>
      <c r="AF41" s="40">
        <v>7</v>
      </c>
      <c r="AG41" s="40">
        <v>6</v>
      </c>
      <c r="AH41" s="40">
        <v>5</v>
      </c>
      <c r="AI41" s="41">
        <v>4</v>
      </c>
      <c r="AJ41" s="39">
        <v>3</v>
      </c>
      <c r="AK41" s="40">
        <v>2</v>
      </c>
      <c r="AL41" s="40">
        <v>1</v>
      </c>
      <c r="AM41" s="37">
        <v>8</v>
      </c>
      <c r="AN41" s="37">
        <v>7</v>
      </c>
      <c r="AO41" s="37">
        <v>6</v>
      </c>
      <c r="AP41" s="37">
        <v>5</v>
      </c>
      <c r="AQ41" s="38">
        <v>4</v>
      </c>
      <c r="AR41" s="36">
        <v>3</v>
      </c>
      <c r="AS41" s="37">
        <v>2</v>
      </c>
      <c r="AT41" s="37">
        <v>1</v>
      </c>
      <c r="AU41" s="3">
        <v>8</v>
      </c>
      <c r="AV41" s="3">
        <v>7</v>
      </c>
      <c r="AW41" s="3">
        <v>6</v>
      </c>
      <c r="AX41" s="3">
        <v>5</v>
      </c>
      <c r="AY41" s="31">
        <v>4</v>
      </c>
    </row>
    <row r="42" spans="2:51" x14ac:dyDescent="0.25">
      <c r="B42" s="5">
        <v>7</v>
      </c>
      <c r="C42" s="5">
        <v>1</v>
      </c>
      <c r="D42" s="5" t="s">
        <v>35</v>
      </c>
      <c r="E42" s="49" t="s">
        <v>24</v>
      </c>
      <c r="F42" s="5" t="s">
        <v>18</v>
      </c>
      <c r="G42" s="5">
        <f t="shared" si="5"/>
        <v>2</v>
      </c>
      <c r="H42" s="5" t="s">
        <v>16</v>
      </c>
      <c r="I42" s="5">
        <v>4</v>
      </c>
      <c r="J42" s="7">
        <f t="shared" si="0"/>
        <v>12</v>
      </c>
      <c r="K42" s="7" t="s">
        <v>28</v>
      </c>
      <c r="L42" s="8"/>
      <c r="M42" s="3"/>
      <c r="N42" s="3"/>
      <c r="O42" s="3"/>
      <c r="P42" s="3"/>
      <c r="Q42" s="3"/>
      <c r="R42" s="3"/>
      <c r="S42" s="31"/>
      <c r="T42" s="8"/>
      <c r="U42" s="3"/>
      <c r="V42" s="3"/>
      <c r="W42" s="49"/>
      <c r="X42" s="4">
        <v>4</v>
      </c>
      <c r="Y42" s="3"/>
      <c r="Z42" s="3"/>
      <c r="AA42" s="31"/>
      <c r="AB42" s="8"/>
      <c r="AC42" s="3"/>
      <c r="AD42" s="3"/>
      <c r="AE42" s="49"/>
      <c r="AF42" s="40">
        <v>4</v>
      </c>
      <c r="AG42" s="3"/>
      <c r="AH42" s="3"/>
      <c r="AI42" s="31"/>
      <c r="AJ42" s="8"/>
      <c r="AK42" s="3"/>
      <c r="AL42" s="3"/>
      <c r="AM42" s="49"/>
      <c r="AN42" s="37">
        <v>4</v>
      </c>
      <c r="AO42" s="3"/>
      <c r="AP42" s="3"/>
      <c r="AQ42" s="31"/>
      <c r="AR42" s="8"/>
      <c r="AS42" s="3"/>
      <c r="AT42" s="3"/>
      <c r="AU42" s="49"/>
      <c r="AV42" s="3">
        <v>4</v>
      </c>
      <c r="AW42" s="3"/>
      <c r="AX42" s="3"/>
      <c r="AY42" s="64"/>
    </row>
    <row r="43" spans="2:51" x14ac:dyDescent="0.25">
      <c r="B43" s="5">
        <v>7</v>
      </c>
      <c r="C43" s="5">
        <v>2</v>
      </c>
      <c r="D43" s="5" t="s">
        <v>21</v>
      </c>
      <c r="E43" s="49" t="s">
        <v>21</v>
      </c>
      <c r="F43" s="5" t="s">
        <v>18</v>
      </c>
      <c r="G43" s="5">
        <f t="shared" si="5"/>
        <v>2</v>
      </c>
      <c r="H43" s="5" t="s">
        <v>16</v>
      </c>
      <c r="I43" s="5">
        <v>5</v>
      </c>
      <c r="J43" s="7">
        <f t="shared" si="0"/>
        <v>13</v>
      </c>
      <c r="K43" s="7" t="s">
        <v>28</v>
      </c>
      <c r="L43" s="8"/>
      <c r="M43" s="3"/>
      <c r="N43" s="3"/>
      <c r="O43" s="3"/>
      <c r="P43" s="3"/>
      <c r="Q43" s="3"/>
      <c r="R43" s="3"/>
      <c r="S43" s="31"/>
      <c r="T43" s="8"/>
      <c r="U43" s="3"/>
      <c r="V43" s="3"/>
      <c r="W43" s="3"/>
      <c r="X43" s="49"/>
      <c r="Y43" s="4">
        <v>3</v>
      </c>
      <c r="Z43" s="4">
        <v>2</v>
      </c>
      <c r="AA43" s="31"/>
      <c r="AB43" s="8"/>
      <c r="AC43" s="3"/>
      <c r="AD43" s="3"/>
      <c r="AE43" s="49"/>
      <c r="AF43" s="3"/>
      <c r="AG43" s="40">
        <v>3</v>
      </c>
      <c r="AH43" s="40">
        <v>2</v>
      </c>
      <c r="AI43" s="31"/>
      <c r="AJ43" s="8"/>
      <c r="AK43" s="3"/>
      <c r="AL43" s="3"/>
      <c r="AM43" s="49"/>
      <c r="AN43" s="3"/>
      <c r="AO43" s="37">
        <v>3</v>
      </c>
      <c r="AP43" s="37">
        <v>2</v>
      </c>
      <c r="AQ43" s="31"/>
      <c r="AR43" s="8"/>
      <c r="AS43" s="3"/>
      <c r="AT43" s="3"/>
      <c r="AU43" s="49"/>
      <c r="AV43" s="3"/>
      <c r="AW43" s="3">
        <v>3</v>
      </c>
      <c r="AX43" s="3">
        <v>2</v>
      </c>
      <c r="AY43" s="64"/>
    </row>
    <row r="44" spans="2:51" x14ac:dyDescent="0.25">
      <c r="B44" s="5">
        <v>7</v>
      </c>
      <c r="C44" s="5">
        <v>3</v>
      </c>
      <c r="D44" s="5" t="s">
        <v>0</v>
      </c>
      <c r="E44" s="34" t="s">
        <v>0</v>
      </c>
      <c r="F44" s="5" t="s">
        <v>18</v>
      </c>
      <c r="G44" s="3">
        <v>2</v>
      </c>
      <c r="H44" s="5" t="s">
        <v>16</v>
      </c>
      <c r="I44" s="30">
        <v>8</v>
      </c>
      <c r="J44" s="30">
        <f t="shared" si="0"/>
        <v>16</v>
      </c>
      <c r="K44" s="7" t="s">
        <v>28</v>
      </c>
      <c r="L44" s="79"/>
      <c r="M44" s="80"/>
      <c r="N44" s="80"/>
      <c r="O44" s="80"/>
      <c r="P44" s="80"/>
      <c r="Q44" s="80"/>
      <c r="R44" s="80"/>
      <c r="S44" s="81"/>
      <c r="T44" s="79"/>
      <c r="U44" s="80"/>
      <c r="V44" s="80"/>
      <c r="W44" s="80"/>
      <c r="X44" s="80"/>
      <c r="Y44" s="80"/>
      <c r="Z44" s="80"/>
      <c r="AA44" s="31"/>
      <c r="AB44" s="9">
        <v>8</v>
      </c>
      <c r="AC44" s="4">
        <v>7</v>
      </c>
      <c r="AD44" s="4">
        <v>6</v>
      </c>
      <c r="AE44" s="4">
        <v>5</v>
      </c>
      <c r="AF44" s="4">
        <v>4</v>
      </c>
      <c r="AG44" s="80"/>
      <c r="AH44" s="80"/>
      <c r="AI44" s="31"/>
      <c r="AJ44" s="39">
        <v>8</v>
      </c>
      <c r="AK44" s="40">
        <v>7</v>
      </c>
      <c r="AL44" s="40">
        <v>6</v>
      </c>
      <c r="AM44" s="40">
        <v>5</v>
      </c>
      <c r="AN44" s="40">
        <v>4</v>
      </c>
      <c r="AO44" s="80"/>
      <c r="AP44" s="80"/>
      <c r="AQ44" s="31"/>
      <c r="AR44" s="36">
        <v>8</v>
      </c>
      <c r="AS44" s="37">
        <v>7</v>
      </c>
      <c r="AT44" s="37">
        <v>6</v>
      </c>
      <c r="AU44" s="37">
        <v>5</v>
      </c>
      <c r="AV44" s="37">
        <v>4</v>
      </c>
      <c r="AW44" s="80"/>
      <c r="AX44" s="80"/>
      <c r="AY44" s="81"/>
    </row>
    <row r="45" spans="2:51" s="45" customFormat="1" x14ac:dyDescent="0.25">
      <c r="B45" s="3">
        <f>B44</f>
        <v>7</v>
      </c>
      <c r="C45" s="3">
        <v>4</v>
      </c>
      <c r="D45" s="5" t="s">
        <v>0</v>
      </c>
      <c r="E45" s="34" t="s">
        <v>32</v>
      </c>
      <c r="F45" s="5" t="s">
        <v>18</v>
      </c>
      <c r="G45" s="5">
        <f t="shared" ref="G45:H49" si="6">G44</f>
        <v>2</v>
      </c>
      <c r="H45" s="3" t="str">
        <f t="shared" si="6"/>
        <v>D2</v>
      </c>
      <c r="I45" s="30">
        <v>5</v>
      </c>
      <c r="J45" s="30">
        <f t="shared" si="0"/>
        <v>13</v>
      </c>
      <c r="K45" s="7" t="s">
        <v>28</v>
      </c>
      <c r="L45" s="8"/>
      <c r="M45" s="3"/>
      <c r="N45" s="3"/>
      <c r="O45" s="3"/>
      <c r="P45" s="3"/>
      <c r="Q45" s="3"/>
      <c r="R45" s="3"/>
      <c r="S45" s="31"/>
      <c r="T45" s="8"/>
      <c r="U45" s="3"/>
      <c r="V45" s="3"/>
      <c r="W45" s="3"/>
      <c r="X45" s="34"/>
      <c r="Y45" s="3">
        <v>3</v>
      </c>
      <c r="Z45" s="3">
        <v>2</v>
      </c>
      <c r="AA45" s="31"/>
      <c r="AB45" s="8"/>
      <c r="AC45" s="3"/>
      <c r="AD45" s="3"/>
      <c r="AE45" s="3"/>
      <c r="AF45" s="34"/>
      <c r="AG45" s="4">
        <v>3</v>
      </c>
      <c r="AH45" s="4">
        <v>2</v>
      </c>
      <c r="AI45" s="31"/>
      <c r="AJ45" s="8"/>
      <c r="AK45" s="3"/>
      <c r="AL45" s="3"/>
      <c r="AM45" s="3"/>
      <c r="AN45" s="34"/>
      <c r="AO45" s="40">
        <v>3</v>
      </c>
      <c r="AP45" s="40">
        <v>2</v>
      </c>
      <c r="AQ45" s="31"/>
      <c r="AR45" s="8"/>
      <c r="AS45" s="3"/>
      <c r="AT45" s="3"/>
      <c r="AU45" s="3"/>
      <c r="AV45" s="34"/>
      <c r="AW45" s="37">
        <v>3</v>
      </c>
      <c r="AX45" s="37">
        <v>2</v>
      </c>
      <c r="AY45" s="31"/>
    </row>
    <row r="46" spans="2:51" x14ac:dyDescent="0.25">
      <c r="B46" s="5">
        <v>7</v>
      </c>
      <c r="C46" s="5">
        <v>5</v>
      </c>
      <c r="D46" s="5" t="s">
        <v>0</v>
      </c>
      <c r="E46" s="49" t="s">
        <v>22</v>
      </c>
      <c r="F46" s="5" t="s">
        <v>18</v>
      </c>
      <c r="G46" s="5">
        <f t="shared" si="6"/>
        <v>2</v>
      </c>
      <c r="H46" s="5" t="s">
        <v>16</v>
      </c>
      <c r="I46" s="5">
        <v>7</v>
      </c>
      <c r="J46" s="7">
        <f>I46+$J$4</f>
        <v>15</v>
      </c>
      <c r="K46" s="7" t="s">
        <v>28</v>
      </c>
      <c r="L46" s="8"/>
      <c r="M46" s="3"/>
      <c r="N46" s="3"/>
      <c r="O46" s="3"/>
      <c r="P46" s="3"/>
      <c r="Q46" s="3"/>
      <c r="R46" s="3"/>
      <c r="S46" s="31"/>
      <c r="T46" s="8"/>
      <c r="U46" s="3"/>
      <c r="V46" s="3"/>
      <c r="W46" s="3"/>
      <c r="X46" s="49"/>
      <c r="Y46" s="3"/>
      <c r="Z46" s="3"/>
      <c r="AA46" s="21">
        <v>1</v>
      </c>
      <c r="AB46" s="8"/>
      <c r="AC46" s="3"/>
      <c r="AD46" s="3"/>
      <c r="AE46" s="3"/>
      <c r="AF46" s="49"/>
      <c r="AG46" s="3"/>
      <c r="AH46" s="3"/>
      <c r="AI46" s="41">
        <v>1</v>
      </c>
      <c r="AJ46" s="8"/>
      <c r="AK46" s="3"/>
      <c r="AL46" s="3"/>
      <c r="AM46" s="3"/>
      <c r="AN46" s="49"/>
      <c r="AO46" s="3"/>
      <c r="AP46" s="3"/>
      <c r="AQ46" s="38">
        <v>1</v>
      </c>
      <c r="AR46" s="8"/>
      <c r="AS46" s="3"/>
      <c r="AT46" s="3"/>
      <c r="AU46" s="3"/>
      <c r="AV46" s="49"/>
      <c r="AW46" s="3"/>
      <c r="AX46" s="3"/>
      <c r="AY46" s="64">
        <v>1</v>
      </c>
    </row>
    <row r="47" spans="2:51" s="45" customFormat="1" x14ac:dyDescent="0.25">
      <c r="B47" s="3">
        <f>B45</f>
        <v>7</v>
      </c>
      <c r="C47" s="3">
        <v>6</v>
      </c>
      <c r="D47" s="5"/>
      <c r="E47" s="34" t="s">
        <v>33</v>
      </c>
      <c r="F47" s="5" t="s">
        <v>18</v>
      </c>
      <c r="G47" s="5">
        <f t="shared" si="6"/>
        <v>2</v>
      </c>
      <c r="H47" s="3" t="str">
        <f>H45</f>
        <v>D2</v>
      </c>
      <c r="I47" s="32"/>
      <c r="J47" s="32"/>
      <c r="K47" s="7" t="s">
        <v>28</v>
      </c>
      <c r="L47" s="8">
        <v>8</v>
      </c>
      <c r="M47" s="3">
        <v>7</v>
      </c>
      <c r="N47" s="3">
        <v>6</v>
      </c>
      <c r="O47" s="3">
        <v>5</v>
      </c>
      <c r="P47" s="3">
        <v>4</v>
      </c>
      <c r="Q47" s="3">
        <v>3</v>
      </c>
      <c r="R47" s="3">
        <v>2</v>
      </c>
      <c r="S47" s="31">
        <v>1</v>
      </c>
      <c r="T47" s="8">
        <v>8</v>
      </c>
      <c r="U47" s="3">
        <v>7</v>
      </c>
      <c r="V47" s="3">
        <v>6</v>
      </c>
      <c r="W47" s="3">
        <v>5</v>
      </c>
      <c r="X47" s="56">
        <v>4</v>
      </c>
      <c r="Y47" s="46">
        <v>3</v>
      </c>
      <c r="Z47" s="46">
        <v>2</v>
      </c>
      <c r="AA47" s="28">
        <v>1</v>
      </c>
      <c r="AB47" s="9">
        <v>8</v>
      </c>
      <c r="AC47" s="4">
        <v>7</v>
      </c>
      <c r="AD47" s="4">
        <v>6</v>
      </c>
      <c r="AE47" s="4">
        <v>5</v>
      </c>
      <c r="AF47" s="4">
        <v>4</v>
      </c>
      <c r="AG47" s="4">
        <v>3</v>
      </c>
      <c r="AH47" s="4">
        <v>2</v>
      </c>
      <c r="AI47" s="21">
        <v>1</v>
      </c>
      <c r="AJ47" s="39">
        <v>8</v>
      </c>
      <c r="AK47" s="40">
        <v>7</v>
      </c>
      <c r="AL47" s="40">
        <v>6</v>
      </c>
      <c r="AM47" s="40">
        <v>5</v>
      </c>
      <c r="AN47" s="40">
        <v>4</v>
      </c>
      <c r="AO47" s="40">
        <v>3</v>
      </c>
      <c r="AP47" s="40">
        <v>2</v>
      </c>
      <c r="AQ47" s="41">
        <v>1</v>
      </c>
      <c r="AR47" s="36">
        <v>8</v>
      </c>
      <c r="AS47" s="37">
        <v>7</v>
      </c>
      <c r="AT47" s="37">
        <v>6</v>
      </c>
      <c r="AU47" s="37">
        <v>5</v>
      </c>
      <c r="AV47" s="37">
        <v>4</v>
      </c>
      <c r="AW47" s="37">
        <v>3</v>
      </c>
      <c r="AX47" s="37">
        <v>2</v>
      </c>
      <c r="AY47" s="38">
        <v>1</v>
      </c>
    </row>
    <row r="48" spans="2:51" x14ac:dyDescent="0.25">
      <c r="B48" s="5">
        <v>8</v>
      </c>
      <c r="C48" s="5">
        <v>1</v>
      </c>
      <c r="D48" s="5" t="s">
        <v>35</v>
      </c>
      <c r="E48" s="49" t="s">
        <v>24</v>
      </c>
      <c r="F48" s="5" t="s">
        <v>19</v>
      </c>
      <c r="G48" s="5">
        <f t="shared" si="6"/>
        <v>2</v>
      </c>
      <c r="H48" s="5" t="s">
        <v>7</v>
      </c>
      <c r="I48" s="5">
        <v>-2</v>
      </c>
      <c r="J48" s="7">
        <f t="shared" si="0"/>
        <v>6</v>
      </c>
      <c r="K48" s="7"/>
      <c r="L48" s="8"/>
      <c r="M48" s="3"/>
      <c r="N48" s="3"/>
      <c r="O48" s="3"/>
      <c r="P48" s="3"/>
      <c r="Q48" s="3"/>
      <c r="R48" s="4">
        <v>3</v>
      </c>
      <c r="S48" s="31"/>
      <c r="T48" s="8"/>
      <c r="U48" s="3"/>
      <c r="V48" s="3"/>
      <c r="W48" s="3"/>
      <c r="X48" s="3"/>
      <c r="Y48" s="3"/>
      <c r="Z48" s="40">
        <v>3</v>
      </c>
      <c r="AA48" s="31"/>
      <c r="AB48" s="8"/>
      <c r="AC48" s="3"/>
      <c r="AD48" s="3"/>
      <c r="AE48" s="3"/>
      <c r="AF48" s="3"/>
      <c r="AG48" s="3"/>
      <c r="AH48" s="37">
        <v>3</v>
      </c>
      <c r="AI48" s="31"/>
      <c r="AJ48" s="8"/>
      <c r="AK48" s="3"/>
      <c r="AL48" s="3"/>
      <c r="AM48" s="3"/>
      <c r="AN48" s="3"/>
      <c r="AO48" s="3"/>
      <c r="AP48" s="3">
        <v>3</v>
      </c>
      <c r="AQ48" s="31"/>
      <c r="AR48" s="8"/>
      <c r="AS48" s="3"/>
      <c r="AT48" s="3"/>
      <c r="AU48" s="3"/>
      <c r="AV48" s="3"/>
      <c r="AW48" s="3"/>
      <c r="AX48" s="5"/>
      <c r="AY48" s="64"/>
    </row>
    <row r="49" spans="2:51" x14ac:dyDescent="0.25">
      <c r="B49" s="5">
        <v>8</v>
      </c>
      <c r="C49" s="5">
        <v>2</v>
      </c>
      <c r="D49" s="5" t="s">
        <v>21</v>
      </c>
      <c r="E49" s="49" t="s">
        <v>21</v>
      </c>
      <c r="F49" s="5" t="s">
        <v>19</v>
      </c>
      <c r="G49" s="5">
        <f t="shared" si="6"/>
        <v>2</v>
      </c>
      <c r="H49" s="5" t="s">
        <v>7</v>
      </c>
      <c r="I49" s="5">
        <v>-1</v>
      </c>
      <c r="J49" s="7">
        <f t="shared" si="0"/>
        <v>7</v>
      </c>
      <c r="K49" s="7"/>
      <c r="L49" s="8"/>
      <c r="M49" s="3"/>
      <c r="N49" s="3"/>
      <c r="O49" s="3"/>
      <c r="P49" s="3"/>
      <c r="Q49" s="3"/>
      <c r="R49" s="3"/>
      <c r="S49" s="21">
        <v>2</v>
      </c>
      <c r="T49" s="8"/>
      <c r="U49" s="3"/>
      <c r="V49" s="3"/>
      <c r="W49" s="3"/>
      <c r="X49" s="3"/>
      <c r="Y49" s="3"/>
      <c r="Z49" s="3"/>
      <c r="AA49" s="41">
        <v>2</v>
      </c>
      <c r="AB49" s="8"/>
      <c r="AC49" s="3"/>
      <c r="AD49" s="3"/>
      <c r="AE49" s="3"/>
      <c r="AF49" s="3"/>
      <c r="AG49" s="3"/>
      <c r="AH49" s="3"/>
      <c r="AI49" s="38">
        <v>2</v>
      </c>
      <c r="AJ49" s="8"/>
      <c r="AK49" s="3"/>
      <c r="AL49" s="3"/>
      <c r="AM49" s="3"/>
      <c r="AN49" s="3"/>
      <c r="AO49" s="3"/>
      <c r="AP49" s="3"/>
      <c r="AQ49" s="31">
        <v>2</v>
      </c>
      <c r="AR49" s="8"/>
      <c r="AS49" s="3"/>
      <c r="AT49" s="3"/>
      <c r="AU49" s="3"/>
      <c r="AV49" s="3"/>
      <c r="AW49" s="3"/>
      <c r="AX49" s="5"/>
      <c r="AY49" s="64"/>
    </row>
    <row r="50" spans="2:51" x14ac:dyDescent="0.25">
      <c r="B50" s="5">
        <v>8</v>
      </c>
      <c r="C50" s="5">
        <v>3</v>
      </c>
      <c r="D50" s="5" t="s">
        <v>0</v>
      </c>
      <c r="E50" s="34" t="s">
        <v>0</v>
      </c>
      <c r="F50" s="5" t="s">
        <v>19</v>
      </c>
      <c r="G50" s="3">
        <v>1</v>
      </c>
      <c r="H50" s="5" t="s">
        <v>7</v>
      </c>
      <c r="I50" s="30">
        <v>1</v>
      </c>
      <c r="J50" s="30">
        <f t="shared" si="0"/>
        <v>9</v>
      </c>
      <c r="K50" s="7"/>
      <c r="L50" s="79"/>
      <c r="M50" s="80"/>
      <c r="N50" s="80"/>
      <c r="O50" s="80"/>
      <c r="P50" s="80"/>
      <c r="Q50" s="80"/>
      <c r="R50" s="80"/>
      <c r="S50" s="81"/>
      <c r="T50" s="8"/>
      <c r="U50" s="4">
        <v>8</v>
      </c>
      <c r="V50" s="4">
        <v>7</v>
      </c>
      <c r="W50" s="4">
        <v>6</v>
      </c>
      <c r="X50" s="4">
        <v>5</v>
      </c>
      <c r="Y50" s="4">
        <v>4</v>
      </c>
      <c r="Z50" s="80"/>
      <c r="AA50" s="81"/>
      <c r="AB50" s="8"/>
      <c r="AC50" s="40">
        <v>8</v>
      </c>
      <c r="AD50" s="40">
        <v>7</v>
      </c>
      <c r="AE50" s="40">
        <v>6</v>
      </c>
      <c r="AF50" s="40">
        <v>5</v>
      </c>
      <c r="AG50" s="40">
        <v>4</v>
      </c>
      <c r="AH50" s="80"/>
      <c r="AI50" s="81"/>
      <c r="AJ50" s="8"/>
      <c r="AK50" s="37">
        <v>8</v>
      </c>
      <c r="AL50" s="37">
        <v>7</v>
      </c>
      <c r="AM50" s="37">
        <v>6</v>
      </c>
      <c r="AN50" s="37">
        <v>5</v>
      </c>
      <c r="AO50" s="37">
        <v>4</v>
      </c>
      <c r="AP50" s="80"/>
      <c r="AQ50" s="81"/>
      <c r="AR50" s="79"/>
      <c r="AS50" s="80"/>
      <c r="AT50" s="80"/>
      <c r="AU50" s="80"/>
      <c r="AV50" s="80"/>
      <c r="AW50" s="80"/>
      <c r="AX50" s="80"/>
      <c r="AY50" s="81"/>
    </row>
    <row r="51" spans="2:51" s="45" customFormat="1" x14ac:dyDescent="0.25">
      <c r="B51" s="3">
        <f>B50</f>
        <v>8</v>
      </c>
      <c r="C51" s="3">
        <v>4</v>
      </c>
      <c r="D51" s="5" t="s">
        <v>0</v>
      </c>
      <c r="E51" s="34" t="s">
        <v>32</v>
      </c>
      <c r="F51" s="5" t="s">
        <v>19</v>
      </c>
      <c r="G51" s="5">
        <f t="shared" ref="G51:H55" si="7">G50</f>
        <v>1</v>
      </c>
      <c r="H51" s="3" t="str">
        <f t="shared" si="7"/>
        <v>F</v>
      </c>
      <c r="I51" s="30">
        <v>-2</v>
      </c>
      <c r="J51" s="30">
        <f t="shared" si="0"/>
        <v>6</v>
      </c>
      <c r="K51" s="30"/>
      <c r="L51" s="8"/>
      <c r="M51" s="3"/>
      <c r="N51" s="3"/>
      <c r="O51" s="3"/>
      <c r="P51" s="3"/>
      <c r="Q51" s="3"/>
      <c r="R51" s="3">
        <v>3</v>
      </c>
      <c r="S51" s="31">
        <v>2</v>
      </c>
      <c r="T51" s="8"/>
      <c r="U51" s="3"/>
      <c r="V51" s="3"/>
      <c r="W51" s="3"/>
      <c r="X51" s="3"/>
      <c r="Y51" s="3"/>
      <c r="Z51" s="4">
        <v>3</v>
      </c>
      <c r="AA51" s="21">
        <v>2</v>
      </c>
      <c r="AB51" s="8"/>
      <c r="AC51" s="3"/>
      <c r="AD51" s="3"/>
      <c r="AE51" s="3"/>
      <c r="AF51" s="3"/>
      <c r="AG51" s="3"/>
      <c r="AH51" s="40">
        <v>3</v>
      </c>
      <c r="AI51" s="41">
        <v>2</v>
      </c>
      <c r="AJ51" s="8"/>
      <c r="AK51" s="3"/>
      <c r="AL51" s="3"/>
      <c r="AM51" s="3"/>
      <c r="AN51" s="3"/>
      <c r="AO51" s="3"/>
      <c r="AP51" s="37">
        <v>3</v>
      </c>
      <c r="AQ51" s="38">
        <v>2</v>
      </c>
      <c r="AR51" s="8"/>
      <c r="AS51" s="3"/>
      <c r="AT51" s="3"/>
      <c r="AU51" s="3"/>
      <c r="AV51" s="3"/>
      <c r="AW51" s="3"/>
      <c r="AX51" s="3"/>
      <c r="AY51" s="31"/>
    </row>
    <row r="52" spans="2:51" x14ac:dyDescent="0.25">
      <c r="B52" s="5">
        <v>8</v>
      </c>
      <c r="C52" s="5">
        <v>5</v>
      </c>
      <c r="D52" s="5" t="s">
        <v>0</v>
      </c>
      <c r="E52" s="49" t="s">
        <v>22</v>
      </c>
      <c r="F52" s="5" t="s">
        <v>19</v>
      </c>
      <c r="G52" s="5">
        <f t="shared" si="7"/>
        <v>1</v>
      </c>
      <c r="H52" s="5" t="s">
        <v>7</v>
      </c>
      <c r="I52" s="5">
        <v>0</v>
      </c>
      <c r="J52" s="7">
        <f>I52+$J$4</f>
        <v>8</v>
      </c>
      <c r="K52" s="7"/>
      <c r="L52" s="8"/>
      <c r="M52" s="3"/>
      <c r="N52" s="3"/>
      <c r="O52" s="3"/>
      <c r="P52" s="3"/>
      <c r="Q52" s="3"/>
      <c r="R52" s="3"/>
      <c r="S52" s="31"/>
      <c r="T52" s="9">
        <v>1</v>
      </c>
      <c r="U52" s="3"/>
      <c r="V52" s="3"/>
      <c r="W52" s="3"/>
      <c r="X52" s="3"/>
      <c r="Y52" s="3"/>
      <c r="Z52" s="3"/>
      <c r="AA52" s="31"/>
      <c r="AB52" s="39">
        <v>1</v>
      </c>
      <c r="AC52" s="3"/>
      <c r="AD52" s="3"/>
      <c r="AE52" s="3"/>
      <c r="AF52" s="3"/>
      <c r="AG52" s="3"/>
      <c r="AH52" s="3"/>
      <c r="AI52" s="31"/>
      <c r="AJ52" s="36">
        <v>1</v>
      </c>
      <c r="AK52" s="3"/>
      <c r="AL52" s="3"/>
      <c r="AM52" s="3"/>
      <c r="AN52" s="3"/>
      <c r="AO52" s="3"/>
      <c r="AP52" s="3"/>
      <c r="AQ52" s="31"/>
      <c r="AR52" s="82">
        <v>1</v>
      </c>
      <c r="AS52" s="3"/>
      <c r="AT52" s="3"/>
      <c r="AU52" s="3"/>
      <c r="AV52" s="3"/>
      <c r="AW52" s="3"/>
      <c r="AX52" s="5"/>
      <c r="AY52" s="64"/>
    </row>
    <row r="53" spans="2:51" s="45" customFormat="1" x14ac:dyDescent="0.25">
      <c r="B53" s="3">
        <f>B51</f>
        <v>8</v>
      </c>
      <c r="C53" s="3">
        <v>6</v>
      </c>
      <c r="D53" s="5"/>
      <c r="E53" s="34" t="s">
        <v>33</v>
      </c>
      <c r="F53" s="5" t="s">
        <v>19</v>
      </c>
      <c r="G53" s="5">
        <f t="shared" si="7"/>
        <v>1</v>
      </c>
      <c r="H53" s="3" t="str">
        <f>H51</f>
        <v>F</v>
      </c>
      <c r="I53" s="32"/>
      <c r="J53" s="32"/>
      <c r="K53" s="30"/>
      <c r="L53" s="8">
        <v>1</v>
      </c>
      <c r="M53" s="3">
        <v>8</v>
      </c>
      <c r="N53" s="3">
        <v>7</v>
      </c>
      <c r="O53" s="3">
        <v>6</v>
      </c>
      <c r="P53" s="3">
        <v>5</v>
      </c>
      <c r="Q53" s="3">
        <v>4</v>
      </c>
      <c r="R53" s="56">
        <v>3</v>
      </c>
      <c r="S53" s="57">
        <v>2</v>
      </c>
      <c r="T53" s="29">
        <v>1</v>
      </c>
      <c r="U53" s="4">
        <v>8</v>
      </c>
      <c r="V53" s="4">
        <v>7</v>
      </c>
      <c r="W53" s="4">
        <v>6</v>
      </c>
      <c r="X53" s="4">
        <v>5</v>
      </c>
      <c r="Y53" s="4">
        <v>4</v>
      </c>
      <c r="Z53" s="4">
        <v>3</v>
      </c>
      <c r="AA53" s="21">
        <v>2</v>
      </c>
      <c r="AB53" s="9">
        <v>1</v>
      </c>
      <c r="AC53" s="40">
        <v>8</v>
      </c>
      <c r="AD53" s="40">
        <v>7</v>
      </c>
      <c r="AE53" s="40">
        <v>6</v>
      </c>
      <c r="AF53" s="40">
        <v>5</v>
      </c>
      <c r="AG53" s="40">
        <v>4</v>
      </c>
      <c r="AH53" s="40">
        <v>3</v>
      </c>
      <c r="AI53" s="41">
        <v>2</v>
      </c>
      <c r="AJ53" s="39">
        <v>1</v>
      </c>
      <c r="AK53" s="37">
        <v>8</v>
      </c>
      <c r="AL53" s="37">
        <v>7</v>
      </c>
      <c r="AM53" s="37">
        <v>6</v>
      </c>
      <c r="AN53" s="37">
        <v>5</v>
      </c>
      <c r="AO53" s="37">
        <v>4</v>
      </c>
      <c r="AP53" s="37">
        <v>3</v>
      </c>
      <c r="AQ53" s="38">
        <v>2</v>
      </c>
      <c r="AR53" s="36">
        <v>1</v>
      </c>
      <c r="AS53" s="3">
        <v>8</v>
      </c>
      <c r="AT53" s="3">
        <v>7</v>
      </c>
      <c r="AU53" s="3">
        <v>6</v>
      </c>
      <c r="AV53" s="3">
        <v>5</v>
      </c>
      <c r="AW53" s="3">
        <v>4</v>
      </c>
      <c r="AX53" s="3">
        <v>3</v>
      </c>
      <c r="AY53" s="31">
        <v>2</v>
      </c>
    </row>
    <row r="54" spans="2:51" x14ac:dyDescent="0.25">
      <c r="B54" s="5">
        <v>9</v>
      </c>
      <c r="C54" s="5">
        <v>1</v>
      </c>
      <c r="D54" s="5" t="s">
        <v>35</v>
      </c>
      <c r="E54" s="49" t="s">
        <v>24</v>
      </c>
      <c r="F54" s="5" t="s">
        <v>19</v>
      </c>
      <c r="G54" s="5">
        <f t="shared" si="7"/>
        <v>1</v>
      </c>
      <c r="H54" s="5" t="s">
        <v>12</v>
      </c>
      <c r="I54" s="5">
        <v>2</v>
      </c>
      <c r="J54" s="7">
        <f t="shared" si="0"/>
        <v>10</v>
      </c>
      <c r="K54" s="7"/>
      <c r="L54" s="8"/>
      <c r="M54" s="3"/>
      <c r="N54" s="3"/>
      <c r="O54" s="3"/>
      <c r="P54" s="3"/>
      <c r="Q54" s="3"/>
      <c r="R54" s="3"/>
      <c r="S54" s="31"/>
      <c r="T54" s="8"/>
      <c r="U54" s="49"/>
      <c r="V54" s="4">
        <v>3</v>
      </c>
      <c r="W54" s="3"/>
      <c r="X54" s="3"/>
      <c r="Y54" s="3"/>
      <c r="Z54" s="3"/>
      <c r="AA54" s="31"/>
      <c r="AB54" s="8"/>
      <c r="AC54" s="49"/>
      <c r="AD54" s="40">
        <v>3</v>
      </c>
      <c r="AE54" s="3"/>
      <c r="AF54" s="3"/>
      <c r="AG54" s="3"/>
      <c r="AH54" s="3"/>
      <c r="AI54" s="31"/>
      <c r="AJ54" s="8"/>
      <c r="AK54" s="49"/>
      <c r="AL54" s="37">
        <v>3</v>
      </c>
      <c r="AM54" s="3"/>
      <c r="AN54" s="3"/>
      <c r="AO54" s="3"/>
      <c r="AP54" s="3"/>
      <c r="AQ54" s="31"/>
      <c r="AR54" s="8"/>
      <c r="AS54" s="49"/>
      <c r="AT54" s="3">
        <v>3</v>
      </c>
      <c r="AU54" s="3"/>
      <c r="AV54" s="3"/>
      <c r="AW54" s="3"/>
      <c r="AX54" s="5"/>
      <c r="AY54" s="64"/>
    </row>
    <row r="55" spans="2:51" x14ac:dyDescent="0.25">
      <c r="B55" s="5">
        <v>9</v>
      </c>
      <c r="C55" s="5">
        <v>2</v>
      </c>
      <c r="D55" s="5" t="s">
        <v>21</v>
      </c>
      <c r="E55" s="49" t="s">
        <v>21</v>
      </c>
      <c r="F55" s="5" t="s">
        <v>19</v>
      </c>
      <c r="G55" s="5">
        <f t="shared" si="7"/>
        <v>1</v>
      </c>
      <c r="H55" s="5" t="s">
        <v>12</v>
      </c>
      <c r="I55" s="5">
        <v>3</v>
      </c>
      <c r="J55" s="7">
        <f t="shared" si="0"/>
        <v>11</v>
      </c>
      <c r="K55" s="7"/>
      <c r="L55" s="8"/>
      <c r="M55" s="3"/>
      <c r="N55" s="3"/>
      <c r="O55" s="3"/>
      <c r="P55" s="3"/>
      <c r="Q55" s="3"/>
      <c r="R55" s="3"/>
      <c r="S55" s="31"/>
      <c r="T55" s="8"/>
      <c r="U55" s="49"/>
      <c r="V55" s="3"/>
      <c r="W55" s="4">
        <v>2</v>
      </c>
      <c r="X55" s="3"/>
      <c r="Y55" s="3"/>
      <c r="Z55" s="3"/>
      <c r="AA55" s="31"/>
      <c r="AB55" s="8"/>
      <c r="AC55" s="49"/>
      <c r="AD55" s="3"/>
      <c r="AE55" s="40">
        <v>2</v>
      </c>
      <c r="AF55" s="3"/>
      <c r="AG55" s="3"/>
      <c r="AH55" s="3"/>
      <c r="AI55" s="31"/>
      <c r="AJ55" s="8"/>
      <c r="AK55" s="49"/>
      <c r="AL55" s="3"/>
      <c r="AM55" s="37">
        <v>2</v>
      </c>
      <c r="AN55" s="3"/>
      <c r="AO55" s="3"/>
      <c r="AP55" s="3"/>
      <c r="AQ55" s="31"/>
      <c r="AR55" s="8"/>
      <c r="AS55" s="49"/>
      <c r="AT55" s="3"/>
      <c r="AU55" s="3">
        <v>2</v>
      </c>
      <c r="AV55" s="3"/>
      <c r="AW55" s="3"/>
      <c r="AX55" s="5"/>
      <c r="AY55" s="64"/>
    </row>
    <row r="56" spans="2:51" x14ac:dyDescent="0.25">
      <c r="B56" s="5">
        <v>9</v>
      </c>
      <c r="C56" s="5">
        <v>3</v>
      </c>
      <c r="D56" s="5" t="s">
        <v>0</v>
      </c>
      <c r="E56" s="34" t="s">
        <v>0</v>
      </c>
      <c r="F56" s="5" t="s">
        <v>19</v>
      </c>
      <c r="G56" s="3">
        <v>1</v>
      </c>
      <c r="H56" s="5" t="s">
        <v>12</v>
      </c>
      <c r="I56" s="30">
        <v>5</v>
      </c>
      <c r="J56" s="30">
        <f t="shared" si="0"/>
        <v>13</v>
      </c>
      <c r="K56" s="7"/>
      <c r="L56" s="79"/>
      <c r="M56" s="80"/>
      <c r="N56" s="80"/>
      <c r="O56" s="80"/>
      <c r="P56" s="80"/>
      <c r="Q56" s="80"/>
      <c r="R56" s="80"/>
      <c r="S56" s="81"/>
      <c r="T56" s="79"/>
      <c r="U56" s="80"/>
      <c r="V56" s="80"/>
      <c r="W56" s="80"/>
      <c r="X56" s="49"/>
      <c r="Y56" s="4">
        <v>8</v>
      </c>
      <c r="Z56" s="4">
        <v>7</v>
      </c>
      <c r="AA56" s="21">
        <v>6</v>
      </c>
      <c r="AB56" s="9">
        <v>5</v>
      </c>
      <c r="AC56" s="4">
        <v>4</v>
      </c>
      <c r="AD56" s="80"/>
      <c r="AE56" s="80"/>
      <c r="AF56" s="49"/>
      <c r="AG56" s="40">
        <v>8</v>
      </c>
      <c r="AH56" s="40">
        <v>7</v>
      </c>
      <c r="AI56" s="41">
        <v>6</v>
      </c>
      <c r="AJ56" s="39">
        <v>5</v>
      </c>
      <c r="AK56" s="40">
        <v>4</v>
      </c>
      <c r="AL56" s="80"/>
      <c r="AM56" s="80"/>
      <c r="AN56" s="49"/>
      <c r="AO56" s="37">
        <v>8</v>
      </c>
      <c r="AP56" s="37">
        <v>7</v>
      </c>
      <c r="AQ56" s="38">
        <v>6</v>
      </c>
      <c r="AR56" s="36">
        <v>5</v>
      </c>
      <c r="AS56" s="37">
        <v>4</v>
      </c>
      <c r="AT56" s="80"/>
      <c r="AU56" s="80"/>
      <c r="AV56" s="80"/>
      <c r="AW56" s="80"/>
      <c r="AX56" s="80"/>
      <c r="AY56" s="81"/>
    </row>
    <row r="57" spans="2:51" s="45" customFormat="1" x14ac:dyDescent="0.25">
      <c r="B57" s="3">
        <f>B56</f>
        <v>9</v>
      </c>
      <c r="C57" s="3">
        <v>4</v>
      </c>
      <c r="D57" s="5" t="s">
        <v>0</v>
      </c>
      <c r="E57" s="34" t="s">
        <v>32</v>
      </c>
      <c r="F57" s="5" t="s">
        <v>19</v>
      </c>
      <c r="G57" s="5">
        <f t="shared" ref="G57:H61" si="8">G56</f>
        <v>1</v>
      </c>
      <c r="H57" s="3" t="str">
        <f t="shared" si="8"/>
        <v>K</v>
      </c>
      <c r="I57" s="30">
        <v>2</v>
      </c>
      <c r="J57" s="30">
        <f t="shared" si="0"/>
        <v>10</v>
      </c>
      <c r="K57" s="30"/>
      <c r="L57" s="8"/>
      <c r="M57" s="3"/>
      <c r="N57" s="3"/>
      <c r="O57" s="3"/>
      <c r="P57" s="3"/>
      <c r="Q57" s="3"/>
      <c r="R57" s="3"/>
      <c r="S57" s="31"/>
      <c r="T57" s="8"/>
      <c r="U57" s="34"/>
      <c r="V57" s="3">
        <v>3</v>
      </c>
      <c r="W57" s="3">
        <v>2</v>
      </c>
      <c r="X57" s="3"/>
      <c r="Y57" s="3"/>
      <c r="Z57" s="3"/>
      <c r="AA57" s="31"/>
      <c r="AB57" s="8"/>
      <c r="AC57" s="34"/>
      <c r="AD57" s="4">
        <v>3</v>
      </c>
      <c r="AE57" s="4">
        <v>2</v>
      </c>
      <c r="AF57" s="3"/>
      <c r="AG57" s="3"/>
      <c r="AH57" s="3"/>
      <c r="AI57" s="31"/>
      <c r="AJ57" s="8"/>
      <c r="AK57" s="34"/>
      <c r="AL57" s="40">
        <v>3</v>
      </c>
      <c r="AM57" s="40">
        <v>2</v>
      </c>
      <c r="AN57" s="3"/>
      <c r="AO57" s="3"/>
      <c r="AP57" s="3"/>
      <c r="AQ57" s="31"/>
      <c r="AR57" s="8"/>
      <c r="AS57" s="34"/>
      <c r="AT57" s="37">
        <v>3</v>
      </c>
      <c r="AU57" s="37">
        <v>2</v>
      </c>
      <c r="AV57" s="3"/>
      <c r="AW57" s="3"/>
      <c r="AX57" s="3"/>
      <c r="AY57" s="31"/>
    </row>
    <row r="58" spans="2:51" x14ac:dyDescent="0.25">
      <c r="B58" s="5">
        <v>9</v>
      </c>
      <c r="C58" s="5">
        <v>5</v>
      </c>
      <c r="D58" s="5" t="s">
        <v>0</v>
      </c>
      <c r="E58" s="49" t="s">
        <v>22</v>
      </c>
      <c r="F58" s="5" t="s">
        <v>19</v>
      </c>
      <c r="G58" s="5">
        <f t="shared" si="8"/>
        <v>1</v>
      </c>
      <c r="H58" s="5" t="s">
        <v>12</v>
      </c>
      <c r="I58" s="5">
        <v>4</v>
      </c>
      <c r="J58" s="7">
        <f>I58+$J$4</f>
        <v>12</v>
      </c>
      <c r="K58" s="7"/>
      <c r="L58" s="8"/>
      <c r="M58" s="3"/>
      <c r="N58" s="3"/>
      <c r="O58" s="3"/>
      <c r="P58" s="3"/>
      <c r="Q58" s="3"/>
      <c r="R58" s="3"/>
      <c r="S58" s="31"/>
      <c r="T58" s="8"/>
      <c r="U58" s="49"/>
      <c r="V58" s="3"/>
      <c r="W58" s="3"/>
      <c r="X58" s="4">
        <v>1</v>
      </c>
      <c r="Y58" s="3"/>
      <c r="Z58" s="3"/>
      <c r="AA58" s="31"/>
      <c r="AB58" s="8"/>
      <c r="AC58" s="49"/>
      <c r="AD58" s="3"/>
      <c r="AE58" s="3"/>
      <c r="AF58" s="40">
        <v>1</v>
      </c>
      <c r="AG58" s="3"/>
      <c r="AH58" s="3"/>
      <c r="AI58" s="31"/>
      <c r="AJ58" s="8"/>
      <c r="AK58" s="49"/>
      <c r="AL58" s="3"/>
      <c r="AM58" s="3"/>
      <c r="AN58" s="37">
        <v>1</v>
      </c>
      <c r="AO58" s="3"/>
      <c r="AP58" s="3"/>
      <c r="AQ58" s="31"/>
      <c r="AR58" s="8"/>
      <c r="AS58" s="49"/>
      <c r="AT58" s="3"/>
      <c r="AU58" s="3"/>
      <c r="AV58" s="3">
        <v>1</v>
      </c>
      <c r="AW58" s="3"/>
      <c r="AX58" s="5"/>
      <c r="AY58" s="64"/>
    </row>
    <row r="59" spans="2:51" s="45" customFormat="1" x14ac:dyDescent="0.25">
      <c r="B59" s="3">
        <f>B57</f>
        <v>9</v>
      </c>
      <c r="C59" s="3">
        <v>6</v>
      </c>
      <c r="D59" s="5"/>
      <c r="E59" s="34" t="s">
        <v>33</v>
      </c>
      <c r="F59" s="5" t="s">
        <v>19</v>
      </c>
      <c r="G59" s="5">
        <f t="shared" si="8"/>
        <v>1</v>
      </c>
      <c r="H59" s="3" t="str">
        <f>H57</f>
        <v>K</v>
      </c>
      <c r="I59" s="32"/>
      <c r="J59" s="32"/>
      <c r="K59" s="30"/>
      <c r="L59" s="8">
        <v>5</v>
      </c>
      <c r="M59" s="3">
        <v>4</v>
      </c>
      <c r="N59" s="3">
        <v>3</v>
      </c>
      <c r="O59" s="3">
        <v>2</v>
      </c>
      <c r="P59" s="3">
        <v>1</v>
      </c>
      <c r="Q59" s="3">
        <v>8</v>
      </c>
      <c r="R59" s="3">
        <v>7</v>
      </c>
      <c r="S59" s="31">
        <v>6</v>
      </c>
      <c r="T59" s="8">
        <v>5</v>
      </c>
      <c r="U59" s="3">
        <v>4</v>
      </c>
      <c r="V59" s="56">
        <v>3</v>
      </c>
      <c r="W59" s="46">
        <v>2</v>
      </c>
      <c r="X59" s="6">
        <v>1</v>
      </c>
      <c r="Y59" s="4">
        <v>8</v>
      </c>
      <c r="Z59" s="4">
        <v>7</v>
      </c>
      <c r="AA59" s="21">
        <v>6</v>
      </c>
      <c r="AB59" s="9">
        <v>5</v>
      </c>
      <c r="AC59" s="4">
        <v>4</v>
      </c>
      <c r="AD59" s="4">
        <v>3</v>
      </c>
      <c r="AE59" s="4">
        <v>2</v>
      </c>
      <c r="AF59" s="4">
        <v>1</v>
      </c>
      <c r="AG59" s="40">
        <v>8</v>
      </c>
      <c r="AH59" s="40">
        <v>7</v>
      </c>
      <c r="AI59" s="41">
        <v>6</v>
      </c>
      <c r="AJ59" s="39">
        <v>5</v>
      </c>
      <c r="AK59" s="40">
        <v>4</v>
      </c>
      <c r="AL59" s="40">
        <v>3</v>
      </c>
      <c r="AM59" s="40">
        <v>2</v>
      </c>
      <c r="AN59" s="40">
        <v>1</v>
      </c>
      <c r="AO59" s="37">
        <v>8</v>
      </c>
      <c r="AP59" s="37">
        <v>7</v>
      </c>
      <c r="AQ59" s="38">
        <v>6</v>
      </c>
      <c r="AR59" s="36">
        <v>5</v>
      </c>
      <c r="AS59" s="37">
        <v>4</v>
      </c>
      <c r="AT59" s="37">
        <v>3</v>
      </c>
      <c r="AU59" s="37">
        <v>2</v>
      </c>
      <c r="AV59" s="37">
        <v>1</v>
      </c>
      <c r="AW59" s="3">
        <v>8</v>
      </c>
      <c r="AX59" s="3">
        <v>7</v>
      </c>
      <c r="AY59" s="31">
        <v>6</v>
      </c>
    </row>
    <row r="60" spans="2:51" x14ac:dyDescent="0.25">
      <c r="B60" s="5">
        <v>10</v>
      </c>
      <c r="C60" s="5">
        <v>1</v>
      </c>
      <c r="D60" s="5" t="s">
        <v>35</v>
      </c>
      <c r="E60" s="49" t="s">
        <v>24</v>
      </c>
      <c r="F60" s="5" t="s">
        <v>19</v>
      </c>
      <c r="G60" s="5">
        <f t="shared" si="8"/>
        <v>1</v>
      </c>
      <c r="H60" s="5" t="s">
        <v>8</v>
      </c>
      <c r="I60" s="5">
        <v>0</v>
      </c>
      <c r="J60" s="7">
        <f t="shared" si="0"/>
        <v>8</v>
      </c>
      <c r="K60" s="7"/>
      <c r="L60" s="8"/>
      <c r="M60" s="3"/>
      <c r="N60" s="3"/>
      <c r="O60" s="3"/>
      <c r="P60" s="3"/>
      <c r="Q60" s="3"/>
      <c r="R60" s="3"/>
      <c r="S60" s="31"/>
      <c r="T60" s="8">
        <v>3</v>
      </c>
      <c r="U60" s="3"/>
      <c r="V60" s="3"/>
      <c r="W60" s="3"/>
      <c r="X60" s="3"/>
      <c r="Y60" s="3"/>
      <c r="Z60" s="3"/>
      <c r="AA60" s="31"/>
      <c r="AB60" s="8">
        <v>3</v>
      </c>
      <c r="AC60" s="3"/>
      <c r="AD60" s="3"/>
      <c r="AE60" s="3"/>
      <c r="AF60" s="3"/>
      <c r="AG60" s="3"/>
      <c r="AH60" s="3"/>
      <c r="AI60" s="31"/>
      <c r="AJ60" s="8">
        <v>3</v>
      </c>
      <c r="AK60" s="3"/>
      <c r="AL60" s="3"/>
      <c r="AM60" s="3"/>
      <c r="AN60" s="3"/>
      <c r="AO60" s="3"/>
      <c r="AP60" s="3"/>
      <c r="AQ60" s="31"/>
      <c r="AR60" s="8">
        <v>3</v>
      </c>
      <c r="AS60" s="3"/>
      <c r="AT60" s="3"/>
      <c r="AU60" s="3"/>
      <c r="AV60" s="3"/>
      <c r="AW60" s="3"/>
      <c r="AX60" s="5"/>
      <c r="AY60" s="64"/>
    </row>
    <row r="61" spans="2:51" x14ac:dyDescent="0.25">
      <c r="B61" s="5">
        <v>10</v>
      </c>
      <c r="C61" s="5">
        <v>2</v>
      </c>
      <c r="D61" s="5" t="s">
        <v>21</v>
      </c>
      <c r="E61" s="49" t="s">
        <v>21</v>
      </c>
      <c r="F61" s="5" t="s">
        <v>19</v>
      </c>
      <c r="G61" s="5">
        <f t="shared" si="8"/>
        <v>1</v>
      </c>
      <c r="H61" s="5" t="s">
        <v>8</v>
      </c>
      <c r="I61" s="5">
        <v>1</v>
      </c>
      <c r="J61" s="7">
        <f t="shared" si="0"/>
        <v>9</v>
      </c>
      <c r="K61" s="7"/>
      <c r="L61" s="8"/>
      <c r="M61" s="3"/>
      <c r="N61" s="3"/>
      <c r="O61" s="3"/>
      <c r="P61" s="3"/>
      <c r="Q61" s="3"/>
      <c r="R61" s="3"/>
      <c r="S61" s="31"/>
      <c r="T61" s="109"/>
      <c r="U61" s="4">
        <v>2</v>
      </c>
      <c r="V61" s="3"/>
      <c r="W61" s="3"/>
      <c r="X61" s="3"/>
      <c r="Y61" s="3"/>
      <c r="Z61" s="3"/>
      <c r="AA61" s="31"/>
      <c r="AB61" s="109"/>
      <c r="AC61" s="40">
        <v>2</v>
      </c>
      <c r="AD61" s="3"/>
      <c r="AE61" s="3"/>
      <c r="AF61" s="3"/>
      <c r="AG61" s="3"/>
      <c r="AH61" s="3"/>
      <c r="AI61" s="31"/>
      <c r="AJ61" s="109"/>
      <c r="AK61" s="37">
        <v>2</v>
      </c>
      <c r="AL61" s="3"/>
      <c r="AM61" s="3"/>
      <c r="AN61" s="3"/>
      <c r="AO61" s="3"/>
      <c r="AP61" s="3"/>
      <c r="AQ61" s="31"/>
      <c r="AR61" s="109"/>
      <c r="AS61" s="3">
        <v>2</v>
      </c>
      <c r="AT61" s="3"/>
      <c r="AU61" s="3"/>
      <c r="AV61" s="3"/>
      <c r="AW61" s="3"/>
      <c r="AX61" s="5"/>
      <c r="AY61" s="64"/>
    </row>
    <row r="62" spans="2:51" x14ac:dyDescent="0.25">
      <c r="B62" s="5">
        <v>10</v>
      </c>
      <c r="C62" s="5">
        <v>3</v>
      </c>
      <c r="D62" s="5" t="s">
        <v>0</v>
      </c>
      <c r="E62" s="34" t="s">
        <v>0</v>
      </c>
      <c r="F62" s="5" t="s">
        <v>19</v>
      </c>
      <c r="G62" s="3">
        <v>1</v>
      </c>
      <c r="H62" s="5" t="s">
        <v>8</v>
      </c>
      <c r="I62" s="30">
        <v>3</v>
      </c>
      <c r="J62" s="30">
        <f t="shared" si="0"/>
        <v>11</v>
      </c>
      <c r="K62" s="7"/>
      <c r="L62" s="79"/>
      <c r="M62" s="80"/>
      <c r="N62" s="80"/>
      <c r="O62" s="80"/>
      <c r="P62" s="80"/>
      <c r="Q62" s="80"/>
      <c r="R62" s="80"/>
      <c r="S62" s="81"/>
      <c r="T62" s="79"/>
      <c r="U62" s="80"/>
      <c r="V62" s="3"/>
      <c r="W62" s="4">
        <v>8</v>
      </c>
      <c r="X62" s="4">
        <v>7</v>
      </c>
      <c r="Y62" s="4">
        <v>6</v>
      </c>
      <c r="Z62" s="4">
        <v>5</v>
      </c>
      <c r="AA62" s="21">
        <v>4</v>
      </c>
      <c r="AB62" s="79"/>
      <c r="AC62" s="80"/>
      <c r="AD62" s="3"/>
      <c r="AE62" s="40">
        <v>8</v>
      </c>
      <c r="AF62" s="40">
        <v>7</v>
      </c>
      <c r="AG62" s="40">
        <v>6</v>
      </c>
      <c r="AH62" s="40">
        <v>5</v>
      </c>
      <c r="AI62" s="41">
        <v>4</v>
      </c>
      <c r="AJ62" s="79"/>
      <c r="AK62" s="80"/>
      <c r="AL62" s="3"/>
      <c r="AM62" s="37">
        <v>8</v>
      </c>
      <c r="AN62" s="37">
        <v>7</v>
      </c>
      <c r="AO62" s="37">
        <v>6</v>
      </c>
      <c r="AP62" s="37">
        <v>5</v>
      </c>
      <c r="AQ62" s="38">
        <v>4</v>
      </c>
      <c r="AR62" s="79"/>
      <c r="AS62" s="80"/>
      <c r="AT62" s="80"/>
      <c r="AU62" s="80"/>
      <c r="AV62" s="80"/>
      <c r="AW62" s="80"/>
      <c r="AX62" s="80"/>
      <c r="AY62" s="81"/>
    </row>
    <row r="63" spans="2:51" s="45" customFormat="1" x14ac:dyDescent="0.25">
      <c r="B63" s="3">
        <f>B62</f>
        <v>10</v>
      </c>
      <c r="C63" s="3">
        <v>4</v>
      </c>
      <c r="D63" s="5" t="s">
        <v>0</v>
      </c>
      <c r="E63" s="34" t="s">
        <v>32</v>
      </c>
      <c r="F63" s="5" t="s">
        <v>19</v>
      </c>
      <c r="G63" s="5">
        <f t="shared" ref="G63:H67" si="9">G62</f>
        <v>1</v>
      </c>
      <c r="H63" s="3" t="str">
        <f t="shared" si="9"/>
        <v>G</v>
      </c>
      <c r="I63" s="30">
        <v>0</v>
      </c>
      <c r="J63" s="30">
        <f t="shared" si="0"/>
        <v>8</v>
      </c>
      <c r="K63" s="30"/>
      <c r="L63" s="8"/>
      <c r="M63" s="3"/>
      <c r="N63" s="3"/>
      <c r="O63" s="3"/>
      <c r="P63" s="3"/>
      <c r="Q63" s="3"/>
      <c r="R63" s="3"/>
      <c r="S63" s="31"/>
      <c r="T63" s="8">
        <v>3</v>
      </c>
      <c r="U63" s="3">
        <v>2</v>
      </c>
      <c r="V63" s="3"/>
      <c r="W63" s="3"/>
      <c r="X63" s="3"/>
      <c r="Y63" s="3"/>
      <c r="Z63" s="3"/>
      <c r="AA63" s="31"/>
      <c r="AB63" s="9">
        <v>3</v>
      </c>
      <c r="AC63" s="4">
        <v>2</v>
      </c>
      <c r="AD63" s="3"/>
      <c r="AE63" s="3"/>
      <c r="AF63" s="3"/>
      <c r="AG63" s="3"/>
      <c r="AH63" s="3"/>
      <c r="AI63" s="31"/>
      <c r="AJ63" s="39">
        <v>3</v>
      </c>
      <c r="AK63" s="40">
        <v>2</v>
      </c>
      <c r="AL63" s="3"/>
      <c r="AM63" s="3"/>
      <c r="AN63" s="3"/>
      <c r="AO63" s="3"/>
      <c r="AP63" s="3"/>
      <c r="AQ63" s="31"/>
      <c r="AR63" s="36">
        <v>3</v>
      </c>
      <c r="AS63" s="37">
        <v>2</v>
      </c>
      <c r="AT63" s="3"/>
      <c r="AU63" s="3"/>
      <c r="AV63" s="3"/>
      <c r="AW63" s="3"/>
      <c r="AX63" s="3"/>
      <c r="AY63" s="31"/>
    </row>
    <row r="64" spans="2:51" x14ac:dyDescent="0.25">
      <c r="B64" s="5">
        <v>10</v>
      </c>
      <c r="C64" s="5">
        <v>5</v>
      </c>
      <c r="D64" s="5" t="s">
        <v>0</v>
      </c>
      <c r="E64" s="49" t="s">
        <v>22</v>
      </c>
      <c r="F64" s="5" t="s">
        <v>19</v>
      </c>
      <c r="G64" s="5">
        <f t="shared" si="9"/>
        <v>1</v>
      </c>
      <c r="H64" s="5" t="s">
        <v>8</v>
      </c>
      <c r="I64" s="5">
        <v>2</v>
      </c>
      <c r="J64" s="7">
        <f>I64+$J$4</f>
        <v>10</v>
      </c>
      <c r="K64" s="7"/>
      <c r="L64" s="8"/>
      <c r="M64" s="3"/>
      <c r="N64" s="3"/>
      <c r="O64" s="3"/>
      <c r="P64" s="3"/>
      <c r="Q64" s="3"/>
      <c r="R64" s="3"/>
      <c r="S64" s="31"/>
      <c r="T64" s="8"/>
      <c r="U64" s="49"/>
      <c r="V64" s="4">
        <v>1</v>
      </c>
      <c r="W64" s="3"/>
      <c r="X64" s="3"/>
      <c r="Y64" s="3"/>
      <c r="Z64" s="3"/>
      <c r="AA64" s="31"/>
      <c r="AB64" s="8"/>
      <c r="AC64" s="49"/>
      <c r="AD64" s="40">
        <v>1</v>
      </c>
      <c r="AE64" s="3"/>
      <c r="AF64" s="3"/>
      <c r="AG64" s="3"/>
      <c r="AH64" s="3"/>
      <c r="AI64" s="31"/>
      <c r="AJ64" s="8"/>
      <c r="AK64" s="49"/>
      <c r="AL64" s="37">
        <v>1</v>
      </c>
      <c r="AM64" s="3"/>
      <c r="AN64" s="3"/>
      <c r="AO64" s="3"/>
      <c r="AP64" s="3"/>
      <c r="AQ64" s="31"/>
      <c r="AR64" s="8"/>
      <c r="AS64" s="49"/>
      <c r="AT64" s="3">
        <v>1</v>
      </c>
      <c r="AU64" s="3"/>
      <c r="AV64" s="3"/>
      <c r="AW64" s="3"/>
      <c r="AX64" s="5"/>
      <c r="AY64" s="64"/>
    </row>
    <row r="65" spans="2:51" s="45" customFormat="1" x14ac:dyDescent="0.25">
      <c r="B65" s="3">
        <f>B63</f>
        <v>10</v>
      </c>
      <c r="C65" s="3">
        <v>6</v>
      </c>
      <c r="D65" s="5"/>
      <c r="E65" s="34" t="s">
        <v>33</v>
      </c>
      <c r="F65" s="5" t="s">
        <v>19</v>
      </c>
      <c r="G65" s="5">
        <f t="shared" si="9"/>
        <v>1</v>
      </c>
      <c r="H65" s="3" t="str">
        <f>H63</f>
        <v>G</v>
      </c>
      <c r="I65" s="32"/>
      <c r="J65" s="32"/>
      <c r="K65" s="30"/>
      <c r="L65" s="8">
        <v>3</v>
      </c>
      <c r="M65" s="3">
        <v>2</v>
      </c>
      <c r="N65" s="3">
        <v>1</v>
      </c>
      <c r="O65" s="3">
        <v>8</v>
      </c>
      <c r="P65" s="3">
        <v>7</v>
      </c>
      <c r="Q65" s="3">
        <v>6</v>
      </c>
      <c r="R65" s="3">
        <v>5</v>
      </c>
      <c r="S65" s="31">
        <v>4</v>
      </c>
      <c r="T65" s="60">
        <v>3</v>
      </c>
      <c r="U65" s="46">
        <v>2</v>
      </c>
      <c r="V65" s="6">
        <v>1</v>
      </c>
      <c r="W65" s="4">
        <v>8</v>
      </c>
      <c r="X65" s="4">
        <v>7</v>
      </c>
      <c r="Y65" s="4">
        <v>6</v>
      </c>
      <c r="Z65" s="4">
        <v>5</v>
      </c>
      <c r="AA65" s="21">
        <v>4</v>
      </c>
      <c r="AB65" s="9">
        <v>3</v>
      </c>
      <c r="AC65" s="4">
        <v>2</v>
      </c>
      <c r="AD65" s="4">
        <v>1</v>
      </c>
      <c r="AE65" s="40">
        <v>8</v>
      </c>
      <c r="AF65" s="40">
        <v>7</v>
      </c>
      <c r="AG65" s="40">
        <v>6</v>
      </c>
      <c r="AH65" s="40">
        <v>5</v>
      </c>
      <c r="AI65" s="41">
        <v>4</v>
      </c>
      <c r="AJ65" s="39">
        <v>3</v>
      </c>
      <c r="AK65" s="40">
        <v>2</v>
      </c>
      <c r="AL65" s="40">
        <v>1</v>
      </c>
      <c r="AM65" s="37">
        <v>8</v>
      </c>
      <c r="AN65" s="37">
        <v>7</v>
      </c>
      <c r="AO65" s="37">
        <v>6</v>
      </c>
      <c r="AP65" s="37">
        <v>5</v>
      </c>
      <c r="AQ65" s="38">
        <v>4</v>
      </c>
      <c r="AR65" s="36">
        <v>3</v>
      </c>
      <c r="AS65" s="37">
        <v>2</v>
      </c>
      <c r="AT65" s="37">
        <v>1</v>
      </c>
      <c r="AU65" s="3">
        <v>8</v>
      </c>
      <c r="AV65" s="3">
        <v>7</v>
      </c>
      <c r="AW65" s="3">
        <v>6</v>
      </c>
      <c r="AX65" s="3">
        <v>5</v>
      </c>
      <c r="AY65" s="31">
        <v>4</v>
      </c>
    </row>
    <row r="66" spans="2:51" x14ac:dyDescent="0.25">
      <c r="B66" s="5">
        <v>11</v>
      </c>
      <c r="C66" s="5">
        <v>1</v>
      </c>
      <c r="D66" s="5" t="s">
        <v>35</v>
      </c>
      <c r="E66" s="49" t="s">
        <v>24</v>
      </c>
      <c r="F66" s="5" t="s">
        <v>19</v>
      </c>
      <c r="G66" s="5">
        <f t="shared" si="9"/>
        <v>1</v>
      </c>
      <c r="H66" s="5" t="s">
        <v>9</v>
      </c>
      <c r="I66" s="5">
        <v>-4</v>
      </c>
      <c r="J66" s="7">
        <f t="shared" si="0"/>
        <v>4</v>
      </c>
      <c r="K66" s="7" t="s">
        <v>28</v>
      </c>
      <c r="L66" s="8"/>
      <c r="M66" s="3"/>
      <c r="N66" s="3"/>
      <c r="O66" s="3"/>
      <c r="P66" s="4">
        <v>4</v>
      </c>
      <c r="Q66" s="4">
        <v>3</v>
      </c>
      <c r="R66" s="3"/>
      <c r="S66" s="31"/>
      <c r="T66" s="8"/>
      <c r="U66" s="3"/>
      <c r="V66" s="3"/>
      <c r="W66" s="3"/>
      <c r="X66" s="40">
        <v>4</v>
      </c>
      <c r="Y66" s="40">
        <v>3</v>
      </c>
      <c r="Z66" s="3"/>
      <c r="AA66" s="31"/>
      <c r="AB66" s="8"/>
      <c r="AC66" s="3"/>
      <c r="AD66" s="3"/>
      <c r="AE66" s="3"/>
      <c r="AF66" s="37">
        <v>4</v>
      </c>
      <c r="AG66" s="37">
        <v>3</v>
      </c>
      <c r="AH66" s="3"/>
      <c r="AI66" s="31"/>
      <c r="AJ66" s="8"/>
      <c r="AK66" s="3"/>
      <c r="AL66" s="3"/>
      <c r="AM66" s="3"/>
      <c r="AN66" s="3">
        <v>4</v>
      </c>
      <c r="AO66" s="3">
        <v>3</v>
      </c>
      <c r="AP66" s="3"/>
      <c r="AQ66" s="31"/>
      <c r="AR66" s="8"/>
      <c r="AS66" s="3"/>
      <c r="AT66" s="3"/>
      <c r="AU66" s="3"/>
      <c r="AV66" s="3"/>
      <c r="AW66" s="3"/>
      <c r="AX66" s="5"/>
      <c r="AY66" s="64"/>
    </row>
    <row r="67" spans="2:51" x14ac:dyDescent="0.25">
      <c r="B67" s="5">
        <v>11</v>
      </c>
      <c r="C67" s="5">
        <v>2</v>
      </c>
      <c r="D67" s="5" t="s">
        <v>21</v>
      </c>
      <c r="E67" s="49" t="s">
        <v>21</v>
      </c>
      <c r="F67" s="5" t="s">
        <v>19</v>
      </c>
      <c r="G67" s="5">
        <f t="shared" si="9"/>
        <v>1</v>
      </c>
      <c r="H67" s="5" t="s">
        <v>9</v>
      </c>
      <c r="I67" s="5">
        <v>-2</v>
      </c>
      <c r="J67" s="7">
        <f t="shared" si="0"/>
        <v>6</v>
      </c>
      <c r="K67" s="7" t="s">
        <v>28</v>
      </c>
      <c r="L67" s="8"/>
      <c r="M67" s="3"/>
      <c r="N67" s="3"/>
      <c r="O67" s="3"/>
      <c r="P67" s="3"/>
      <c r="Q67" s="3"/>
      <c r="R67" s="4">
        <v>2</v>
      </c>
      <c r="S67" s="31"/>
      <c r="T67" s="8"/>
      <c r="U67" s="3"/>
      <c r="V67" s="3"/>
      <c r="W67" s="3"/>
      <c r="X67" s="3"/>
      <c r="Y67" s="3"/>
      <c r="Z67" s="40">
        <v>2</v>
      </c>
      <c r="AA67" s="31"/>
      <c r="AB67" s="8"/>
      <c r="AC67" s="3"/>
      <c r="AD67" s="3"/>
      <c r="AE67" s="3"/>
      <c r="AF67" s="3"/>
      <c r="AG67" s="3"/>
      <c r="AH67" s="37">
        <v>2</v>
      </c>
      <c r="AI67" s="31"/>
      <c r="AJ67" s="8"/>
      <c r="AK67" s="3"/>
      <c r="AL67" s="3"/>
      <c r="AM67" s="3"/>
      <c r="AN67" s="3"/>
      <c r="AO67" s="3"/>
      <c r="AP67" s="3">
        <v>2</v>
      </c>
      <c r="AQ67" s="31"/>
      <c r="AR67" s="8"/>
      <c r="AS67" s="3"/>
      <c r="AT67" s="3"/>
      <c r="AU67" s="3"/>
      <c r="AV67" s="3"/>
      <c r="AW67" s="3"/>
      <c r="AX67" s="5"/>
      <c r="AY67" s="64"/>
    </row>
    <row r="68" spans="2:51" x14ac:dyDescent="0.25">
      <c r="B68" s="5">
        <v>11</v>
      </c>
      <c r="C68" s="5">
        <v>3</v>
      </c>
      <c r="D68" s="5" t="s">
        <v>0</v>
      </c>
      <c r="E68" s="34" t="s">
        <v>0</v>
      </c>
      <c r="F68" s="5" t="s">
        <v>19</v>
      </c>
      <c r="G68" s="3">
        <v>1</v>
      </c>
      <c r="H68" s="5" t="s">
        <v>9</v>
      </c>
      <c r="I68" s="30">
        <v>0</v>
      </c>
      <c r="J68" s="30">
        <f t="shared" si="0"/>
        <v>8</v>
      </c>
      <c r="K68" s="7" t="s">
        <v>28</v>
      </c>
      <c r="L68" s="79"/>
      <c r="M68" s="80"/>
      <c r="N68" s="80"/>
      <c r="O68" s="80"/>
      <c r="P68" s="80"/>
      <c r="Q68" s="80"/>
      <c r="R68" s="80"/>
      <c r="S68" s="81"/>
      <c r="T68" s="9">
        <v>8</v>
      </c>
      <c r="U68" s="4">
        <v>7</v>
      </c>
      <c r="V68" s="4">
        <v>6</v>
      </c>
      <c r="W68" s="4">
        <v>5</v>
      </c>
      <c r="X68" s="4">
        <v>4</v>
      </c>
      <c r="Y68" s="80"/>
      <c r="Z68" s="80"/>
      <c r="AA68" s="81"/>
      <c r="AB68" s="39">
        <v>8</v>
      </c>
      <c r="AC68" s="40">
        <v>7</v>
      </c>
      <c r="AD68" s="40">
        <v>6</v>
      </c>
      <c r="AE68" s="40">
        <v>5</v>
      </c>
      <c r="AF68" s="40">
        <v>4</v>
      </c>
      <c r="AG68" s="80"/>
      <c r="AH68" s="80"/>
      <c r="AI68" s="81"/>
      <c r="AJ68" s="36">
        <v>8</v>
      </c>
      <c r="AK68" s="37">
        <v>7</v>
      </c>
      <c r="AL68" s="37">
        <v>6</v>
      </c>
      <c r="AM68" s="37">
        <v>5</v>
      </c>
      <c r="AN68" s="37">
        <v>4</v>
      </c>
      <c r="AO68" s="80"/>
      <c r="AP68" s="80"/>
      <c r="AQ68" s="81"/>
      <c r="AR68" s="79"/>
      <c r="AS68" s="80"/>
      <c r="AT68" s="80"/>
      <c r="AU68" s="80"/>
      <c r="AV68" s="80"/>
      <c r="AW68" s="80"/>
      <c r="AX68" s="80"/>
      <c r="AY68" s="81"/>
    </row>
    <row r="69" spans="2:51" s="45" customFormat="1" x14ac:dyDescent="0.25">
      <c r="B69" s="3">
        <f>B68</f>
        <v>11</v>
      </c>
      <c r="C69" s="3">
        <v>4</v>
      </c>
      <c r="D69" s="5" t="s">
        <v>0</v>
      </c>
      <c r="E69" s="34" t="s">
        <v>32</v>
      </c>
      <c r="F69" s="5" t="s">
        <v>19</v>
      </c>
      <c r="G69" s="5">
        <f t="shared" ref="G69:H73" si="10">G68</f>
        <v>1</v>
      </c>
      <c r="H69" s="3" t="str">
        <f t="shared" si="10"/>
        <v>H</v>
      </c>
      <c r="I69" s="30">
        <v>-3</v>
      </c>
      <c r="J69" s="30">
        <f t="shared" si="0"/>
        <v>5</v>
      </c>
      <c r="K69" s="7" t="s">
        <v>28</v>
      </c>
      <c r="L69" s="8"/>
      <c r="M69" s="3"/>
      <c r="N69" s="3"/>
      <c r="O69" s="3"/>
      <c r="P69" s="3"/>
      <c r="Q69" s="3">
        <v>3</v>
      </c>
      <c r="R69" s="3">
        <v>2</v>
      </c>
      <c r="S69" s="31"/>
      <c r="T69" s="8"/>
      <c r="U69" s="3"/>
      <c r="V69" s="3"/>
      <c r="W69" s="3"/>
      <c r="X69" s="3"/>
      <c r="Y69" s="4">
        <v>3</v>
      </c>
      <c r="Z69" s="4">
        <v>2</v>
      </c>
      <c r="AA69" s="31"/>
      <c r="AB69" s="8"/>
      <c r="AC69" s="3"/>
      <c r="AD69" s="3"/>
      <c r="AE69" s="3"/>
      <c r="AF69" s="3"/>
      <c r="AG69" s="40">
        <v>3</v>
      </c>
      <c r="AH69" s="40">
        <v>2</v>
      </c>
      <c r="AI69" s="31"/>
      <c r="AJ69" s="8"/>
      <c r="AK69" s="3"/>
      <c r="AL69" s="3"/>
      <c r="AM69" s="3"/>
      <c r="AN69" s="3"/>
      <c r="AO69" s="37">
        <v>3</v>
      </c>
      <c r="AP69" s="37">
        <v>2</v>
      </c>
      <c r="AQ69" s="31"/>
      <c r="AR69" s="8"/>
      <c r="AS69" s="3"/>
      <c r="AT69" s="3"/>
      <c r="AU69" s="3"/>
      <c r="AV69" s="3"/>
      <c r="AW69" s="3"/>
      <c r="AX69" s="3"/>
      <c r="AY69" s="31"/>
    </row>
    <row r="70" spans="2:51" x14ac:dyDescent="0.25">
      <c r="B70" s="5">
        <v>11</v>
      </c>
      <c r="C70" s="5">
        <v>5</v>
      </c>
      <c r="D70" s="5" t="s">
        <v>0</v>
      </c>
      <c r="E70" s="49" t="s">
        <v>22</v>
      </c>
      <c r="F70" s="5" t="s">
        <v>19</v>
      </c>
      <c r="G70" s="5">
        <f t="shared" si="10"/>
        <v>1</v>
      </c>
      <c r="H70" s="5" t="s">
        <v>9</v>
      </c>
      <c r="I70" s="5">
        <v>-1</v>
      </c>
      <c r="J70" s="7">
        <f>I70+$J$4</f>
        <v>7</v>
      </c>
      <c r="K70" s="7" t="s">
        <v>28</v>
      </c>
      <c r="L70" s="8"/>
      <c r="M70" s="3"/>
      <c r="N70" s="3"/>
      <c r="O70" s="3"/>
      <c r="P70" s="3"/>
      <c r="Q70" s="3"/>
      <c r="R70" s="3"/>
      <c r="S70" s="21">
        <v>1</v>
      </c>
      <c r="T70" s="8"/>
      <c r="U70" s="3"/>
      <c r="V70" s="3"/>
      <c r="W70" s="3"/>
      <c r="X70" s="3"/>
      <c r="Y70" s="3"/>
      <c r="Z70" s="3"/>
      <c r="AA70" s="41">
        <v>1</v>
      </c>
      <c r="AB70" s="8"/>
      <c r="AC70" s="3"/>
      <c r="AD70" s="3"/>
      <c r="AE70" s="3"/>
      <c r="AF70" s="3"/>
      <c r="AG70" s="3"/>
      <c r="AH70" s="3"/>
      <c r="AI70" s="38">
        <v>1</v>
      </c>
      <c r="AJ70" s="8"/>
      <c r="AK70" s="3"/>
      <c r="AL70" s="3"/>
      <c r="AM70" s="3"/>
      <c r="AN70" s="3"/>
      <c r="AO70" s="3"/>
      <c r="AP70" s="3"/>
      <c r="AQ70" s="31">
        <v>1</v>
      </c>
      <c r="AR70" s="8"/>
      <c r="AS70" s="3"/>
      <c r="AT70" s="3"/>
      <c r="AU70" s="3"/>
      <c r="AV70" s="3"/>
      <c r="AW70" s="3"/>
      <c r="AX70" s="5"/>
      <c r="AY70" s="64"/>
    </row>
    <row r="71" spans="2:51" s="45" customFormat="1" x14ac:dyDescent="0.25">
      <c r="B71" s="3">
        <f>B69</f>
        <v>11</v>
      </c>
      <c r="C71" s="3">
        <v>6</v>
      </c>
      <c r="D71" s="5"/>
      <c r="E71" s="34" t="s">
        <v>33</v>
      </c>
      <c r="F71" s="5" t="s">
        <v>19</v>
      </c>
      <c r="G71" s="5">
        <f t="shared" si="10"/>
        <v>1</v>
      </c>
      <c r="H71" s="3" t="str">
        <f>H69</f>
        <v>H</v>
      </c>
      <c r="I71" s="32"/>
      <c r="J71" s="32"/>
      <c r="K71" s="7" t="s">
        <v>28</v>
      </c>
      <c r="L71" s="8">
        <v>8</v>
      </c>
      <c r="M71" s="3">
        <v>7</v>
      </c>
      <c r="N71" s="3">
        <v>6</v>
      </c>
      <c r="O71" s="3">
        <v>5</v>
      </c>
      <c r="P71" s="56">
        <v>4</v>
      </c>
      <c r="Q71" s="56">
        <v>3</v>
      </c>
      <c r="R71" s="46">
        <v>2</v>
      </c>
      <c r="S71" s="28">
        <v>1</v>
      </c>
      <c r="T71" s="9">
        <v>8</v>
      </c>
      <c r="U71" s="4">
        <v>7</v>
      </c>
      <c r="V71" s="4">
        <v>6</v>
      </c>
      <c r="W71" s="4">
        <v>5</v>
      </c>
      <c r="X71" s="4">
        <v>4</v>
      </c>
      <c r="Y71" s="4">
        <v>3</v>
      </c>
      <c r="Z71" s="4">
        <v>2</v>
      </c>
      <c r="AA71" s="21">
        <v>1</v>
      </c>
      <c r="AB71" s="39">
        <v>8</v>
      </c>
      <c r="AC71" s="40">
        <v>7</v>
      </c>
      <c r="AD71" s="40">
        <v>6</v>
      </c>
      <c r="AE71" s="40">
        <v>5</v>
      </c>
      <c r="AF71" s="40">
        <v>4</v>
      </c>
      <c r="AG71" s="40">
        <v>3</v>
      </c>
      <c r="AH71" s="40">
        <v>2</v>
      </c>
      <c r="AI71" s="41">
        <v>1</v>
      </c>
      <c r="AJ71" s="36">
        <v>8</v>
      </c>
      <c r="AK71" s="37">
        <v>7</v>
      </c>
      <c r="AL71" s="37">
        <v>6</v>
      </c>
      <c r="AM71" s="37">
        <v>5</v>
      </c>
      <c r="AN71" s="37">
        <v>4</v>
      </c>
      <c r="AO71" s="37">
        <v>3</v>
      </c>
      <c r="AP71" s="37">
        <v>2</v>
      </c>
      <c r="AQ71" s="38">
        <v>1</v>
      </c>
      <c r="AR71" s="8">
        <v>8</v>
      </c>
      <c r="AS71" s="3">
        <v>7</v>
      </c>
      <c r="AT71" s="3">
        <v>6</v>
      </c>
      <c r="AU71" s="3">
        <v>5</v>
      </c>
      <c r="AV71" s="3">
        <v>4</v>
      </c>
      <c r="AW71" s="3">
        <v>3</v>
      </c>
      <c r="AX71" s="3">
        <v>2</v>
      </c>
      <c r="AY71" s="31">
        <v>1</v>
      </c>
    </row>
    <row r="72" spans="2:51" x14ac:dyDescent="0.25">
      <c r="B72" s="5">
        <v>12</v>
      </c>
      <c r="C72" s="5">
        <v>1</v>
      </c>
      <c r="D72" s="5" t="s">
        <v>35</v>
      </c>
      <c r="E72" s="49" t="s">
        <v>24</v>
      </c>
      <c r="F72" s="5" t="s">
        <v>19</v>
      </c>
      <c r="G72" s="5">
        <f t="shared" si="10"/>
        <v>1</v>
      </c>
      <c r="H72" s="5" t="s">
        <v>10</v>
      </c>
      <c r="I72" s="5">
        <v>-1</v>
      </c>
      <c r="J72" s="7">
        <f t="shared" si="0"/>
        <v>7</v>
      </c>
      <c r="K72" s="7"/>
      <c r="L72" s="8"/>
      <c r="M72" s="3"/>
      <c r="N72" s="3"/>
      <c r="O72" s="3"/>
      <c r="P72" s="3"/>
      <c r="Q72" s="3"/>
      <c r="R72" s="3"/>
      <c r="S72" s="21">
        <v>3</v>
      </c>
      <c r="T72" s="8"/>
      <c r="U72" s="3"/>
      <c r="V72" s="3"/>
      <c r="W72" s="3"/>
      <c r="X72" s="3"/>
      <c r="Y72" s="3"/>
      <c r="Z72" s="3"/>
      <c r="AA72" s="41">
        <v>3</v>
      </c>
      <c r="AB72" s="8"/>
      <c r="AC72" s="3"/>
      <c r="AD72" s="3"/>
      <c r="AE72" s="3"/>
      <c r="AF72" s="3"/>
      <c r="AG72" s="3"/>
      <c r="AH72" s="3"/>
      <c r="AI72" s="38">
        <v>3</v>
      </c>
      <c r="AJ72" s="8"/>
      <c r="AK72" s="3"/>
      <c r="AL72" s="3"/>
      <c r="AM72" s="3"/>
      <c r="AN72" s="3"/>
      <c r="AO72" s="3"/>
      <c r="AP72" s="3"/>
      <c r="AQ72" s="31">
        <v>3</v>
      </c>
      <c r="AR72" s="8"/>
      <c r="AS72" s="3"/>
      <c r="AT72" s="3"/>
      <c r="AU72" s="3"/>
      <c r="AV72" s="3"/>
      <c r="AW72" s="3"/>
      <c r="AX72" s="5"/>
      <c r="AY72" s="64"/>
    </row>
    <row r="73" spans="2:51" x14ac:dyDescent="0.25">
      <c r="B73" s="5">
        <v>12</v>
      </c>
      <c r="C73" s="5">
        <v>2</v>
      </c>
      <c r="D73" s="5" t="s">
        <v>21</v>
      </c>
      <c r="E73" s="49" t="s">
        <v>21</v>
      </c>
      <c r="F73" s="5" t="s">
        <v>19</v>
      </c>
      <c r="G73" s="5">
        <f t="shared" si="10"/>
        <v>1</v>
      </c>
      <c r="H73" s="5" t="s">
        <v>10</v>
      </c>
      <c r="I73" s="5">
        <v>0</v>
      </c>
      <c r="J73" s="7">
        <f t="shared" si="0"/>
        <v>8</v>
      </c>
      <c r="K73" s="7"/>
      <c r="L73" s="8"/>
      <c r="M73" s="3"/>
      <c r="N73" s="3"/>
      <c r="O73" s="3"/>
      <c r="P73" s="3"/>
      <c r="Q73" s="3"/>
      <c r="R73" s="3"/>
      <c r="S73" s="31"/>
      <c r="T73" s="9">
        <v>2</v>
      </c>
      <c r="U73" s="3"/>
      <c r="V73" s="3"/>
      <c r="W73" s="3"/>
      <c r="X73" s="3"/>
      <c r="Y73" s="3"/>
      <c r="Z73" s="3"/>
      <c r="AA73" s="31"/>
      <c r="AB73" s="39">
        <v>2</v>
      </c>
      <c r="AC73" s="3"/>
      <c r="AD73" s="3"/>
      <c r="AE73" s="3"/>
      <c r="AF73" s="3"/>
      <c r="AG73" s="3"/>
      <c r="AH73" s="3"/>
      <c r="AI73" s="31"/>
      <c r="AJ73" s="36">
        <v>2</v>
      </c>
      <c r="AK73" s="3"/>
      <c r="AL73" s="3"/>
      <c r="AM73" s="3"/>
      <c r="AN73" s="3"/>
      <c r="AO73" s="3"/>
      <c r="AP73" s="3"/>
      <c r="AQ73" s="31"/>
      <c r="AR73" s="8">
        <v>2</v>
      </c>
      <c r="AS73" s="3"/>
      <c r="AT73" s="3"/>
      <c r="AU73" s="3"/>
      <c r="AV73" s="3"/>
      <c r="AW73" s="3"/>
      <c r="AX73" s="5"/>
      <c r="AY73" s="64"/>
    </row>
    <row r="74" spans="2:51" x14ac:dyDescent="0.25">
      <c r="B74" s="5">
        <v>12</v>
      </c>
      <c r="C74" s="5">
        <v>3</v>
      </c>
      <c r="D74" s="5" t="s">
        <v>0</v>
      </c>
      <c r="E74" s="34" t="s">
        <v>0</v>
      </c>
      <c r="F74" s="5" t="s">
        <v>19</v>
      </c>
      <c r="G74" s="3">
        <v>2</v>
      </c>
      <c r="H74" s="5" t="s">
        <v>10</v>
      </c>
      <c r="I74" s="30">
        <v>2</v>
      </c>
      <c r="J74" s="30">
        <f t="shared" si="0"/>
        <v>10</v>
      </c>
      <c r="K74" s="7"/>
      <c r="L74" s="79"/>
      <c r="M74" s="80"/>
      <c r="N74" s="80"/>
      <c r="O74" s="80"/>
      <c r="P74" s="80"/>
      <c r="Q74" s="80"/>
      <c r="R74" s="80"/>
      <c r="S74" s="81"/>
      <c r="T74" s="79"/>
      <c r="U74" s="3"/>
      <c r="V74" s="4">
        <v>8</v>
      </c>
      <c r="W74" s="4">
        <v>7</v>
      </c>
      <c r="X74" s="4">
        <v>6</v>
      </c>
      <c r="Y74" s="4">
        <v>5</v>
      </c>
      <c r="Z74" s="4">
        <v>4</v>
      </c>
      <c r="AA74" s="81"/>
      <c r="AB74" s="79"/>
      <c r="AC74" s="3"/>
      <c r="AD74" s="40">
        <v>8</v>
      </c>
      <c r="AE74" s="40">
        <v>7</v>
      </c>
      <c r="AF74" s="40">
        <v>6</v>
      </c>
      <c r="AG74" s="40">
        <v>5</v>
      </c>
      <c r="AH74" s="40">
        <v>4</v>
      </c>
      <c r="AI74" s="81"/>
      <c r="AJ74" s="79"/>
      <c r="AK74" s="3"/>
      <c r="AL74" s="37">
        <v>8</v>
      </c>
      <c r="AM74" s="37">
        <v>7</v>
      </c>
      <c r="AN74" s="37">
        <v>6</v>
      </c>
      <c r="AO74" s="37">
        <v>5</v>
      </c>
      <c r="AP74" s="37">
        <v>4</v>
      </c>
      <c r="AQ74" s="81"/>
      <c r="AR74" s="79"/>
      <c r="AS74" s="80"/>
      <c r="AT74" s="80"/>
      <c r="AU74" s="80"/>
      <c r="AV74" s="80"/>
      <c r="AW74" s="80"/>
      <c r="AX74" s="80"/>
      <c r="AY74" s="81"/>
    </row>
    <row r="75" spans="2:51" s="45" customFormat="1" x14ac:dyDescent="0.25">
      <c r="B75" s="3">
        <f>B74</f>
        <v>12</v>
      </c>
      <c r="C75" s="3">
        <v>4</v>
      </c>
      <c r="D75" s="5" t="s">
        <v>0</v>
      </c>
      <c r="E75" s="34" t="s">
        <v>32</v>
      </c>
      <c r="F75" s="5" t="s">
        <v>19</v>
      </c>
      <c r="G75" s="5">
        <f t="shared" ref="G75:H79" si="11">G74</f>
        <v>2</v>
      </c>
      <c r="H75" s="3" t="str">
        <f t="shared" si="11"/>
        <v>I</v>
      </c>
      <c r="I75" s="30">
        <v>-1</v>
      </c>
      <c r="J75" s="30">
        <f t="shared" si="0"/>
        <v>7</v>
      </c>
      <c r="K75" s="30"/>
      <c r="L75" s="8"/>
      <c r="M75" s="3"/>
      <c r="N75" s="3"/>
      <c r="O75" s="3"/>
      <c r="P75" s="3"/>
      <c r="Q75" s="3"/>
      <c r="R75" s="3"/>
      <c r="S75" s="31">
        <v>3</v>
      </c>
      <c r="T75" s="8">
        <v>2</v>
      </c>
      <c r="U75" s="3"/>
      <c r="V75" s="3"/>
      <c r="W75" s="3"/>
      <c r="X75" s="3"/>
      <c r="Y75" s="3"/>
      <c r="Z75" s="3"/>
      <c r="AA75" s="21">
        <v>3</v>
      </c>
      <c r="AB75" s="9">
        <v>2</v>
      </c>
      <c r="AC75" s="3"/>
      <c r="AD75" s="3"/>
      <c r="AE75" s="3"/>
      <c r="AF75" s="3"/>
      <c r="AG75" s="3"/>
      <c r="AH75" s="3"/>
      <c r="AI75" s="41">
        <v>3</v>
      </c>
      <c r="AJ75" s="39">
        <v>2</v>
      </c>
      <c r="AK75" s="3"/>
      <c r="AL75" s="3"/>
      <c r="AM75" s="3"/>
      <c r="AN75" s="3"/>
      <c r="AO75" s="3"/>
      <c r="AP75" s="3"/>
      <c r="AQ75" s="38">
        <v>3</v>
      </c>
      <c r="AR75" s="36">
        <v>2</v>
      </c>
      <c r="AS75" s="3"/>
      <c r="AT75" s="3"/>
      <c r="AU75" s="3"/>
      <c r="AV75" s="3"/>
      <c r="AW75" s="3"/>
      <c r="AX75" s="3"/>
      <c r="AY75" s="31"/>
    </row>
    <row r="76" spans="2:51" x14ac:dyDescent="0.25">
      <c r="B76" s="5">
        <v>12</v>
      </c>
      <c r="C76" s="5">
        <v>5</v>
      </c>
      <c r="D76" s="5" t="s">
        <v>0</v>
      </c>
      <c r="E76" s="49" t="s">
        <v>22</v>
      </c>
      <c r="F76" s="5" t="s">
        <v>19</v>
      </c>
      <c r="G76" s="5">
        <f t="shared" si="11"/>
        <v>2</v>
      </c>
      <c r="H76" s="5" t="s">
        <v>10</v>
      </c>
      <c r="I76" s="5">
        <v>1</v>
      </c>
      <c r="J76" s="7">
        <f>I76+$J$4</f>
        <v>9</v>
      </c>
      <c r="K76" s="7"/>
      <c r="L76" s="8"/>
      <c r="M76" s="3"/>
      <c r="N76" s="3"/>
      <c r="O76" s="3"/>
      <c r="P76" s="3"/>
      <c r="Q76" s="3"/>
      <c r="R76" s="3"/>
      <c r="S76" s="31"/>
      <c r="T76" s="109"/>
      <c r="U76" s="4">
        <v>1</v>
      </c>
      <c r="V76" s="3"/>
      <c r="W76" s="3"/>
      <c r="X76" s="3"/>
      <c r="Y76" s="3"/>
      <c r="Z76" s="3"/>
      <c r="AA76" s="31"/>
      <c r="AB76" s="109"/>
      <c r="AC76" s="40">
        <v>1</v>
      </c>
      <c r="AD76" s="3"/>
      <c r="AE76" s="3"/>
      <c r="AF76" s="3"/>
      <c r="AG76" s="3"/>
      <c r="AH76" s="3"/>
      <c r="AI76" s="31"/>
      <c r="AJ76" s="109"/>
      <c r="AK76" s="37">
        <v>1</v>
      </c>
      <c r="AL76" s="3"/>
      <c r="AM76" s="3"/>
      <c r="AN76" s="3"/>
      <c r="AO76" s="3"/>
      <c r="AP76" s="3"/>
      <c r="AQ76" s="31"/>
      <c r="AR76" s="109"/>
      <c r="AS76" s="3">
        <v>1</v>
      </c>
      <c r="AT76" s="3"/>
      <c r="AU76" s="3"/>
      <c r="AV76" s="3"/>
      <c r="AW76" s="3"/>
      <c r="AX76" s="5"/>
      <c r="AY76" s="64"/>
    </row>
    <row r="77" spans="2:51" s="45" customFormat="1" x14ac:dyDescent="0.25">
      <c r="B77" s="3">
        <f>B75</f>
        <v>12</v>
      </c>
      <c r="C77" s="3">
        <v>6</v>
      </c>
      <c r="D77" s="5"/>
      <c r="E77" s="34" t="s">
        <v>33</v>
      </c>
      <c r="F77" s="5" t="s">
        <v>19</v>
      </c>
      <c r="G77" s="5">
        <f t="shared" si="11"/>
        <v>2</v>
      </c>
      <c r="H77" s="3" t="str">
        <f>H75</f>
        <v>I</v>
      </c>
      <c r="I77" s="32"/>
      <c r="J77" s="32"/>
      <c r="K77" s="30"/>
      <c r="L77" s="8">
        <v>2</v>
      </c>
      <c r="M77" s="3">
        <v>1</v>
      </c>
      <c r="N77" s="3">
        <v>8</v>
      </c>
      <c r="O77" s="3">
        <v>7</v>
      </c>
      <c r="P77" s="3">
        <v>6</v>
      </c>
      <c r="Q77" s="3">
        <v>5</v>
      </c>
      <c r="R77" s="3">
        <v>4</v>
      </c>
      <c r="S77" s="59">
        <v>3</v>
      </c>
      <c r="T77" s="42">
        <v>2</v>
      </c>
      <c r="U77" s="6">
        <v>1</v>
      </c>
      <c r="V77" s="4">
        <v>8</v>
      </c>
      <c r="W77" s="4">
        <v>7</v>
      </c>
      <c r="X77" s="4">
        <v>6</v>
      </c>
      <c r="Y77" s="4">
        <v>5</v>
      </c>
      <c r="Z77" s="4">
        <v>4</v>
      </c>
      <c r="AA77" s="21">
        <v>3</v>
      </c>
      <c r="AB77" s="9">
        <v>2</v>
      </c>
      <c r="AC77" s="4">
        <v>1</v>
      </c>
      <c r="AD77" s="40">
        <v>8</v>
      </c>
      <c r="AE77" s="40">
        <v>7</v>
      </c>
      <c r="AF77" s="40">
        <v>6</v>
      </c>
      <c r="AG77" s="40">
        <v>5</v>
      </c>
      <c r="AH77" s="40">
        <v>4</v>
      </c>
      <c r="AI77" s="41">
        <v>3</v>
      </c>
      <c r="AJ77" s="39">
        <v>2</v>
      </c>
      <c r="AK77" s="40">
        <v>1</v>
      </c>
      <c r="AL77" s="37">
        <v>8</v>
      </c>
      <c r="AM77" s="37">
        <v>7</v>
      </c>
      <c r="AN77" s="37">
        <v>6</v>
      </c>
      <c r="AO77" s="37">
        <v>5</v>
      </c>
      <c r="AP77" s="37">
        <v>4</v>
      </c>
      <c r="AQ77" s="38">
        <v>3</v>
      </c>
      <c r="AR77" s="36">
        <v>2</v>
      </c>
      <c r="AS77" s="37">
        <v>1</v>
      </c>
      <c r="AT77" s="3">
        <v>8</v>
      </c>
      <c r="AU77" s="3">
        <v>7</v>
      </c>
      <c r="AV77" s="3">
        <v>6</v>
      </c>
      <c r="AW77" s="3">
        <v>5</v>
      </c>
      <c r="AX77" s="3">
        <v>4</v>
      </c>
      <c r="AY77" s="31">
        <v>3</v>
      </c>
    </row>
    <row r="78" spans="2:51" x14ac:dyDescent="0.25">
      <c r="B78" s="5">
        <v>13</v>
      </c>
      <c r="C78" s="5">
        <v>1</v>
      </c>
      <c r="D78" s="5" t="s">
        <v>35</v>
      </c>
      <c r="E78" s="49" t="s">
        <v>24</v>
      </c>
      <c r="F78" s="5" t="s">
        <v>19</v>
      </c>
      <c r="G78" s="5">
        <f t="shared" si="11"/>
        <v>2</v>
      </c>
      <c r="H78" s="5" t="s">
        <v>15</v>
      </c>
      <c r="I78" s="5">
        <v>1</v>
      </c>
      <c r="J78" s="7">
        <f t="shared" si="0"/>
        <v>9</v>
      </c>
      <c r="K78" s="7" t="s">
        <v>28</v>
      </c>
      <c r="L78" s="8"/>
      <c r="M78" s="3"/>
      <c r="N78" s="3"/>
      <c r="O78" s="3"/>
      <c r="P78" s="3"/>
      <c r="Q78" s="3"/>
      <c r="R78" s="3"/>
      <c r="S78" s="31"/>
      <c r="T78" s="109"/>
      <c r="U78" s="4">
        <v>3</v>
      </c>
      <c r="V78" s="3"/>
      <c r="W78" s="3"/>
      <c r="X78" s="3"/>
      <c r="Y78" s="3"/>
      <c r="Z78" s="3"/>
      <c r="AA78" s="31"/>
      <c r="AB78" s="109"/>
      <c r="AC78" s="40">
        <v>3</v>
      </c>
      <c r="AD78" s="3"/>
      <c r="AE78" s="3"/>
      <c r="AF78" s="3"/>
      <c r="AG78" s="3"/>
      <c r="AH78" s="3"/>
      <c r="AI78" s="31"/>
      <c r="AJ78" s="109"/>
      <c r="AK78" s="37">
        <v>3</v>
      </c>
      <c r="AL78" s="3"/>
      <c r="AM78" s="3"/>
      <c r="AN78" s="3"/>
      <c r="AO78" s="3"/>
      <c r="AP78" s="3"/>
      <c r="AQ78" s="31"/>
      <c r="AR78" s="109"/>
      <c r="AS78" s="3">
        <v>3</v>
      </c>
      <c r="AT78" s="3"/>
      <c r="AU78" s="3"/>
      <c r="AV78" s="3"/>
      <c r="AW78" s="3"/>
      <c r="AX78" s="5"/>
      <c r="AY78" s="64"/>
    </row>
    <row r="79" spans="2:51" x14ac:dyDescent="0.25">
      <c r="B79" s="5">
        <v>13</v>
      </c>
      <c r="C79" s="5">
        <v>2</v>
      </c>
      <c r="D79" s="5" t="s">
        <v>21</v>
      </c>
      <c r="E79" s="49" t="s">
        <v>21</v>
      </c>
      <c r="F79" s="5" t="s">
        <v>19</v>
      </c>
      <c r="G79" s="5">
        <f t="shared" si="11"/>
        <v>2</v>
      </c>
      <c r="H79" s="5" t="s">
        <v>15</v>
      </c>
      <c r="I79" s="5">
        <v>2</v>
      </c>
      <c r="J79" s="7">
        <f t="shared" si="0"/>
        <v>10</v>
      </c>
      <c r="K79" s="7" t="s">
        <v>28</v>
      </c>
      <c r="L79" s="8"/>
      <c r="M79" s="3"/>
      <c r="N79" s="3"/>
      <c r="O79" s="3"/>
      <c r="P79" s="3"/>
      <c r="Q79" s="3"/>
      <c r="R79" s="3"/>
      <c r="S79" s="31"/>
      <c r="T79" s="109"/>
      <c r="U79" s="3"/>
      <c r="V79" s="4">
        <v>2</v>
      </c>
      <c r="W79" s="3"/>
      <c r="X79" s="3"/>
      <c r="Y79" s="3"/>
      <c r="Z79" s="3"/>
      <c r="AA79" s="31"/>
      <c r="AB79" s="109"/>
      <c r="AC79" s="3"/>
      <c r="AD79" s="40">
        <v>2</v>
      </c>
      <c r="AE79" s="3"/>
      <c r="AF79" s="3"/>
      <c r="AG79" s="3"/>
      <c r="AH79" s="3"/>
      <c r="AI79" s="31"/>
      <c r="AJ79" s="109"/>
      <c r="AK79" s="3"/>
      <c r="AL79" s="37">
        <v>2</v>
      </c>
      <c r="AM79" s="3"/>
      <c r="AN79" s="3"/>
      <c r="AO79" s="3"/>
      <c r="AP79" s="3"/>
      <c r="AQ79" s="31"/>
      <c r="AR79" s="109"/>
      <c r="AS79" s="3"/>
      <c r="AT79" s="3">
        <v>2</v>
      </c>
      <c r="AU79" s="3"/>
      <c r="AV79" s="3"/>
      <c r="AW79" s="3"/>
      <c r="AX79" s="5"/>
      <c r="AY79" s="64"/>
    </row>
    <row r="80" spans="2:51" x14ac:dyDescent="0.25">
      <c r="B80" s="5">
        <v>13</v>
      </c>
      <c r="C80" s="5">
        <v>3</v>
      </c>
      <c r="D80" s="5" t="s">
        <v>0</v>
      </c>
      <c r="E80" s="34" t="s">
        <v>0</v>
      </c>
      <c r="F80" s="5" t="s">
        <v>19</v>
      </c>
      <c r="G80" s="3">
        <v>2</v>
      </c>
      <c r="H80" s="5" t="s">
        <v>15</v>
      </c>
      <c r="I80" s="30">
        <v>4</v>
      </c>
      <c r="J80" s="30">
        <f t="shared" si="0"/>
        <v>12</v>
      </c>
      <c r="K80" s="7" t="s">
        <v>28</v>
      </c>
      <c r="L80" s="79"/>
      <c r="M80" s="80"/>
      <c r="N80" s="80"/>
      <c r="O80" s="80"/>
      <c r="P80" s="80"/>
      <c r="Q80" s="80"/>
      <c r="R80" s="80"/>
      <c r="S80" s="81"/>
      <c r="T80" s="79"/>
      <c r="U80" s="80"/>
      <c r="V80" s="80"/>
      <c r="W80" s="49"/>
      <c r="X80" s="4">
        <v>8</v>
      </c>
      <c r="Y80" s="4">
        <v>7</v>
      </c>
      <c r="Z80" s="4">
        <v>6</v>
      </c>
      <c r="AA80" s="21">
        <v>5</v>
      </c>
      <c r="AB80" s="9">
        <v>4</v>
      </c>
      <c r="AC80" s="80"/>
      <c r="AD80" s="80"/>
      <c r="AE80" s="49"/>
      <c r="AF80" s="40">
        <v>8</v>
      </c>
      <c r="AG80" s="40">
        <v>7</v>
      </c>
      <c r="AH80" s="40">
        <v>6</v>
      </c>
      <c r="AI80" s="41">
        <v>5</v>
      </c>
      <c r="AJ80" s="39">
        <v>4</v>
      </c>
      <c r="AK80" s="80"/>
      <c r="AL80" s="80"/>
      <c r="AM80" s="49"/>
      <c r="AN80" s="37">
        <v>8</v>
      </c>
      <c r="AO80" s="37">
        <v>7</v>
      </c>
      <c r="AP80" s="37">
        <v>6</v>
      </c>
      <c r="AQ80" s="38">
        <v>5</v>
      </c>
      <c r="AR80" s="36">
        <v>4</v>
      </c>
      <c r="AS80" s="80"/>
      <c r="AT80" s="80"/>
      <c r="AU80" s="80"/>
      <c r="AV80" s="80"/>
      <c r="AW80" s="80"/>
      <c r="AX80" s="80"/>
      <c r="AY80" s="81"/>
    </row>
    <row r="81" spans="2:51" s="45" customFormat="1" x14ac:dyDescent="0.25">
      <c r="B81" s="3">
        <f>B80</f>
        <v>13</v>
      </c>
      <c r="C81" s="3">
        <v>4</v>
      </c>
      <c r="D81" s="5" t="s">
        <v>0</v>
      </c>
      <c r="E81" s="34" t="s">
        <v>32</v>
      </c>
      <c r="F81" s="5" t="s">
        <v>19</v>
      </c>
      <c r="G81" s="5">
        <f t="shared" ref="G81:H85" si="12">G80</f>
        <v>2</v>
      </c>
      <c r="H81" s="3" t="str">
        <f t="shared" si="12"/>
        <v>N</v>
      </c>
      <c r="I81" s="30">
        <v>1</v>
      </c>
      <c r="J81" s="30">
        <f t="shared" si="0"/>
        <v>9</v>
      </c>
      <c r="K81" s="7" t="s">
        <v>28</v>
      </c>
      <c r="L81" s="8"/>
      <c r="M81" s="3"/>
      <c r="N81" s="3"/>
      <c r="O81" s="3"/>
      <c r="P81" s="3"/>
      <c r="Q81" s="3"/>
      <c r="R81" s="3"/>
      <c r="S81" s="31"/>
      <c r="T81" s="110"/>
      <c r="U81" s="3">
        <v>3</v>
      </c>
      <c r="V81" s="3">
        <v>2</v>
      </c>
      <c r="W81" s="3"/>
      <c r="X81" s="3"/>
      <c r="Y81" s="3"/>
      <c r="Z81" s="3"/>
      <c r="AA81" s="31"/>
      <c r="AB81" s="110"/>
      <c r="AC81" s="4">
        <v>3</v>
      </c>
      <c r="AD81" s="4">
        <v>2</v>
      </c>
      <c r="AE81" s="3"/>
      <c r="AF81" s="3"/>
      <c r="AG81" s="3"/>
      <c r="AH81" s="3"/>
      <c r="AI81" s="31"/>
      <c r="AJ81" s="110"/>
      <c r="AK81" s="40">
        <v>3</v>
      </c>
      <c r="AL81" s="40">
        <v>2</v>
      </c>
      <c r="AM81" s="3"/>
      <c r="AN81" s="3"/>
      <c r="AO81" s="3"/>
      <c r="AP81" s="3"/>
      <c r="AQ81" s="31"/>
      <c r="AR81" s="110"/>
      <c r="AS81" s="37">
        <v>3</v>
      </c>
      <c r="AT81" s="37">
        <v>2</v>
      </c>
      <c r="AU81" s="3"/>
      <c r="AV81" s="3"/>
      <c r="AW81" s="3"/>
      <c r="AX81" s="3"/>
      <c r="AY81" s="31"/>
    </row>
    <row r="82" spans="2:51" x14ac:dyDescent="0.25">
      <c r="B82" s="5">
        <v>13</v>
      </c>
      <c r="C82" s="5">
        <v>5</v>
      </c>
      <c r="D82" s="5" t="s">
        <v>0</v>
      </c>
      <c r="E82" s="49" t="s">
        <v>22</v>
      </c>
      <c r="F82" s="5" t="s">
        <v>19</v>
      </c>
      <c r="G82" s="5">
        <f t="shared" si="12"/>
        <v>2</v>
      </c>
      <c r="H82" s="5" t="s">
        <v>15</v>
      </c>
      <c r="I82" s="5">
        <v>3</v>
      </c>
      <c r="J82" s="7">
        <f>I82+$J$4</f>
        <v>11</v>
      </c>
      <c r="K82" s="7" t="s">
        <v>28</v>
      </c>
      <c r="L82" s="8"/>
      <c r="M82" s="3"/>
      <c r="N82" s="3"/>
      <c r="O82" s="3"/>
      <c r="P82" s="3"/>
      <c r="Q82" s="3"/>
      <c r="R82" s="3"/>
      <c r="S82" s="31"/>
      <c r="T82" s="109"/>
      <c r="U82" s="3"/>
      <c r="V82" s="3"/>
      <c r="W82" s="4">
        <v>1</v>
      </c>
      <c r="X82" s="3"/>
      <c r="Y82" s="3"/>
      <c r="Z82" s="3"/>
      <c r="AA82" s="31"/>
      <c r="AB82" s="109"/>
      <c r="AC82" s="3"/>
      <c r="AD82" s="3"/>
      <c r="AE82" s="40">
        <v>1</v>
      </c>
      <c r="AF82" s="3"/>
      <c r="AG82" s="3"/>
      <c r="AH82" s="3"/>
      <c r="AI82" s="31"/>
      <c r="AJ82" s="109"/>
      <c r="AK82" s="3"/>
      <c r="AL82" s="3"/>
      <c r="AM82" s="37">
        <v>1</v>
      </c>
      <c r="AN82" s="3"/>
      <c r="AO82" s="3"/>
      <c r="AP82" s="3"/>
      <c r="AQ82" s="31"/>
      <c r="AR82" s="109"/>
      <c r="AS82" s="3"/>
      <c r="AT82" s="3"/>
      <c r="AU82" s="3">
        <v>1</v>
      </c>
      <c r="AV82" s="3"/>
      <c r="AW82" s="3"/>
      <c r="AX82" s="5"/>
      <c r="AY82" s="64"/>
    </row>
    <row r="83" spans="2:51" s="45" customFormat="1" x14ac:dyDescent="0.25">
      <c r="B83" s="3">
        <f>B81</f>
        <v>13</v>
      </c>
      <c r="C83" s="3">
        <v>6</v>
      </c>
      <c r="D83" s="5"/>
      <c r="E83" s="34" t="s">
        <v>33</v>
      </c>
      <c r="F83" s="5" t="s">
        <v>19</v>
      </c>
      <c r="G83" s="5">
        <f t="shared" si="12"/>
        <v>2</v>
      </c>
      <c r="H83" s="3" t="str">
        <f>H81</f>
        <v>N</v>
      </c>
      <c r="I83" s="32"/>
      <c r="J83" s="32"/>
      <c r="K83" s="7" t="s">
        <v>28</v>
      </c>
      <c r="L83" s="8">
        <v>4</v>
      </c>
      <c r="M83" s="3">
        <v>3</v>
      </c>
      <c r="N83" s="3">
        <v>2</v>
      </c>
      <c r="O83" s="3">
        <v>1</v>
      </c>
      <c r="P83" s="3">
        <v>8</v>
      </c>
      <c r="Q83" s="3">
        <v>7</v>
      </c>
      <c r="R83" s="3">
        <v>6</v>
      </c>
      <c r="S83" s="31">
        <v>5</v>
      </c>
      <c r="T83" s="8">
        <v>4</v>
      </c>
      <c r="U83" s="56">
        <v>3</v>
      </c>
      <c r="V83" s="46">
        <v>2</v>
      </c>
      <c r="W83" s="6">
        <v>1</v>
      </c>
      <c r="X83" s="4">
        <v>8</v>
      </c>
      <c r="Y83" s="4">
        <v>7</v>
      </c>
      <c r="Z83" s="4">
        <v>6</v>
      </c>
      <c r="AA83" s="21">
        <v>5</v>
      </c>
      <c r="AB83" s="9">
        <v>4</v>
      </c>
      <c r="AC83" s="4">
        <v>3</v>
      </c>
      <c r="AD83" s="4">
        <v>2</v>
      </c>
      <c r="AE83" s="4">
        <v>1</v>
      </c>
      <c r="AF83" s="40">
        <v>8</v>
      </c>
      <c r="AG83" s="40">
        <v>7</v>
      </c>
      <c r="AH83" s="40">
        <v>6</v>
      </c>
      <c r="AI83" s="41">
        <v>5</v>
      </c>
      <c r="AJ83" s="39">
        <v>4</v>
      </c>
      <c r="AK83" s="40">
        <v>3</v>
      </c>
      <c r="AL83" s="40">
        <v>2</v>
      </c>
      <c r="AM83" s="40">
        <v>1</v>
      </c>
      <c r="AN83" s="37">
        <v>8</v>
      </c>
      <c r="AO83" s="37">
        <v>7</v>
      </c>
      <c r="AP83" s="37">
        <v>6</v>
      </c>
      <c r="AQ83" s="38">
        <v>5</v>
      </c>
      <c r="AR83" s="36">
        <v>4</v>
      </c>
      <c r="AS83" s="37">
        <v>3</v>
      </c>
      <c r="AT83" s="37">
        <v>2</v>
      </c>
      <c r="AU83" s="37">
        <v>1</v>
      </c>
      <c r="AV83" s="3">
        <v>8</v>
      </c>
      <c r="AW83" s="3">
        <v>7</v>
      </c>
      <c r="AX83" s="3">
        <v>6</v>
      </c>
      <c r="AY83" s="31">
        <v>5</v>
      </c>
    </row>
    <row r="84" spans="2:51" x14ac:dyDescent="0.25">
      <c r="B84" s="5">
        <v>14</v>
      </c>
      <c r="C84" s="5">
        <v>1</v>
      </c>
      <c r="D84" s="5" t="s">
        <v>35</v>
      </c>
      <c r="E84" s="49" t="s">
        <v>24</v>
      </c>
      <c r="F84" s="5" t="s">
        <v>19</v>
      </c>
      <c r="G84" s="5">
        <f t="shared" si="12"/>
        <v>2</v>
      </c>
      <c r="H84" s="5" t="s">
        <v>13</v>
      </c>
      <c r="I84" s="5">
        <v>3</v>
      </c>
      <c r="J84" s="7">
        <f t="shared" si="0"/>
        <v>11</v>
      </c>
      <c r="K84" s="7" t="s">
        <v>28</v>
      </c>
      <c r="L84" s="8"/>
      <c r="M84" s="3"/>
      <c r="N84" s="3"/>
      <c r="O84" s="3"/>
      <c r="P84" s="3"/>
      <c r="Q84" s="3"/>
      <c r="R84" s="3"/>
      <c r="S84" s="31"/>
      <c r="T84" s="8"/>
      <c r="U84" s="3"/>
      <c r="V84" s="49"/>
      <c r="W84" s="4">
        <v>4</v>
      </c>
      <c r="X84" s="3"/>
      <c r="Y84" s="3"/>
      <c r="Z84" s="3"/>
      <c r="AA84" s="31"/>
      <c r="AB84" s="8"/>
      <c r="AC84" s="3"/>
      <c r="AD84" s="49"/>
      <c r="AE84" s="40">
        <v>4</v>
      </c>
      <c r="AF84" s="3"/>
      <c r="AG84" s="3"/>
      <c r="AH84" s="3"/>
      <c r="AI84" s="31"/>
      <c r="AJ84" s="8"/>
      <c r="AK84" s="3"/>
      <c r="AL84" s="49"/>
      <c r="AM84" s="37">
        <v>4</v>
      </c>
      <c r="AN84" s="3"/>
      <c r="AO84" s="3"/>
      <c r="AP84" s="3"/>
      <c r="AQ84" s="31"/>
      <c r="AR84" s="8"/>
      <c r="AS84" s="3"/>
      <c r="AT84" s="49"/>
      <c r="AU84" s="3">
        <v>4</v>
      </c>
      <c r="AV84" s="3"/>
      <c r="AW84" s="3"/>
      <c r="AX84" s="5"/>
      <c r="AY84" s="64"/>
    </row>
    <row r="85" spans="2:51" x14ac:dyDescent="0.25">
      <c r="B85" s="5">
        <v>14</v>
      </c>
      <c r="C85" s="5">
        <v>2</v>
      </c>
      <c r="D85" s="5" t="s">
        <v>21</v>
      </c>
      <c r="E85" s="49" t="s">
        <v>21</v>
      </c>
      <c r="F85" s="5" t="s">
        <v>19</v>
      </c>
      <c r="G85" s="5">
        <f t="shared" si="12"/>
        <v>2</v>
      </c>
      <c r="H85" s="5" t="s">
        <v>13</v>
      </c>
      <c r="I85" s="5">
        <v>4</v>
      </c>
      <c r="J85" s="7">
        <f t="shared" si="0"/>
        <v>12</v>
      </c>
      <c r="K85" s="7" t="s">
        <v>28</v>
      </c>
      <c r="L85" s="8"/>
      <c r="M85" s="3"/>
      <c r="N85" s="3"/>
      <c r="O85" s="3"/>
      <c r="P85" s="3"/>
      <c r="Q85" s="3"/>
      <c r="R85" s="3"/>
      <c r="S85" s="31"/>
      <c r="T85" s="8"/>
      <c r="U85" s="3"/>
      <c r="V85" s="3"/>
      <c r="W85" s="49"/>
      <c r="X85" s="4">
        <v>3</v>
      </c>
      <c r="Y85" s="3"/>
      <c r="Z85" s="3"/>
      <c r="AA85" s="31"/>
      <c r="AB85" s="8"/>
      <c r="AC85" s="3"/>
      <c r="AD85" s="49"/>
      <c r="AE85" s="3"/>
      <c r="AF85" s="40">
        <v>3</v>
      </c>
      <c r="AG85" s="3"/>
      <c r="AH85" s="3"/>
      <c r="AI85" s="31"/>
      <c r="AJ85" s="8"/>
      <c r="AK85" s="3"/>
      <c r="AL85" s="49"/>
      <c r="AM85" s="3"/>
      <c r="AN85" s="37">
        <v>3</v>
      </c>
      <c r="AO85" s="3"/>
      <c r="AP85" s="3"/>
      <c r="AQ85" s="31"/>
      <c r="AR85" s="8"/>
      <c r="AS85" s="3"/>
      <c r="AT85" s="49"/>
      <c r="AU85" s="3"/>
      <c r="AV85" s="3">
        <v>3</v>
      </c>
      <c r="AW85" s="3"/>
      <c r="AX85" s="5"/>
      <c r="AY85" s="64"/>
    </row>
    <row r="86" spans="2:51" x14ac:dyDescent="0.25">
      <c r="B86" s="5">
        <v>14</v>
      </c>
      <c r="C86" s="5">
        <v>3</v>
      </c>
      <c r="D86" s="5" t="s">
        <v>0</v>
      </c>
      <c r="E86" s="34" t="s">
        <v>0</v>
      </c>
      <c r="F86" s="5" t="s">
        <v>19</v>
      </c>
      <c r="G86" s="3">
        <v>2</v>
      </c>
      <c r="H86" s="5" t="s">
        <v>13</v>
      </c>
      <c r="I86" s="30">
        <v>7</v>
      </c>
      <c r="J86" s="30">
        <f t="shared" si="0"/>
        <v>15</v>
      </c>
      <c r="K86" s="7" t="s">
        <v>28</v>
      </c>
      <c r="L86" s="79"/>
      <c r="M86" s="80"/>
      <c r="N86" s="80"/>
      <c r="O86" s="80"/>
      <c r="P86" s="80"/>
      <c r="Q86" s="80"/>
      <c r="R86" s="80"/>
      <c r="S86" s="81"/>
      <c r="T86" s="79"/>
      <c r="U86" s="80"/>
      <c r="V86" s="80"/>
      <c r="W86" s="80"/>
      <c r="X86" s="80"/>
      <c r="Y86" s="80"/>
      <c r="Z86" s="3"/>
      <c r="AA86" s="21">
        <v>8</v>
      </c>
      <c r="AB86" s="9">
        <v>7</v>
      </c>
      <c r="AC86" s="4">
        <v>6</v>
      </c>
      <c r="AD86" s="4">
        <v>5</v>
      </c>
      <c r="AE86" s="4">
        <v>4</v>
      </c>
      <c r="AF86" s="80"/>
      <c r="AG86" s="80"/>
      <c r="AH86" s="3"/>
      <c r="AI86" s="41">
        <v>8</v>
      </c>
      <c r="AJ86" s="39">
        <v>7</v>
      </c>
      <c r="AK86" s="40">
        <v>6</v>
      </c>
      <c r="AL86" s="40">
        <v>5</v>
      </c>
      <c r="AM86" s="40">
        <v>4</v>
      </c>
      <c r="AN86" s="80"/>
      <c r="AO86" s="80"/>
      <c r="AP86" s="3"/>
      <c r="AQ86" s="38">
        <v>8</v>
      </c>
      <c r="AR86" s="36">
        <v>7</v>
      </c>
      <c r="AS86" s="37">
        <v>6</v>
      </c>
      <c r="AT86" s="37">
        <v>5</v>
      </c>
      <c r="AU86" s="37">
        <v>4</v>
      </c>
      <c r="AV86" s="80"/>
      <c r="AW86" s="80"/>
      <c r="AX86" s="80"/>
      <c r="AY86" s="81"/>
    </row>
    <row r="87" spans="2:51" s="45" customFormat="1" x14ac:dyDescent="0.25">
      <c r="B87" s="3">
        <f>B86</f>
        <v>14</v>
      </c>
      <c r="C87" s="3">
        <v>4</v>
      </c>
      <c r="D87" s="5" t="s">
        <v>0</v>
      </c>
      <c r="E87" s="34" t="s">
        <v>32</v>
      </c>
      <c r="F87" s="5" t="s">
        <v>19</v>
      </c>
      <c r="G87" s="5">
        <f t="shared" ref="G87:H91" si="13">G86</f>
        <v>2</v>
      </c>
      <c r="H87" s="3" t="str">
        <f t="shared" si="13"/>
        <v>L</v>
      </c>
      <c r="I87" s="30">
        <v>4</v>
      </c>
      <c r="J87" s="30">
        <f t="shared" si="0"/>
        <v>12</v>
      </c>
      <c r="K87" s="7" t="s">
        <v>28</v>
      </c>
      <c r="L87" s="8"/>
      <c r="M87" s="3"/>
      <c r="N87" s="3"/>
      <c r="O87" s="3"/>
      <c r="P87" s="3"/>
      <c r="Q87" s="3"/>
      <c r="R87" s="3"/>
      <c r="S87" s="31"/>
      <c r="T87" s="8"/>
      <c r="U87" s="3"/>
      <c r="V87" s="3"/>
      <c r="W87" s="34"/>
      <c r="X87" s="3">
        <v>3</v>
      </c>
      <c r="Y87" s="3"/>
      <c r="Z87" s="3"/>
      <c r="AA87" s="31"/>
      <c r="AB87" s="8"/>
      <c r="AC87" s="3"/>
      <c r="AD87" s="3"/>
      <c r="AE87" s="34"/>
      <c r="AF87" s="4">
        <v>3</v>
      </c>
      <c r="AG87" s="3"/>
      <c r="AH87" s="3"/>
      <c r="AI87" s="31"/>
      <c r="AJ87" s="8"/>
      <c r="AK87" s="3"/>
      <c r="AL87" s="3"/>
      <c r="AM87" s="34"/>
      <c r="AN87" s="40">
        <v>3</v>
      </c>
      <c r="AO87" s="3"/>
      <c r="AP87" s="3"/>
      <c r="AQ87" s="31"/>
      <c r="AR87" s="8"/>
      <c r="AS87" s="80"/>
      <c r="AT87" s="3"/>
      <c r="AU87" s="34"/>
      <c r="AV87" s="37">
        <v>3</v>
      </c>
      <c r="AW87" s="3"/>
      <c r="AX87" s="3"/>
      <c r="AY87" s="31"/>
    </row>
    <row r="88" spans="2:51" x14ac:dyDescent="0.25">
      <c r="B88" s="5">
        <v>14</v>
      </c>
      <c r="C88" s="5">
        <v>5</v>
      </c>
      <c r="D88" s="5" t="s">
        <v>0</v>
      </c>
      <c r="E88" s="49" t="s">
        <v>22</v>
      </c>
      <c r="F88" s="5" t="s">
        <v>19</v>
      </c>
      <c r="G88" s="5">
        <f t="shared" si="13"/>
        <v>2</v>
      </c>
      <c r="H88" s="5" t="s">
        <v>13</v>
      </c>
      <c r="I88" s="5">
        <v>5</v>
      </c>
      <c r="J88" s="7">
        <f>I88+$J$4</f>
        <v>13</v>
      </c>
      <c r="K88" s="7" t="s">
        <v>28</v>
      </c>
      <c r="L88" s="8"/>
      <c r="M88" s="3"/>
      <c r="N88" s="3"/>
      <c r="O88" s="3"/>
      <c r="P88" s="3"/>
      <c r="Q88" s="3"/>
      <c r="R88" s="3"/>
      <c r="S88" s="31"/>
      <c r="T88" s="8"/>
      <c r="U88" s="3"/>
      <c r="V88" s="3"/>
      <c r="W88" s="3"/>
      <c r="X88" s="49"/>
      <c r="Y88" s="4">
        <v>2</v>
      </c>
      <c r="Z88" s="4">
        <v>1</v>
      </c>
      <c r="AA88" s="31"/>
      <c r="AB88" s="8"/>
      <c r="AC88" s="3"/>
      <c r="AD88" s="3"/>
      <c r="AE88" s="49"/>
      <c r="AF88" s="3"/>
      <c r="AG88" s="40">
        <v>2</v>
      </c>
      <c r="AH88" s="40">
        <v>1</v>
      </c>
      <c r="AI88" s="31"/>
      <c r="AJ88" s="8"/>
      <c r="AK88" s="3"/>
      <c r="AL88" s="3"/>
      <c r="AM88" s="49"/>
      <c r="AN88" s="3"/>
      <c r="AO88" s="37">
        <v>2</v>
      </c>
      <c r="AP88" s="37">
        <v>1</v>
      </c>
      <c r="AQ88" s="31"/>
      <c r="AR88" s="8"/>
      <c r="AS88" s="3"/>
      <c r="AT88" s="3"/>
      <c r="AU88" s="49"/>
      <c r="AV88" s="3"/>
      <c r="AW88" s="3">
        <v>2</v>
      </c>
      <c r="AX88" s="3">
        <v>1</v>
      </c>
      <c r="AY88" s="64"/>
    </row>
    <row r="89" spans="2:51" s="45" customFormat="1" x14ac:dyDescent="0.25">
      <c r="B89" s="3">
        <f>B87</f>
        <v>14</v>
      </c>
      <c r="C89" s="3">
        <v>6</v>
      </c>
      <c r="D89" s="5"/>
      <c r="E89" s="34" t="s">
        <v>33</v>
      </c>
      <c r="F89" s="5" t="s">
        <v>19</v>
      </c>
      <c r="G89" s="5">
        <f t="shared" si="13"/>
        <v>2</v>
      </c>
      <c r="H89" s="3" t="str">
        <f>H87</f>
        <v>L</v>
      </c>
      <c r="I89" s="32"/>
      <c r="J89" s="32"/>
      <c r="K89" s="7" t="s">
        <v>28</v>
      </c>
      <c r="L89" s="8">
        <v>7</v>
      </c>
      <c r="M89" s="3">
        <v>6</v>
      </c>
      <c r="N89" s="3">
        <v>5</v>
      </c>
      <c r="O89" s="3">
        <v>4</v>
      </c>
      <c r="P89" s="3">
        <v>3</v>
      </c>
      <c r="Q89" s="3">
        <v>2</v>
      </c>
      <c r="R89" s="3">
        <v>1</v>
      </c>
      <c r="S89" s="31">
        <v>8</v>
      </c>
      <c r="T89" s="8">
        <v>7</v>
      </c>
      <c r="U89" s="3">
        <v>6</v>
      </c>
      <c r="V89" s="3">
        <v>5</v>
      </c>
      <c r="W89" s="3">
        <v>4</v>
      </c>
      <c r="X89" s="56">
        <v>3</v>
      </c>
      <c r="Y89" s="46">
        <v>2</v>
      </c>
      <c r="Z89" s="6">
        <v>1</v>
      </c>
      <c r="AA89" s="21">
        <v>8</v>
      </c>
      <c r="AB89" s="9">
        <v>7</v>
      </c>
      <c r="AC89" s="4">
        <v>6</v>
      </c>
      <c r="AD89" s="4">
        <v>5</v>
      </c>
      <c r="AE89" s="4">
        <v>4</v>
      </c>
      <c r="AF89" s="4">
        <v>3</v>
      </c>
      <c r="AG89" s="4">
        <v>2</v>
      </c>
      <c r="AH89" s="4">
        <v>1</v>
      </c>
      <c r="AI89" s="41">
        <v>8</v>
      </c>
      <c r="AJ89" s="39">
        <v>7</v>
      </c>
      <c r="AK89" s="40">
        <v>6</v>
      </c>
      <c r="AL89" s="40">
        <v>5</v>
      </c>
      <c r="AM89" s="40">
        <v>4</v>
      </c>
      <c r="AN89" s="40">
        <v>3</v>
      </c>
      <c r="AO89" s="40">
        <v>2</v>
      </c>
      <c r="AP89" s="40">
        <v>1</v>
      </c>
      <c r="AQ89" s="38">
        <v>8</v>
      </c>
      <c r="AR89" s="36">
        <v>7</v>
      </c>
      <c r="AS89" s="37">
        <v>6</v>
      </c>
      <c r="AT89" s="37">
        <v>5</v>
      </c>
      <c r="AU89" s="37">
        <v>4</v>
      </c>
      <c r="AV89" s="37">
        <v>3</v>
      </c>
      <c r="AW89" s="37">
        <v>2</v>
      </c>
      <c r="AX89" s="37">
        <v>1</v>
      </c>
      <c r="AY89" s="31">
        <v>8</v>
      </c>
    </row>
    <row r="90" spans="2:51" x14ac:dyDescent="0.25">
      <c r="B90" s="5">
        <v>15</v>
      </c>
      <c r="C90" s="5">
        <v>1</v>
      </c>
      <c r="D90" s="5" t="s">
        <v>35</v>
      </c>
      <c r="E90" s="49" t="s">
        <v>24</v>
      </c>
      <c r="F90" s="5" t="s">
        <v>19</v>
      </c>
      <c r="G90" s="5">
        <f t="shared" si="13"/>
        <v>2</v>
      </c>
      <c r="H90" s="5" t="s">
        <v>14</v>
      </c>
      <c r="I90" s="5">
        <v>4</v>
      </c>
      <c r="J90" s="7">
        <f t="shared" si="0"/>
        <v>12</v>
      </c>
      <c r="K90" s="7"/>
      <c r="L90" s="8"/>
      <c r="M90" s="3"/>
      <c r="N90" s="3"/>
      <c r="O90" s="3"/>
      <c r="P90" s="3"/>
      <c r="Q90" s="3"/>
      <c r="R90" s="3"/>
      <c r="S90" s="31"/>
      <c r="T90" s="8"/>
      <c r="U90" s="3"/>
      <c r="V90" s="3"/>
      <c r="W90" s="49"/>
      <c r="X90" s="4">
        <v>4</v>
      </c>
      <c r="Y90" s="3"/>
      <c r="Z90" s="3"/>
      <c r="AA90" s="31"/>
      <c r="AB90" s="8"/>
      <c r="AC90" s="3"/>
      <c r="AD90" s="3"/>
      <c r="AE90" s="49"/>
      <c r="AF90" s="40">
        <v>4</v>
      </c>
      <c r="AG90" s="3"/>
      <c r="AH90" s="3"/>
      <c r="AI90" s="31"/>
      <c r="AJ90" s="8"/>
      <c r="AK90" s="3"/>
      <c r="AL90" s="3"/>
      <c r="AM90" s="49"/>
      <c r="AN90" s="37">
        <v>4</v>
      </c>
      <c r="AO90" s="3"/>
      <c r="AP90" s="3"/>
      <c r="AQ90" s="31"/>
      <c r="AR90" s="8"/>
      <c r="AS90" s="3"/>
      <c r="AT90" s="3"/>
      <c r="AU90" s="49"/>
      <c r="AV90" s="3">
        <v>4</v>
      </c>
      <c r="AW90" s="3"/>
      <c r="AX90" s="3"/>
      <c r="AY90" s="64"/>
    </row>
    <row r="91" spans="2:51" x14ac:dyDescent="0.25">
      <c r="B91" s="5">
        <v>15</v>
      </c>
      <c r="C91" s="5">
        <v>2</v>
      </c>
      <c r="D91" s="5" t="s">
        <v>21</v>
      </c>
      <c r="E91" s="49" t="s">
        <v>21</v>
      </c>
      <c r="F91" s="5" t="s">
        <v>19</v>
      </c>
      <c r="G91" s="5">
        <f t="shared" si="13"/>
        <v>2</v>
      </c>
      <c r="H91" s="5" t="s">
        <v>14</v>
      </c>
      <c r="I91" s="5">
        <v>5</v>
      </c>
      <c r="J91" s="7">
        <f t="shared" si="0"/>
        <v>13</v>
      </c>
      <c r="K91" s="7"/>
      <c r="L91" s="8"/>
      <c r="M91" s="3"/>
      <c r="N91" s="3"/>
      <c r="O91" s="3"/>
      <c r="P91" s="3"/>
      <c r="Q91" s="3"/>
      <c r="R91" s="3"/>
      <c r="S91" s="31"/>
      <c r="T91" s="8"/>
      <c r="U91" s="3"/>
      <c r="V91" s="3"/>
      <c r="W91" s="49"/>
      <c r="X91" s="3"/>
      <c r="Y91" s="4">
        <v>3</v>
      </c>
      <c r="Z91" s="4">
        <v>2</v>
      </c>
      <c r="AA91" s="31"/>
      <c r="AB91" s="8"/>
      <c r="AC91" s="3"/>
      <c r="AD91" s="3"/>
      <c r="AE91" s="49"/>
      <c r="AF91" s="3"/>
      <c r="AG91" s="40">
        <v>3</v>
      </c>
      <c r="AH91" s="40">
        <v>2</v>
      </c>
      <c r="AI91" s="31"/>
      <c r="AJ91" s="8"/>
      <c r="AK91" s="3"/>
      <c r="AL91" s="3"/>
      <c r="AM91" s="49"/>
      <c r="AN91" s="3"/>
      <c r="AO91" s="37">
        <v>3</v>
      </c>
      <c r="AP91" s="37">
        <v>2</v>
      </c>
      <c r="AQ91" s="31"/>
      <c r="AR91" s="8"/>
      <c r="AS91" s="3"/>
      <c r="AT91" s="3"/>
      <c r="AU91" s="49"/>
      <c r="AV91" s="3"/>
      <c r="AW91" s="3">
        <v>3</v>
      </c>
      <c r="AX91" s="3">
        <v>2</v>
      </c>
      <c r="AY91" s="64"/>
    </row>
    <row r="92" spans="2:51" x14ac:dyDescent="0.25">
      <c r="B92" s="5">
        <v>15</v>
      </c>
      <c r="C92" s="5">
        <v>3</v>
      </c>
      <c r="D92" s="5" t="s">
        <v>0</v>
      </c>
      <c r="E92" s="34" t="s">
        <v>0</v>
      </c>
      <c r="F92" s="5" t="s">
        <v>19</v>
      </c>
      <c r="G92" s="3">
        <v>2</v>
      </c>
      <c r="H92" s="5" t="s">
        <v>14</v>
      </c>
      <c r="I92" s="30">
        <v>8</v>
      </c>
      <c r="J92" s="30">
        <f t="shared" si="0"/>
        <v>16</v>
      </c>
      <c r="K92" s="7"/>
      <c r="L92" s="79"/>
      <c r="M92" s="80"/>
      <c r="N92" s="80"/>
      <c r="O92" s="80"/>
      <c r="P92" s="80"/>
      <c r="Q92" s="80"/>
      <c r="R92" s="80"/>
      <c r="S92" s="81"/>
      <c r="T92" s="79"/>
      <c r="U92" s="80"/>
      <c r="V92" s="80"/>
      <c r="W92" s="80"/>
      <c r="X92" s="80"/>
      <c r="Y92" s="80"/>
      <c r="Z92" s="80"/>
      <c r="AA92" s="111"/>
      <c r="AB92" s="9">
        <v>8</v>
      </c>
      <c r="AC92" s="4">
        <v>7</v>
      </c>
      <c r="AD92" s="4">
        <v>6</v>
      </c>
      <c r="AE92" s="4">
        <v>5</v>
      </c>
      <c r="AF92" s="4">
        <v>4</v>
      </c>
      <c r="AG92" s="80"/>
      <c r="AH92" s="80"/>
      <c r="AI92" s="111"/>
      <c r="AJ92" s="39">
        <v>8</v>
      </c>
      <c r="AK92" s="40">
        <v>7</v>
      </c>
      <c r="AL92" s="40">
        <v>6</v>
      </c>
      <c r="AM92" s="40">
        <v>5</v>
      </c>
      <c r="AN92" s="40">
        <v>4</v>
      </c>
      <c r="AO92" s="80"/>
      <c r="AP92" s="80"/>
      <c r="AQ92" s="111"/>
      <c r="AR92" s="36">
        <v>8</v>
      </c>
      <c r="AS92" s="37">
        <v>7</v>
      </c>
      <c r="AT92" s="37">
        <v>6</v>
      </c>
      <c r="AU92" s="37">
        <v>5</v>
      </c>
      <c r="AV92" s="37">
        <v>4</v>
      </c>
      <c r="AW92" s="80"/>
      <c r="AX92" s="80"/>
      <c r="AY92" s="81"/>
    </row>
    <row r="93" spans="2:51" s="45" customFormat="1" x14ac:dyDescent="0.25">
      <c r="B93" s="3">
        <f>B92</f>
        <v>15</v>
      </c>
      <c r="C93" s="3">
        <v>4</v>
      </c>
      <c r="D93" s="5" t="s">
        <v>0</v>
      </c>
      <c r="E93" s="34" t="s">
        <v>32</v>
      </c>
      <c r="F93" s="5" t="s">
        <v>19</v>
      </c>
      <c r="G93" s="5">
        <f t="shared" ref="G93:H95" si="14">G92</f>
        <v>2</v>
      </c>
      <c r="H93" s="3" t="str">
        <f t="shared" si="14"/>
        <v>M</v>
      </c>
      <c r="I93" s="30">
        <v>5</v>
      </c>
      <c r="J93" s="30">
        <f t="shared" si="0"/>
        <v>13</v>
      </c>
      <c r="K93" s="30"/>
      <c r="L93" s="8"/>
      <c r="M93" s="3"/>
      <c r="N93" s="3"/>
      <c r="O93" s="3"/>
      <c r="P93" s="3"/>
      <c r="Q93" s="3"/>
      <c r="R93" s="3"/>
      <c r="S93" s="31"/>
      <c r="T93" s="8"/>
      <c r="U93" s="3"/>
      <c r="V93" s="3"/>
      <c r="W93" s="3"/>
      <c r="X93" s="34"/>
      <c r="Y93" s="3">
        <v>3</v>
      </c>
      <c r="Z93" s="3">
        <v>2</v>
      </c>
      <c r="AA93" s="31"/>
      <c r="AB93" s="8"/>
      <c r="AC93" s="3"/>
      <c r="AD93" s="3"/>
      <c r="AE93" s="3"/>
      <c r="AF93" s="34"/>
      <c r="AG93" s="4">
        <v>3</v>
      </c>
      <c r="AH93" s="4">
        <v>2</v>
      </c>
      <c r="AI93" s="31"/>
      <c r="AJ93" s="8"/>
      <c r="AK93" s="3"/>
      <c r="AL93" s="3"/>
      <c r="AM93" s="3"/>
      <c r="AN93" s="34"/>
      <c r="AO93" s="40">
        <v>3</v>
      </c>
      <c r="AP93" s="40">
        <v>2</v>
      </c>
      <c r="AQ93" s="31"/>
      <c r="AR93" s="8"/>
      <c r="AS93" s="3"/>
      <c r="AT93" s="3"/>
      <c r="AU93" s="3"/>
      <c r="AV93" s="34"/>
      <c r="AW93" s="37">
        <v>3</v>
      </c>
      <c r="AX93" s="37">
        <v>2</v>
      </c>
      <c r="AY93" s="31"/>
    </row>
    <row r="94" spans="2:51" x14ac:dyDescent="0.25">
      <c r="B94" s="5">
        <v>15</v>
      </c>
      <c r="C94" s="5">
        <v>5</v>
      </c>
      <c r="D94" s="5" t="s">
        <v>0</v>
      </c>
      <c r="E94" s="49" t="s">
        <v>22</v>
      </c>
      <c r="F94" s="5" t="s">
        <v>19</v>
      </c>
      <c r="G94" s="5">
        <f t="shared" si="14"/>
        <v>2</v>
      </c>
      <c r="H94" s="5" t="s">
        <v>14</v>
      </c>
      <c r="I94" s="5">
        <v>7</v>
      </c>
      <c r="J94" s="7">
        <f>I94+$J$4</f>
        <v>15</v>
      </c>
      <c r="K94" s="7"/>
      <c r="L94" s="8"/>
      <c r="M94" s="3"/>
      <c r="N94" s="3"/>
      <c r="O94" s="3"/>
      <c r="P94" s="3"/>
      <c r="Q94" s="3"/>
      <c r="R94" s="3"/>
      <c r="S94" s="31"/>
      <c r="T94" s="8"/>
      <c r="U94" s="3"/>
      <c r="V94" s="3"/>
      <c r="W94" s="3"/>
      <c r="X94" s="49"/>
      <c r="Y94" s="3"/>
      <c r="Z94" s="3"/>
      <c r="AA94" s="21">
        <v>1</v>
      </c>
      <c r="AB94" s="8"/>
      <c r="AC94" s="3"/>
      <c r="AD94" s="3"/>
      <c r="AE94" s="3"/>
      <c r="AF94" s="49"/>
      <c r="AG94" s="3"/>
      <c r="AH94" s="3"/>
      <c r="AI94" s="41">
        <v>1</v>
      </c>
      <c r="AJ94" s="8"/>
      <c r="AK94" s="3"/>
      <c r="AL94" s="3"/>
      <c r="AM94" s="3"/>
      <c r="AN94" s="49"/>
      <c r="AO94" s="3"/>
      <c r="AP94" s="3"/>
      <c r="AQ94" s="38">
        <v>1</v>
      </c>
      <c r="AR94" s="8"/>
      <c r="AS94" s="3"/>
      <c r="AT94" s="3"/>
      <c r="AU94" s="3"/>
      <c r="AV94" s="49"/>
      <c r="AW94" s="3"/>
      <c r="AX94" s="3"/>
      <c r="AY94" s="64">
        <v>1</v>
      </c>
    </row>
    <row r="95" spans="2:51" s="45" customFormat="1" ht="15.75" thickBot="1" x14ac:dyDescent="0.3">
      <c r="B95" s="3">
        <f>B93</f>
        <v>15</v>
      </c>
      <c r="C95" s="3">
        <v>6</v>
      </c>
      <c r="D95" s="5"/>
      <c r="E95" s="34" t="s">
        <v>33</v>
      </c>
      <c r="F95" s="5" t="s">
        <v>19</v>
      </c>
      <c r="G95" s="5">
        <f t="shared" si="14"/>
        <v>2</v>
      </c>
      <c r="H95" s="3" t="str">
        <f>H93</f>
        <v>M</v>
      </c>
      <c r="I95" s="32"/>
      <c r="J95" s="32"/>
      <c r="K95" s="30"/>
      <c r="L95" s="76">
        <v>8</v>
      </c>
      <c r="M95" s="74">
        <v>7</v>
      </c>
      <c r="N95" s="74">
        <v>6</v>
      </c>
      <c r="O95" s="74">
        <v>5</v>
      </c>
      <c r="P95" s="77">
        <v>4</v>
      </c>
      <c r="Q95" s="77">
        <v>3</v>
      </c>
      <c r="R95" s="83">
        <v>2</v>
      </c>
      <c r="S95" s="94">
        <v>1</v>
      </c>
      <c r="T95" s="27">
        <v>8</v>
      </c>
      <c r="U95" s="10">
        <v>7</v>
      </c>
      <c r="V95" s="10">
        <v>6</v>
      </c>
      <c r="W95" s="10">
        <v>5</v>
      </c>
      <c r="X95" s="10">
        <v>4</v>
      </c>
      <c r="Y95" s="10">
        <v>3</v>
      </c>
      <c r="Z95" s="10">
        <v>2</v>
      </c>
      <c r="AA95" s="22">
        <v>1</v>
      </c>
      <c r="AB95" s="52">
        <v>8</v>
      </c>
      <c r="AC95" s="50">
        <v>7</v>
      </c>
      <c r="AD95" s="50">
        <v>6</v>
      </c>
      <c r="AE95" s="50">
        <v>5</v>
      </c>
      <c r="AF95" s="50">
        <v>4</v>
      </c>
      <c r="AG95" s="50">
        <v>3</v>
      </c>
      <c r="AH95" s="50">
        <v>2</v>
      </c>
      <c r="AI95" s="51">
        <v>1</v>
      </c>
      <c r="AJ95" s="55">
        <v>8</v>
      </c>
      <c r="AK95" s="53">
        <v>7</v>
      </c>
      <c r="AL95" s="53">
        <v>6</v>
      </c>
      <c r="AM95" s="53">
        <v>5</v>
      </c>
      <c r="AN95" s="53">
        <v>4</v>
      </c>
      <c r="AO95" s="53">
        <v>3</v>
      </c>
      <c r="AP95" s="53">
        <v>2</v>
      </c>
      <c r="AQ95" s="54">
        <v>1</v>
      </c>
      <c r="AR95" s="76">
        <v>8</v>
      </c>
      <c r="AS95" s="74">
        <v>7</v>
      </c>
      <c r="AT95" s="74">
        <v>6</v>
      </c>
      <c r="AU95" s="74">
        <v>5</v>
      </c>
      <c r="AV95" s="74">
        <v>4</v>
      </c>
      <c r="AW95" s="74">
        <v>3</v>
      </c>
      <c r="AX95" s="74">
        <v>2</v>
      </c>
      <c r="AY95" s="75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108"/>
  <sheetViews>
    <sheetView zoomScale="85" zoomScaleNormal="85" workbookViewId="0">
      <selection activeCell="BF56" sqref="BF56"/>
    </sheetView>
  </sheetViews>
  <sheetFormatPr defaultColWidth="3.28515625" defaultRowHeight="15" x14ac:dyDescent="0.25"/>
  <cols>
    <col min="1" max="1" width="3.28515625" style="43"/>
    <col min="2" max="2" width="9.140625" style="43" bestFit="1" customWidth="1"/>
    <col min="3" max="3" width="12.140625" style="43" bestFit="1" customWidth="1"/>
    <col min="4" max="4" width="21.140625" style="43" customWidth="1"/>
    <col min="5" max="5" width="21" style="43" bestFit="1" customWidth="1"/>
    <col min="6" max="6" width="7.140625" style="43" bestFit="1" customWidth="1"/>
    <col min="7" max="7" width="6.7109375" style="43" bestFit="1" customWidth="1"/>
    <col min="8" max="8" width="8.28515625" style="43" bestFit="1" customWidth="1"/>
    <col min="9" max="9" width="10.5703125" style="43" bestFit="1" customWidth="1"/>
    <col min="10" max="10" width="11" style="43" bestFit="1" customWidth="1"/>
    <col min="11" max="11" width="8.85546875" style="43" bestFit="1" customWidth="1"/>
    <col min="12" max="46" width="3.7109375" style="99" customWidth="1"/>
    <col min="47" max="16384" width="3.28515625" style="43"/>
  </cols>
  <sheetData>
    <row r="1" spans="2:46" ht="21" x14ac:dyDescent="0.25">
      <c r="B1" s="44" t="s">
        <v>39</v>
      </c>
    </row>
    <row r="3" spans="2:46" s="99" customFormat="1" ht="15.75" thickBot="1" x14ac:dyDescent="0.3">
      <c r="B3" s="46" t="s">
        <v>26</v>
      </c>
      <c r="C3" s="46" t="s">
        <v>25</v>
      </c>
      <c r="D3" s="46" t="s">
        <v>36</v>
      </c>
      <c r="E3" s="46" t="s">
        <v>29</v>
      </c>
      <c r="F3" s="46" t="s">
        <v>17</v>
      </c>
      <c r="G3" s="46" t="s">
        <v>20</v>
      </c>
      <c r="H3" s="46" t="s">
        <v>1</v>
      </c>
      <c r="I3" s="46" t="s">
        <v>30</v>
      </c>
      <c r="J3" s="46" t="s">
        <v>31</v>
      </c>
      <c r="K3" s="46" t="s">
        <v>27</v>
      </c>
      <c r="R3" s="58"/>
      <c r="S3" s="58"/>
      <c r="T3" s="58"/>
      <c r="U3" s="58"/>
      <c r="V3" s="58"/>
      <c r="W3" s="58"/>
      <c r="X3" s="58"/>
      <c r="Y3" s="58"/>
      <c r="Z3" s="58"/>
    </row>
    <row r="4" spans="2:46" ht="15.75" thickBot="1" x14ac:dyDescent="0.3">
      <c r="B4" s="47"/>
      <c r="C4" s="47"/>
      <c r="D4" s="47"/>
      <c r="E4" s="47"/>
      <c r="F4" s="47"/>
      <c r="G4" s="47"/>
      <c r="H4" s="47"/>
      <c r="I4" s="47"/>
      <c r="J4" s="47">
        <v>7</v>
      </c>
      <c r="K4" s="47"/>
      <c r="L4" s="12">
        <v>7</v>
      </c>
      <c r="M4" s="12">
        <v>6</v>
      </c>
      <c r="N4" s="12">
        <v>5</v>
      </c>
      <c r="O4" s="12">
        <v>4</v>
      </c>
      <c r="P4" s="12">
        <v>3</v>
      </c>
      <c r="Q4" s="12">
        <v>2</v>
      </c>
      <c r="R4" s="18">
        <v>1</v>
      </c>
      <c r="S4" s="13">
        <v>7</v>
      </c>
      <c r="T4" s="13">
        <v>6</v>
      </c>
      <c r="U4" s="13">
        <v>5</v>
      </c>
      <c r="V4" s="13">
        <v>4</v>
      </c>
      <c r="W4" s="13">
        <v>3</v>
      </c>
      <c r="X4" s="13">
        <v>2</v>
      </c>
      <c r="Y4" s="20">
        <v>1</v>
      </c>
      <c r="Z4" s="14">
        <v>7</v>
      </c>
      <c r="AA4" s="14">
        <v>6</v>
      </c>
      <c r="AB4" s="14">
        <v>5</v>
      </c>
      <c r="AC4" s="14">
        <v>4</v>
      </c>
      <c r="AD4" s="14">
        <v>3</v>
      </c>
      <c r="AE4" s="14">
        <v>2</v>
      </c>
      <c r="AF4" s="24">
        <v>1</v>
      </c>
      <c r="AG4" s="15">
        <v>7</v>
      </c>
      <c r="AH4" s="15">
        <v>6</v>
      </c>
      <c r="AI4" s="15">
        <v>5</v>
      </c>
      <c r="AJ4" s="15">
        <v>4</v>
      </c>
      <c r="AK4" s="15">
        <v>3</v>
      </c>
      <c r="AL4" s="15">
        <v>2</v>
      </c>
      <c r="AM4" s="26">
        <v>1</v>
      </c>
      <c r="AN4" s="16">
        <v>7</v>
      </c>
      <c r="AO4" s="16">
        <v>6</v>
      </c>
      <c r="AP4" s="16">
        <v>5</v>
      </c>
      <c r="AQ4" s="16">
        <v>4</v>
      </c>
      <c r="AR4" s="16">
        <v>3</v>
      </c>
      <c r="AS4" s="16">
        <v>2</v>
      </c>
      <c r="AT4" s="17">
        <v>1</v>
      </c>
    </row>
    <row r="5" spans="2:46" x14ac:dyDescent="0.25">
      <c r="B5" s="5">
        <v>0</v>
      </c>
      <c r="C5" s="5">
        <v>0</v>
      </c>
      <c r="D5" s="5" t="s">
        <v>35</v>
      </c>
      <c r="E5" s="49" t="s">
        <v>23</v>
      </c>
      <c r="F5" s="49"/>
      <c r="G5" s="49"/>
      <c r="H5" s="49"/>
      <c r="I5" s="5">
        <v>-3</v>
      </c>
      <c r="J5" s="7">
        <v>4</v>
      </c>
      <c r="K5" s="87"/>
      <c r="L5" s="4">
        <v>4</v>
      </c>
      <c r="M5" s="4">
        <v>3</v>
      </c>
      <c r="N5" s="4">
        <v>2</v>
      </c>
      <c r="O5" s="21">
        <v>1</v>
      </c>
      <c r="P5" s="13">
        <v>7</v>
      </c>
      <c r="Q5" s="13">
        <v>6</v>
      </c>
      <c r="R5" s="13">
        <v>5</v>
      </c>
      <c r="S5" s="13">
        <v>4</v>
      </c>
      <c r="T5" s="13">
        <v>3</v>
      </c>
      <c r="U5" s="13">
        <v>2</v>
      </c>
      <c r="V5" s="20">
        <v>1</v>
      </c>
      <c r="W5" s="14">
        <v>7</v>
      </c>
      <c r="X5" s="14">
        <v>6</v>
      </c>
      <c r="Y5" s="14">
        <v>5</v>
      </c>
      <c r="Z5" s="14">
        <v>4</v>
      </c>
      <c r="AA5" s="14">
        <v>3</v>
      </c>
      <c r="AB5" s="14">
        <v>2</v>
      </c>
      <c r="AC5" s="24">
        <v>1</v>
      </c>
      <c r="AD5" s="15">
        <v>7</v>
      </c>
      <c r="AE5" s="15">
        <v>6</v>
      </c>
      <c r="AF5" s="15">
        <v>5</v>
      </c>
      <c r="AG5" s="15">
        <v>4</v>
      </c>
      <c r="AH5" s="15">
        <v>3</v>
      </c>
      <c r="AI5" s="15">
        <v>2</v>
      </c>
      <c r="AJ5" s="26">
        <v>1</v>
      </c>
      <c r="AK5" s="16">
        <v>7</v>
      </c>
      <c r="AL5" s="16">
        <v>6</v>
      </c>
      <c r="AM5" s="16">
        <v>5</v>
      </c>
      <c r="AN5" s="16">
        <v>4</v>
      </c>
      <c r="AO5" s="16">
        <v>3</v>
      </c>
      <c r="AP5" s="16">
        <v>2</v>
      </c>
      <c r="AQ5" s="17">
        <v>1</v>
      </c>
      <c r="AR5" s="5">
        <v>7</v>
      </c>
      <c r="AS5" s="5">
        <v>6</v>
      </c>
      <c r="AT5" s="64">
        <v>5</v>
      </c>
    </row>
    <row r="6" spans="2:46" x14ac:dyDescent="0.25">
      <c r="B6" s="5">
        <v>1</v>
      </c>
      <c r="C6" s="5">
        <v>1</v>
      </c>
      <c r="D6" s="5" t="s">
        <v>35</v>
      </c>
      <c r="E6" s="49" t="s">
        <v>24</v>
      </c>
      <c r="F6" s="5" t="s">
        <v>18</v>
      </c>
      <c r="G6" s="5">
        <v>1</v>
      </c>
      <c r="H6" s="5" t="s">
        <v>2</v>
      </c>
      <c r="I6" s="5">
        <v>-3</v>
      </c>
      <c r="J6" s="7">
        <f>I6+$J$4</f>
        <v>4</v>
      </c>
      <c r="K6" s="7"/>
      <c r="L6" s="3"/>
      <c r="M6" s="3"/>
      <c r="N6" s="3"/>
      <c r="O6" s="3"/>
      <c r="P6" s="4">
        <v>3</v>
      </c>
      <c r="Q6" s="3"/>
      <c r="R6" s="31"/>
      <c r="S6" s="3"/>
      <c r="T6" s="3"/>
      <c r="U6" s="3"/>
      <c r="V6" s="3"/>
      <c r="W6" s="40">
        <v>3</v>
      </c>
      <c r="X6" s="3"/>
      <c r="Y6" s="31"/>
      <c r="Z6" s="3"/>
      <c r="AA6" s="3"/>
      <c r="AB6" s="3"/>
      <c r="AC6" s="3"/>
      <c r="AD6" s="37">
        <v>3</v>
      </c>
      <c r="AE6" s="3"/>
      <c r="AF6" s="31"/>
      <c r="AG6" s="3"/>
      <c r="AH6" s="3"/>
      <c r="AI6" s="3"/>
      <c r="AJ6" s="3"/>
      <c r="AK6" s="3">
        <v>3</v>
      </c>
      <c r="AL6" s="3"/>
      <c r="AM6" s="31"/>
      <c r="AN6" s="3"/>
      <c r="AO6" s="3"/>
      <c r="AP6" s="3"/>
      <c r="AQ6" s="3"/>
      <c r="AR6" s="3"/>
      <c r="AS6" s="3"/>
      <c r="AT6" s="31"/>
    </row>
    <row r="7" spans="2:46" x14ac:dyDescent="0.25">
      <c r="B7" s="5">
        <v>1</v>
      </c>
      <c r="C7" s="5">
        <v>2</v>
      </c>
      <c r="D7" s="5" t="s">
        <v>21</v>
      </c>
      <c r="E7" s="49" t="s">
        <v>21</v>
      </c>
      <c r="F7" s="5" t="s">
        <v>18</v>
      </c>
      <c r="G7" s="5">
        <f>G6</f>
        <v>1</v>
      </c>
      <c r="H7" s="5" t="s">
        <v>2</v>
      </c>
      <c r="I7" s="5">
        <v>-2</v>
      </c>
      <c r="J7" s="7">
        <f>I7+$J$4</f>
        <v>5</v>
      </c>
      <c r="K7" s="7"/>
      <c r="L7" s="3"/>
      <c r="M7" s="3"/>
      <c r="N7" s="3"/>
      <c r="O7" s="3"/>
      <c r="P7" s="3"/>
      <c r="Q7" s="4">
        <v>2</v>
      </c>
      <c r="R7" s="31"/>
      <c r="S7" s="3"/>
      <c r="T7" s="3"/>
      <c r="U7" s="3"/>
      <c r="V7" s="3"/>
      <c r="W7" s="3"/>
      <c r="X7" s="40">
        <v>2</v>
      </c>
      <c r="Y7" s="31"/>
      <c r="Z7" s="3"/>
      <c r="AA7" s="3"/>
      <c r="AB7" s="3"/>
      <c r="AC7" s="3"/>
      <c r="AD7" s="3"/>
      <c r="AE7" s="37">
        <v>2</v>
      </c>
      <c r="AF7" s="31"/>
      <c r="AG7" s="3"/>
      <c r="AH7" s="3"/>
      <c r="AI7" s="3"/>
      <c r="AJ7" s="3"/>
      <c r="AK7" s="3"/>
      <c r="AL7" s="3">
        <v>2</v>
      </c>
      <c r="AM7" s="31"/>
      <c r="AN7" s="3"/>
      <c r="AO7" s="3"/>
      <c r="AP7" s="3"/>
      <c r="AQ7" s="3"/>
      <c r="AR7" s="3"/>
      <c r="AS7" s="3"/>
      <c r="AT7" s="31"/>
    </row>
    <row r="8" spans="2:46" x14ac:dyDescent="0.25">
      <c r="B8" s="5">
        <v>1</v>
      </c>
      <c r="C8" s="5">
        <v>3</v>
      </c>
      <c r="D8" s="5" t="s">
        <v>0</v>
      </c>
      <c r="E8" s="34" t="s">
        <v>0</v>
      </c>
      <c r="F8" s="5" t="s">
        <v>18</v>
      </c>
      <c r="G8" s="3">
        <v>1</v>
      </c>
      <c r="H8" s="5" t="s">
        <v>2</v>
      </c>
      <c r="I8" s="30">
        <v>0</v>
      </c>
      <c r="J8" s="7">
        <f>I8+$J$4</f>
        <v>7</v>
      </c>
      <c r="K8" s="7"/>
      <c r="L8" s="80"/>
      <c r="M8" s="80"/>
      <c r="N8" s="80"/>
      <c r="O8" s="80"/>
      <c r="P8" s="80"/>
      <c r="Q8" s="80"/>
      <c r="R8" s="81"/>
      <c r="S8" s="4">
        <v>7</v>
      </c>
      <c r="T8" s="4">
        <v>6</v>
      </c>
      <c r="U8" s="4">
        <v>5</v>
      </c>
      <c r="V8" s="4">
        <v>4</v>
      </c>
      <c r="W8" s="80"/>
      <c r="X8" s="80"/>
      <c r="Y8" s="81"/>
      <c r="Z8" s="40">
        <v>7</v>
      </c>
      <c r="AA8" s="40">
        <v>6</v>
      </c>
      <c r="AB8" s="40">
        <v>5</v>
      </c>
      <c r="AC8" s="40">
        <v>4</v>
      </c>
      <c r="AD8" s="80"/>
      <c r="AE8" s="80"/>
      <c r="AF8" s="81"/>
      <c r="AG8" s="37">
        <v>7</v>
      </c>
      <c r="AH8" s="37">
        <v>6</v>
      </c>
      <c r="AI8" s="37">
        <v>5</v>
      </c>
      <c r="AJ8" s="37">
        <v>4</v>
      </c>
      <c r="AK8" s="80"/>
      <c r="AL8" s="80"/>
      <c r="AM8" s="81"/>
      <c r="AN8" s="80"/>
      <c r="AO8" s="80"/>
      <c r="AP8" s="80"/>
      <c r="AQ8" s="80"/>
      <c r="AR8" s="80"/>
      <c r="AS8" s="80"/>
      <c r="AT8" s="81"/>
    </row>
    <row r="9" spans="2:46" s="45" customFormat="1" x14ac:dyDescent="0.25">
      <c r="B9" s="3">
        <f>B8</f>
        <v>1</v>
      </c>
      <c r="C9" s="3">
        <v>4</v>
      </c>
      <c r="D9" s="5" t="s">
        <v>0</v>
      </c>
      <c r="E9" s="34" t="s">
        <v>32</v>
      </c>
      <c r="F9" s="5" t="s">
        <v>18</v>
      </c>
      <c r="G9" s="5">
        <f>G8</f>
        <v>1</v>
      </c>
      <c r="H9" s="3" t="str">
        <f>H8</f>
        <v>A</v>
      </c>
      <c r="I9" s="30">
        <v>-3</v>
      </c>
      <c r="J9" s="7">
        <f>I9+$J$4</f>
        <v>4</v>
      </c>
      <c r="K9" s="30"/>
      <c r="L9" s="3"/>
      <c r="M9" s="3"/>
      <c r="N9" s="3"/>
      <c r="O9" s="3"/>
      <c r="P9" s="3">
        <v>3</v>
      </c>
      <c r="Q9" s="3">
        <v>2</v>
      </c>
      <c r="R9" s="31"/>
      <c r="S9" s="3"/>
      <c r="T9" s="3"/>
      <c r="U9" s="3"/>
      <c r="V9" s="3"/>
      <c r="W9" s="4">
        <v>3</v>
      </c>
      <c r="X9" s="4">
        <v>2</v>
      </c>
      <c r="Y9" s="31"/>
      <c r="Z9" s="3"/>
      <c r="AA9" s="3"/>
      <c r="AB9" s="3"/>
      <c r="AC9" s="3"/>
      <c r="AD9" s="40">
        <v>3</v>
      </c>
      <c r="AE9" s="40">
        <v>2</v>
      </c>
      <c r="AF9" s="31"/>
      <c r="AG9" s="3"/>
      <c r="AH9" s="3"/>
      <c r="AI9" s="3"/>
      <c r="AJ9" s="3"/>
      <c r="AK9" s="37">
        <v>3</v>
      </c>
      <c r="AL9" s="37">
        <v>2</v>
      </c>
      <c r="AM9" s="31"/>
      <c r="AN9" s="3"/>
      <c r="AO9" s="3"/>
      <c r="AP9" s="3"/>
      <c r="AQ9" s="3"/>
      <c r="AR9" s="3"/>
      <c r="AS9" s="3"/>
      <c r="AT9" s="31"/>
    </row>
    <row r="10" spans="2:46" x14ac:dyDescent="0.25">
      <c r="B10" s="5">
        <v>1</v>
      </c>
      <c r="C10" s="5">
        <v>5</v>
      </c>
      <c r="D10" s="5" t="s">
        <v>0</v>
      </c>
      <c r="E10" s="49" t="s">
        <v>22</v>
      </c>
      <c r="F10" s="5" t="s">
        <v>18</v>
      </c>
      <c r="G10" s="5">
        <f>G9</f>
        <v>1</v>
      </c>
      <c r="H10" s="5" t="s">
        <v>2</v>
      </c>
      <c r="I10" s="5">
        <v>-1</v>
      </c>
      <c r="J10" s="7">
        <f>I10+$J$4</f>
        <v>6</v>
      </c>
      <c r="K10" s="7"/>
      <c r="L10" s="80"/>
      <c r="M10" s="80"/>
      <c r="N10" s="80"/>
      <c r="O10" s="80"/>
      <c r="P10" s="80"/>
      <c r="Q10" s="80"/>
      <c r="R10" s="21">
        <v>1</v>
      </c>
      <c r="S10" s="80"/>
      <c r="T10" s="80"/>
      <c r="U10" s="80"/>
      <c r="V10" s="80"/>
      <c r="W10" s="80"/>
      <c r="X10" s="80"/>
      <c r="Y10" s="41">
        <v>1</v>
      </c>
      <c r="Z10" s="80"/>
      <c r="AA10" s="80"/>
      <c r="AB10" s="80"/>
      <c r="AC10" s="80"/>
      <c r="AD10" s="80"/>
      <c r="AE10" s="80"/>
      <c r="AF10" s="38">
        <v>1</v>
      </c>
      <c r="AG10" s="80"/>
      <c r="AH10" s="80"/>
      <c r="AI10" s="80"/>
      <c r="AJ10" s="80"/>
      <c r="AK10" s="80"/>
      <c r="AL10" s="80"/>
      <c r="AM10" s="81">
        <v>1</v>
      </c>
      <c r="AN10" s="80"/>
      <c r="AO10" s="80"/>
      <c r="AP10" s="80"/>
      <c r="AQ10" s="80"/>
      <c r="AR10" s="80"/>
      <c r="AS10" s="80"/>
      <c r="AT10" s="81"/>
    </row>
    <row r="11" spans="2:46" s="45" customFormat="1" x14ac:dyDescent="0.25">
      <c r="B11" s="3">
        <f>B9</f>
        <v>1</v>
      </c>
      <c r="C11" s="3">
        <v>6</v>
      </c>
      <c r="D11" s="5"/>
      <c r="E11" s="34" t="s">
        <v>33</v>
      </c>
      <c r="F11" s="5" t="s">
        <v>18</v>
      </c>
      <c r="G11" s="5">
        <f>G10</f>
        <v>1</v>
      </c>
      <c r="H11" s="3" t="str">
        <f>H9</f>
        <v>A</v>
      </c>
      <c r="I11" s="32"/>
      <c r="J11" s="32"/>
      <c r="K11" s="30"/>
      <c r="L11" s="3">
        <v>7</v>
      </c>
      <c r="M11" s="3">
        <v>6</v>
      </c>
      <c r="N11" s="3">
        <v>5</v>
      </c>
      <c r="O11" s="56">
        <v>4</v>
      </c>
      <c r="P11" s="56">
        <v>3</v>
      </c>
      <c r="Q11" s="46">
        <v>2</v>
      </c>
      <c r="R11" s="28">
        <v>1</v>
      </c>
      <c r="S11" s="4">
        <v>7</v>
      </c>
      <c r="T11" s="4">
        <v>6</v>
      </c>
      <c r="U11" s="4">
        <v>5</v>
      </c>
      <c r="V11" s="4">
        <v>4</v>
      </c>
      <c r="W11" s="4">
        <v>3</v>
      </c>
      <c r="X11" s="4">
        <v>2</v>
      </c>
      <c r="Y11" s="21">
        <v>1</v>
      </c>
      <c r="Z11" s="40">
        <v>7</v>
      </c>
      <c r="AA11" s="40">
        <v>6</v>
      </c>
      <c r="AB11" s="40">
        <v>5</v>
      </c>
      <c r="AC11" s="40">
        <v>4</v>
      </c>
      <c r="AD11" s="40">
        <v>3</v>
      </c>
      <c r="AE11" s="40">
        <v>2</v>
      </c>
      <c r="AF11" s="41">
        <v>1</v>
      </c>
      <c r="AG11" s="37">
        <v>7</v>
      </c>
      <c r="AH11" s="37">
        <v>6</v>
      </c>
      <c r="AI11" s="37">
        <v>5</v>
      </c>
      <c r="AJ11" s="37">
        <v>4</v>
      </c>
      <c r="AK11" s="37">
        <v>3</v>
      </c>
      <c r="AL11" s="37">
        <v>2</v>
      </c>
      <c r="AM11" s="38">
        <v>1</v>
      </c>
      <c r="AN11" s="3">
        <v>7</v>
      </c>
      <c r="AO11" s="3">
        <v>6</v>
      </c>
      <c r="AP11" s="3">
        <v>5</v>
      </c>
      <c r="AQ11" s="3">
        <v>4</v>
      </c>
      <c r="AR11" s="3">
        <v>3</v>
      </c>
      <c r="AS11" s="3">
        <v>2</v>
      </c>
      <c r="AT11" s="31">
        <v>1</v>
      </c>
    </row>
    <row r="12" spans="2:46" x14ac:dyDescent="0.25">
      <c r="B12" s="5">
        <v>2</v>
      </c>
      <c r="C12" s="5">
        <v>1</v>
      </c>
      <c r="D12" s="5" t="s">
        <v>35</v>
      </c>
      <c r="E12" s="49" t="s">
        <v>24</v>
      </c>
      <c r="F12" s="5" t="s">
        <v>18</v>
      </c>
      <c r="G12" s="5">
        <f>G11</f>
        <v>1</v>
      </c>
      <c r="H12" s="5" t="s">
        <v>3</v>
      </c>
      <c r="I12" s="5">
        <v>-2</v>
      </c>
      <c r="J12" s="7">
        <f t="shared" ref="J12:J93" si="0">I12+$J$4</f>
        <v>5</v>
      </c>
      <c r="K12" s="7"/>
      <c r="L12" s="3"/>
      <c r="M12" s="3"/>
      <c r="N12" s="3"/>
      <c r="O12" s="3"/>
      <c r="P12" s="3"/>
      <c r="Q12" s="4">
        <v>4</v>
      </c>
      <c r="R12" s="3"/>
      <c r="S12" s="3"/>
      <c r="T12" s="3"/>
      <c r="U12" s="3"/>
      <c r="V12" s="3"/>
      <c r="W12" s="3"/>
      <c r="X12" s="40">
        <v>4</v>
      </c>
      <c r="Y12" s="3"/>
      <c r="Z12" s="3"/>
      <c r="AA12" s="3"/>
      <c r="AB12" s="3"/>
      <c r="AC12" s="3"/>
      <c r="AD12" s="3"/>
      <c r="AE12" s="37">
        <v>4</v>
      </c>
      <c r="AF12" s="3"/>
      <c r="AG12" s="3"/>
      <c r="AH12" s="3"/>
      <c r="AI12" s="3"/>
      <c r="AJ12" s="3"/>
      <c r="AK12" s="3"/>
      <c r="AL12" s="3">
        <v>4</v>
      </c>
      <c r="AM12" s="3"/>
      <c r="AN12" s="3"/>
      <c r="AO12" s="3"/>
      <c r="AP12" s="3"/>
      <c r="AQ12" s="3"/>
      <c r="AR12" s="3"/>
      <c r="AS12" s="5"/>
      <c r="AT12" s="64"/>
    </row>
    <row r="13" spans="2:46" x14ac:dyDescent="0.25">
      <c r="B13" s="5">
        <v>2</v>
      </c>
      <c r="C13" s="5">
        <v>2</v>
      </c>
      <c r="D13" s="5" t="s">
        <v>21</v>
      </c>
      <c r="E13" s="49" t="s">
        <v>21</v>
      </c>
      <c r="F13" s="5" t="s">
        <v>18</v>
      </c>
      <c r="G13" s="5">
        <f>G12</f>
        <v>1</v>
      </c>
      <c r="H13" s="5" t="s">
        <v>3</v>
      </c>
      <c r="I13" s="5">
        <v>-1</v>
      </c>
      <c r="J13" s="7">
        <f t="shared" si="0"/>
        <v>6</v>
      </c>
      <c r="K13" s="7"/>
      <c r="L13" s="3"/>
      <c r="M13" s="3"/>
      <c r="N13" s="3"/>
      <c r="O13" s="3"/>
      <c r="P13" s="3"/>
      <c r="Q13" s="3"/>
      <c r="R13" s="4">
        <v>3</v>
      </c>
      <c r="S13" s="21">
        <v>2</v>
      </c>
      <c r="T13" s="3"/>
      <c r="U13" s="3"/>
      <c r="V13" s="3"/>
      <c r="W13" s="3"/>
      <c r="X13" s="3"/>
      <c r="Y13" s="40">
        <v>3</v>
      </c>
      <c r="Z13" s="41">
        <v>2</v>
      </c>
      <c r="AA13" s="3"/>
      <c r="AB13" s="3"/>
      <c r="AC13" s="3"/>
      <c r="AD13" s="3"/>
      <c r="AE13" s="3"/>
      <c r="AF13" s="37">
        <v>3</v>
      </c>
      <c r="AG13" s="38">
        <v>2</v>
      </c>
      <c r="AH13" s="3"/>
      <c r="AI13" s="3"/>
      <c r="AJ13" s="3"/>
      <c r="AK13" s="3"/>
      <c r="AL13" s="3"/>
      <c r="AM13" s="3">
        <v>3</v>
      </c>
      <c r="AN13" s="31">
        <v>2</v>
      </c>
      <c r="AO13" s="3"/>
      <c r="AP13" s="3"/>
      <c r="AQ13" s="3"/>
      <c r="AR13" s="3"/>
      <c r="AS13" s="5"/>
      <c r="AT13" s="64"/>
    </row>
    <row r="14" spans="2:46" x14ac:dyDescent="0.25">
      <c r="B14" s="5">
        <v>2</v>
      </c>
      <c r="C14" s="5">
        <v>3</v>
      </c>
      <c r="D14" s="5" t="s">
        <v>0</v>
      </c>
      <c r="E14" s="34" t="s">
        <v>0</v>
      </c>
      <c r="F14" s="5" t="s">
        <v>18</v>
      </c>
      <c r="G14" s="3">
        <v>1</v>
      </c>
      <c r="H14" s="5" t="s">
        <v>3</v>
      </c>
      <c r="I14" s="30">
        <v>2</v>
      </c>
      <c r="J14" s="30">
        <f t="shared" si="0"/>
        <v>9</v>
      </c>
      <c r="K14" s="7"/>
      <c r="L14" s="80"/>
      <c r="M14" s="80"/>
      <c r="N14" s="80"/>
      <c r="O14" s="80"/>
      <c r="P14" s="80"/>
      <c r="Q14" s="80"/>
      <c r="R14" s="81"/>
      <c r="S14" s="3"/>
      <c r="T14" s="3"/>
      <c r="U14" s="4">
        <v>7</v>
      </c>
      <c r="V14" s="4">
        <v>6</v>
      </c>
      <c r="W14" s="4">
        <v>5</v>
      </c>
      <c r="X14" s="4">
        <v>4</v>
      </c>
      <c r="Y14" s="81"/>
      <c r="Z14" s="3"/>
      <c r="AA14" s="3"/>
      <c r="AB14" s="40">
        <v>7</v>
      </c>
      <c r="AC14" s="40">
        <v>6</v>
      </c>
      <c r="AD14" s="40">
        <v>5</v>
      </c>
      <c r="AE14" s="40">
        <v>4</v>
      </c>
      <c r="AF14" s="81"/>
      <c r="AG14" s="3"/>
      <c r="AH14" s="3"/>
      <c r="AI14" s="37">
        <v>7</v>
      </c>
      <c r="AJ14" s="37">
        <v>6</v>
      </c>
      <c r="AK14" s="37">
        <v>5</v>
      </c>
      <c r="AL14" s="37">
        <v>4</v>
      </c>
      <c r="AM14" s="81"/>
      <c r="AN14" s="80"/>
      <c r="AO14" s="80"/>
      <c r="AP14" s="80"/>
      <c r="AQ14" s="80"/>
      <c r="AR14" s="80"/>
      <c r="AS14" s="80"/>
      <c r="AT14" s="81"/>
    </row>
    <row r="15" spans="2:46" s="45" customFormat="1" x14ac:dyDescent="0.25">
      <c r="B15" s="3">
        <f>B14</f>
        <v>2</v>
      </c>
      <c r="C15" s="3">
        <v>4</v>
      </c>
      <c r="D15" s="5" t="s">
        <v>0</v>
      </c>
      <c r="E15" s="34" t="s">
        <v>32</v>
      </c>
      <c r="F15" s="5" t="s">
        <v>18</v>
      </c>
      <c r="G15" s="5">
        <f t="shared" ref="G15:H19" si="1">G14</f>
        <v>1</v>
      </c>
      <c r="H15" s="3" t="str">
        <f t="shared" si="1"/>
        <v>B</v>
      </c>
      <c r="I15" s="30">
        <v>-1</v>
      </c>
      <c r="J15" s="30">
        <f t="shared" si="0"/>
        <v>6</v>
      </c>
      <c r="K15" s="30"/>
      <c r="L15" s="3"/>
      <c r="M15" s="3"/>
      <c r="N15" s="3"/>
      <c r="O15" s="3"/>
      <c r="P15" s="3"/>
      <c r="Q15" s="3"/>
      <c r="R15" s="31">
        <v>3</v>
      </c>
      <c r="S15" s="3"/>
      <c r="T15" s="3"/>
      <c r="U15" s="3"/>
      <c r="V15" s="3"/>
      <c r="W15" s="3"/>
      <c r="X15" s="3"/>
      <c r="Y15" s="21">
        <v>3</v>
      </c>
      <c r="Z15" s="3"/>
      <c r="AA15" s="3"/>
      <c r="AB15" s="3"/>
      <c r="AC15" s="3"/>
      <c r="AD15" s="3"/>
      <c r="AE15" s="3"/>
      <c r="AF15" s="41">
        <v>3</v>
      </c>
      <c r="AG15" s="3"/>
      <c r="AH15" s="3"/>
      <c r="AI15" s="3"/>
      <c r="AJ15" s="3"/>
      <c r="AK15" s="3"/>
      <c r="AL15" s="3"/>
      <c r="AM15" s="38">
        <v>3</v>
      </c>
      <c r="AN15" s="3"/>
      <c r="AO15" s="3"/>
      <c r="AP15" s="3"/>
      <c r="AQ15" s="3"/>
      <c r="AR15" s="3"/>
      <c r="AS15" s="3"/>
      <c r="AT15" s="31"/>
    </row>
    <row r="16" spans="2:46" x14ac:dyDescent="0.25">
      <c r="B16" s="5">
        <v>2</v>
      </c>
      <c r="C16" s="5">
        <v>5</v>
      </c>
      <c r="D16" s="5" t="s">
        <v>0</v>
      </c>
      <c r="E16" s="49" t="s">
        <v>22</v>
      </c>
      <c r="F16" s="5" t="s">
        <v>18</v>
      </c>
      <c r="G16" s="5">
        <f t="shared" si="1"/>
        <v>1</v>
      </c>
      <c r="H16" s="5" t="s">
        <v>3</v>
      </c>
      <c r="I16" s="5">
        <v>0</v>
      </c>
      <c r="J16" s="7">
        <f>I16+$J$4</f>
        <v>7</v>
      </c>
      <c r="K16" s="7"/>
      <c r="L16" s="3"/>
      <c r="M16" s="3"/>
      <c r="N16" s="3"/>
      <c r="O16" s="3"/>
      <c r="P16" s="3"/>
      <c r="Q16" s="3"/>
      <c r="R16" s="31"/>
      <c r="S16" s="3">
        <v>2</v>
      </c>
      <c r="T16" s="21">
        <v>1</v>
      </c>
      <c r="U16" s="3"/>
      <c r="V16" s="3"/>
      <c r="W16" s="3"/>
      <c r="X16" s="3"/>
      <c r="Y16" s="31"/>
      <c r="Z16" s="4">
        <v>2</v>
      </c>
      <c r="AA16" s="40">
        <v>1</v>
      </c>
      <c r="AB16" s="3"/>
      <c r="AC16" s="3"/>
      <c r="AD16" s="3"/>
      <c r="AE16" s="3"/>
      <c r="AF16" s="31"/>
      <c r="AG16" s="40">
        <v>2</v>
      </c>
      <c r="AH16" s="37">
        <v>1</v>
      </c>
      <c r="AI16" s="3"/>
      <c r="AJ16" s="3"/>
      <c r="AK16" s="3"/>
      <c r="AL16" s="3"/>
      <c r="AM16" s="31"/>
      <c r="AN16" s="37">
        <v>2</v>
      </c>
      <c r="AO16" s="3">
        <v>1</v>
      </c>
      <c r="AP16" s="3"/>
      <c r="AQ16" s="3"/>
      <c r="AR16" s="3"/>
      <c r="AS16" s="5"/>
      <c r="AT16" s="64"/>
    </row>
    <row r="17" spans="2:46" s="45" customFormat="1" x14ac:dyDescent="0.25">
      <c r="B17" s="3">
        <f>B15</f>
        <v>2</v>
      </c>
      <c r="C17" s="3">
        <v>6</v>
      </c>
      <c r="D17" s="5"/>
      <c r="E17" s="34" t="s">
        <v>33</v>
      </c>
      <c r="F17" s="5" t="s">
        <v>18</v>
      </c>
      <c r="G17" s="5">
        <f t="shared" si="1"/>
        <v>1</v>
      </c>
      <c r="H17" s="3" t="str">
        <f>H15</f>
        <v>B</v>
      </c>
      <c r="I17" s="32"/>
      <c r="J17" s="32"/>
      <c r="K17" s="30"/>
      <c r="L17" s="3">
        <v>2</v>
      </c>
      <c r="M17" s="3">
        <v>1</v>
      </c>
      <c r="N17" s="3">
        <v>7</v>
      </c>
      <c r="O17" s="3">
        <v>6</v>
      </c>
      <c r="P17" s="3">
        <v>5</v>
      </c>
      <c r="Q17" s="56">
        <v>4</v>
      </c>
      <c r="R17" s="56">
        <v>3</v>
      </c>
      <c r="S17" s="46">
        <v>2</v>
      </c>
      <c r="T17" s="28">
        <v>1</v>
      </c>
      <c r="U17" s="4">
        <v>7</v>
      </c>
      <c r="V17" s="4">
        <v>6</v>
      </c>
      <c r="W17" s="4">
        <v>5</v>
      </c>
      <c r="X17" s="4">
        <v>4</v>
      </c>
      <c r="Y17" s="4">
        <v>3</v>
      </c>
      <c r="Z17" s="4">
        <v>2</v>
      </c>
      <c r="AA17" s="21">
        <v>1</v>
      </c>
      <c r="AB17" s="40">
        <v>7</v>
      </c>
      <c r="AC17" s="40">
        <v>6</v>
      </c>
      <c r="AD17" s="40">
        <v>5</v>
      </c>
      <c r="AE17" s="40">
        <v>4</v>
      </c>
      <c r="AF17" s="40">
        <v>3</v>
      </c>
      <c r="AG17" s="40">
        <v>2</v>
      </c>
      <c r="AH17" s="41">
        <v>1</v>
      </c>
      <c r="AI17" s="37">
        <v>7</v>
      </c>
      <c r="AJ17" s="37">
        <v>6</v>
      </c>
      <c r="AK17" s="37">
        <v>5</v>
      </c>
      <c r="AL17" s="37">
        <v>4</v>
      </c>
      <c r="AM17" s="37">
        <v>3</v>
      </c>
      <c r="AN17" s="37">
        <v>2</v>
      </c>
      <c r="AO17" s="38">
        <v>1</v>
      </c>
      <c r="AP17" s="3">
        <v>7</v>
      </c>
      <c r="AQ17" s="3">
        <v>6</v>
      </c>
      <c r="AR17" s="3">
        <v>5</v>
      </c>
      <c r="AS17" s="3">
        <v>4</v>
      </c>
      <c r="AT17" s="3">
        <v>3</v>
      </c>
    </row>
    <row r="18" spans="2:46" x14ac:dyDescent="0.25">
      <c r="B18" s="5">
        <v>3</v>
      </c>
      <c r="C18" s="5">
        <v>1</v>
      </c>
      <c r="D18" s="5" t="s">
        <v>35</v>
      </c>
      <c r="E18" s="49" t="s">
        <v>24</v>
      </c>
      <c r="F18" s="5" t="s">
        <v>18</v>
      </c>
      <c r="G18" s="5">
        <f t="shared" si="1"/>
        <v>1</v>
      </c>
      <c r="H18" s="5" t="s">
        <v>6</v>
      </c>
      <c r="I18" s="5">
        <v>2</v>
      </c>
      <c r="J18" s="7">
        <f t="shared" si="0"/>
        <v>9</v>
      </c>
      <c r="K18" s="7"/>
      <c r="L18" s="3"/>
      <c r="M18" s="3"/>
      <c r="N18" s="3"/>
      <c r="O18" s="3"/>
      <c r="P18" s="3"/>
      <c r="Q18" s="3"/>
      <c r="R18" s="31"/>
      <c r="S18" s="5"/>
      <c r="U18" s="4">
        <v>3</v>
      </c>
      <c r="V18" s="3"/>
      <c r="W18" s="3"/>
      <c r="X18" s="3"/>
      <c r="Y18" s="31"/>
      <c r="Z18" s="5"/>
      <c r="AB18" s="40">
        <v>3</v>
      </c>
      <c r="AC18" s="3"/>
      <c r="AD18" s="3"/>
      <c r="AE18" s="3"/>
      <c r="AF18" s="31"/>
      <c r="AG18" s="5"/>
      <c r="AI18" s="37">
        <v>3</v>
      </c>
      <c r="AJ18" s="3"/>
      <c r="AK18" s="3"/>
      <c r="AL18" s="3"/>
      <c r="AM18" s="31"/>
      <c r="AN18" s="5"/>
      <c r="AP18" s="3">
        <v>3</v>
      </c>
      <c r="AQ18" s="3"/>
      <c r="AR18" s="3"/>
      <c r="AS18" s="5"/>
      <c r="AT18" s="64"/>
    </row>
    <row r="19" spans="2:46" x14ac:dyDescent="0.25">
      <c r="B19" s="5">
        <v>3</v>
      </c>
      <c r="C19" s="5">
        <v>2</v>
      </c>
      <c r="D19" s="5" t="s">
        <v>21</v>
      </c>
      <c r="E19" s="49" t="s">
        <v>21</v>
      </c>
      <c r="F19" s="5" t="s">
        <v>18</v>
      </c>
      <c r="G19" s="5">
        <f t="shared" si="1"/>
        <v>1</v>
      </c>
      <c r="H19" s="5" t="s">
        <v>6</v>
      </c>
      <c r="I19" s="5">
        <v>3</v>
      </c>
      <c r="J19" s="7">
        <f t="shared" si="0"/>
        <v>10</v>
      </c>
      <c r="K19" s="7"/>
      <c r="L19" s="3"/>
      <c r="M19" s="3"/>
      <c r="N19" s="3"/>
      <c r="O19" s="3"/>
      <c r="P19" s="3"/>
      <c r="Q19" s="3"/>
      <c r="R19" s="31"/>
      <c r="S19" s="5"/>
      <c r="T19" s="3"/>
      <c r="V19" s="4">
        <v>2</v>
      </c>
      <c r="W19" s="3"/>
      <c r="X19" s="3"/>
      <c r="Y19" s="31"/>
      <c r="Z19" s="5"/>
      <c r="AB19" s="3"/>
      <c r="AC19" s="40">
        <v>2</v>
      </c>
      <c r="AD19" s="3"/>
      <c r="AE19" s="3"/>
      <c r="AF19" s="31"/>
      <c r="AG19" s="5"/>
      <c r="AI19" s="3"/>
      <c r="AJ19" s="37">
        <v>2</v>
      </c>
      <c r="AK19" s="3"/>
      <c r="AL19" s="3"/>
      <c r="AM19" s="31"/>
      <c r="AN19" s="5"/>
      <c r="AP19" s="3"/>
      <c r="AQ19" s="3">
        <v>2</v>
      </c>
      <c r="AR19" s="3"/>
      <c r="AS19" s="5"/>
      <c r="AT19" s="64"/>
    </row>
    <row r="20" spans="2:46" x14ac:dyDescent="0.25">
      <c r="B20" s="5">
        <v>3</v>
      </c>
      <c r="C20" s="5">
        <v>3</v>
      </c>
      <c r="D20" s="5" t="s">
        <v>0</v>
      </c>
      <c r="E20" s="34" t="s">
        <v>0</v>
      </c>
      <c r="F20" s="5" t="s">
        <v>18</v>
      </c>
      <c r="G20" s="3">
        <v>1</v>
      </c>
      <c r="H20" s="5" t="s">
        <v>6</v>
      </c>
      <c r="I20" s="30">
        <v>5</v>
      </c>
      <c r="J20" s="30">
        <f t="shared" si="0"/>
        <v>12</v>
      </c>
      <c r="K20" s="7"/>
      <c r="L20" s="80"/>
      <c r="M20" s="80"/>
      <c r="N20" s="80"/>
      <c r="O20" s="80"/>
      <c r="P20" s="80"/>
      <c r="Q20" s="80"/>
      <c r="R20" s="81"/>
      <c r="S20" s="80"/>
      <c r="T20" s="80"/>
      <c r="U20" s="80"/>
      <c r="V20" s="5"/>
      <c r="X20" s="4">
        <v>7</v>
      </c>
      <c r="Y20" s="4">
        <v>6</v>
      </c>
      <c r="Z20" s="4">
        <v>5</v>
      </c>
      <c r="AA20" s="4">
        <v>4</v>
      </c>
      <c r="AB20" s="80"/>
      <c r="AC20" s="5"/>
      <c r="AE20" s="40">
        <v>7</v>
      </c>
      <c r="AF20" s="40">
        <v>6</v>
      </c>
      <c r="AG20" s="40">
        <v>5</v>
      </c>
      <c r="AH20" s="40">
        <v>4</v>
      </c>
      <c r="AI20" s="80"/>
      <c r="AJ20" s="5"/>
      <c r="AL20" s="37">
        <v>7</v>
      </c>
      <c r="AM20" s="37">
        <v>6</v>
      </c>
      <c r="AN20" s="37">
        <v>5</v>
      </c>
      <c r="AO20" s="37">
        <v>4</v>
      </c>
      <c r="AP20" s="80"/>
      <c r="AQ20" s="80"/>
      <c r="AR20" s="80"/>
      <c r="AS20" s="80"/>
      <c r="AT20" s="81"/>
    </row>
    <row r="21" spans="2:46" s="45" customFormat="1" x14ac:dyDescent="0.25">
      <c r="B21" s="3">
        <f>B20</f>
        <v>3</v>
      </c>
      <c r="C21" s="3">
        <v>4</v>
      </c>
      <c r="D21" s="5" t="s">
        <v>0</v>
      </c>
      <c r="E21" s="34" t="s">
        <v>32</v>
      </c>
      <c r="F21" s="5" t="s">
        <v>18</v>
      </c>
      <c r="G21" s="5">
        <f t="shared" ref="G21:H25" si="2">G20</f>
        <v>1</v>
      </c>
      <c r="H21" s="3" t="str">
        <f t="shared" si="2"/>
        <v>E</v>
      </c>
      <c r="I21" s="30">
        <v>2</v>
      </c>
      <c r="J21" s="30">
        <f t="shared" si="0"/>
        <v>9</v>
      </c>
      <c r="K21" s="30"/>
      <c r="L21" s="3"/>
      <c r="M21" s="3"/>
      <c r="N21" s="3"/>
      <c r="O21" s="3"/>
      <c r="P21" s="3"/>
      <c r="Q21" s="3"/>
      <c r="R21" s="31"/>
      <c r="S21" s="34"/>
      <c r="U21" s="3">
        <v>3</v>
      </c>
      <c r="V21" s="3">
        <v>2</v>
      </c>
      <c r="W21" s="3"/>
      <c r="X21" s="3"/>
      <c r="Y21" s="31"/>
      <c r="Z21" s="34"/>
      <c r="AB21" s="4">
        <v>3</v>
      </c>
      <c r="AC21" s="4">
        <v>2</v>
      </c>
      <c r="AD21" s="3"/>
      <c r="AE21" s="3"/>
      <c r="AF21" s="31"/>
      <c r="AG21" s="34"/>
      <c r="AI21" s="40">
        <v>3</v>
      </c>
      <c r="AJ21" s="40">
        <v>2</v>
      </c>
      <c r="AK21" s="3"/>
      <c r="AL21" s="3"/>
      <c r="AM21" s="31"/>
      <c r="AN21" s="34"/>
      <c r="AP21" s="37">
        <v>3</v>
      </c>
      <c r="AQ21" s="37">
        <v>2</v>
      </c>
      <c r="AR21" s="3"/>
      <c r="AS21" s="3"/>
      <c r="AT21" s="31"/>
    </row>
    <row r="22" spans="2:46" x14ac:dyDescent="0.25">
      <c r="B22" s="5">
        <v>3</v>
      </c>
      <c r="C22" s="5">
        <v>5</v>
      </c>
      <c r="D22" s="5" t="s">
        <v>0</v>
      </c>
      <c r="E22" s="49" t="s">
        <v>22</v>
      </c>
      <c r="F22" s="5" t="s">
        <v>18</v>
      </c>
      <c r="G22" s="5">
        <f t="shared" si="2"/>
        <v>1</v>
      </c>
      <c r="H22" s="5" t="s">
        <v>6</v>
      </c>
      <c r="I22" s="5">
        <v>4</v>
      </c>
      <c r="J22" s="7">
        <f>I22+$J$4</f>
        <v>11</v>
      </c>
      <c r="K22" s="7"/>
      <c r="L22" s="3"/>
      <c r="M22" s="3"/>
      <c r="N22" s="3"/>
      <c r="O22" s="3"/>
      <c r="P22" s="3"/>
      <c r="Q22" s="3"/>
      <c r="R22" s="31"/>
      <c r="S22" s="5"/>
      <c r="T22" s="3"/>
      <c r="U22" s="3"/>
      <c r="W22" s="4">
        <v>1</v>
      </c>
      <c r="X22" s="3"/>
      <c r="Y22" s="31"/>
      <c r="Z22" s="5"/>
      <c r="AB22" s="3"/>
      <c r="AC22" s="3"/>
      <c r="AD22" s="40">
        <v>1</v>
      </c>
      <c r="AE22" s="3"/>
      <c r="AF22" s="31"/>
      <c r="AG22" s="5"/>
      <c r="AI22" s="3"/>
      <c r="AJ22" s="3"/>
      <c r="AK22" s="37">
        <v>1</v>
      </c>
      <c r="AL22" s="3"/>
      <c r="AM22" s="31"/>
      <c r="AN22" s="5"/>
      <c r="AP22" s="3"/>
      <c r="AQ22" s="3"/>
      <c r="AR22" s="3">
        <v>1</v>
      </c>
      <c r="AS22" s="5"/>
      <c r="AT22" s="64"/>
    </row>
    <row r="23" spans="2:46" s="45" customFormat="1" x14ac:dyDescent="0.25">
      <c r="B23" s="3">
        <f>B21</f>
        <v>3</v>
      </c>
      <c r="C23" s="3">
        <v>6</v>
      </c>
      <c r="D23" s="5"/>
      <c r="E23" s="34" t="s">
        <v>33</v>
      </c>
      <c r="F23" s="5" t="s">
        <v>18</v>
      </c>
      <c r="G23" s="5">
        <f t="shared" si="2"/>
        <v>1</v>
      </c>
      <c r="H23" s="3" t="str">
        <f>H21</f>
        <v>E</v>
      </c>
      <c r="I23" s="32"/>
      <c r="J23" s="32"/>
      <c r="K23" s="30"/>
      <c r="L23" s="8">
        <v>5</v>
      </c>
      <c r="M23" s="3">
        <v>4</v>
      </c>
      <c r="N23" s="3">
        <v>3</v>
      </c>
      <c r="O23" s="3">
        <v>2</v>
      </c>
      <c r="P23" s="3">
        <v>1</v>
      </c>
      <c r="Q23" s="3">
        <v>7</v>
      </c>
      <c r="R23" s="3">
        <v>6</v>
      </c>
      <c r="S23" s="3">
        <v>5</v>
      </c>
      <c r="T23" s="56">
        <v>4</v>
      </c>
      <c r="U23" s="56">
        <v>3</v>
      </c>
      <c r="V23" s="46">
        <v>2</v>
      </c>
      <c r="W23" s="28">
        <v>1</v>
      </c>
      <c r="X23" s="4">
        <v>7</v>
      </c>
      <c r="Y23" s="4">
        <v>6</v>
      </c>
      <c r="Z23" s="4">
        <v>5</v>
      </c>
      <c r="AA23" s="4">
        <v>4</v>
      </c>
      <c r="AB23" s="4">
        <v>3</v>
      </c>
      <c r="AC23" s="4">
        <v>2</v>
      </c>
      <c r="AD23" s="21">
        <v>1</v>
      </c>
      <c r="AE23" s="40">
        <v>7</v>
      </c>
      <c r="AF23" s="40">
        <v>6</v>
      </c>
      <c r="AG23" s="40">
        <v>5</v>
      </c>
      <c r="AH23" s="40">
        <v>4</v>
      </c>
      <c r="AI23" s="40">
        <v>3</v>
      </c>
      <c r="AJ23" s="40">
        <v>2</v>
      </c>
      <c r="AK23" s="41">
        <v>1</v>
      </c>
      <c r="AL23" s="37">
        <v>7</v>
      </c>
      <c r="AM23" s="37">
        <v>6</v>
      </c>
      <c r="AN23" s="37">
        <v>5</v>
      </c>
      <c r="AO23" s="37">
        <v>4</v>
      </c>
      <c r="AP23" s="37">
        <v>3</v>
      </c>
      <c r="AQ23" s="37">
        <v>2</v>
      </c>
      <c r="AR23" s="38">
        <v>1</v>
      </c>
      <c r="AS23" s="3">
        <v>7</v>
      </c>
      <c r="AT23" s="3">
        <v>6</v>
      </c>
    </row>
    <row r="24" spans="2:46" x14ac:dyDescent="0.25">
      <c r="B24" s="5">
        <v>4</v>
      </c>
      <c r="C24" s="5">
        <v>1</v>
      </c>
      <c r="D24" s="5" t="s">
        <v>35</v>
      </c>
      <c r="E24" s="49" t="s">
        <v>24</v>
      </c>
      <c r="F24" s="5" t="s">
        <v>18</v>
      </c>
      <c r="G24" s="5">
        <f t="shared" si="2"/>
        <v>1</v>
      </c>
      <c r="H24" s="5" t="s">
        <v>11</v>
      </c>
      <c r="I24" s="5">
        <v>3</v>
      </c>
      <c r="J24" s="7">
        <f t="shared" si="0"/>
        <v>10</v>
      </c>
      <c r="K24" s="7"/>
      <c r="L24" s="3"/>
      <c r="M24" s="3"/>
      <c r="N24" s="3"/>
      <c r="O24" s="3"/>
      <c r="P24" s="3"/>
      <c r="Q24" s="3"/>
      <c r="R24" s="31"/>
      <c r="S24" s="3"/>
      <c r="T24" s="5"/>
      <c r="V24" s="4">
        <v>4</v>
      </c>
      <c r="W24" s="3"/>
      <c r="X24" s="3"/>
      <c r="Y24" s="31"/>
      <c r="Z24" s="3"/>
      <c r="AA24" s="5"/>
      <c r="AC24" s="40">
        <v>4</v>
      </c>
      <c r="AD24" s="3"/>
      <c r="AE24" s="3"/>
      <c r="AF24" s="31"/>
      <c r="AG24" s="3"/>
      <c r="AH24" s="5"/>
      <c r="AJ24" s="37">
        <v>4</v>
      </c>
      <c r="AK24" s="3"/>
      <c r="AL24" s="3"/>
      <c r="AM24" s="31"/>
      <c r="AN24" s="3"/>
      <c r="AO24" s="5"/>
      <c r="AQ24" s="3">
        <v>4</v>
      </c>
      <c r="AR24" s="3"/>
      <c r="AS24" s="5"/>
      <c r="AT24" s="64"/>
    </row>
    <row r="25" spans="2:46" x14ac:dyDescent="0.25">
      <c r="B25" s="5">
        <v>4</v>
      </c>
      <c r="C25" s="5">
        <v>2</v>
      </c>
      <c r="D25" s="5" t="s">
        <v>21</v>
      </c>
      <c r="E25" s="49" t="s">
        <v>21</v>
      </c>
      <c r="F25" s="5" t="s">
        <v>18</v>
      </c>
      <c r="G25" s="5">
        <f t="shared" si="2"/>
        <v>1</v>
      </c>
      <c r="H25" s="5" t="s">
        <v>11</v>
      </c>
      <c r="I25" s="5">
        <v>4</v>
      </c>
      <c r="J25" s="7">
        <f t="shared" si="0"/>
        <v>11</v>
      </c>
      <c r="K25" s="7"/>
      <c r="L25" s="3"/>
      <c r="M25" s="3"/>
      <c r="N25" s="3"/>
      <c r="O25" s="3"/>
      <c r="P25" s="3"/>
      <c r="Q25" s="3"/>
      <c r="R25" s="31"/>
      <c r="S25" s="3"/>
      <c r="T25" s="5"/>
      <c r="V25" s="3"/>
      <c r="W25" s="4">
        <v>3</v>
      </c>
      <c r="X25" s="3"/>
      <c r="Y25" s="31"/>
      <c r="Z25" s="3"/>
      <c r="AA25" s="5"/>
      <c r="AC25" s="3"/>
      <c r="AD25" s="40">
        <v>3</v>
      </c>
      <c r="AE25" s="3"/>
      <c r="AF25" s="31"/>
      <c r="AG25" s="3"/>
      <c r="AH25" s="5"/>
      <c r="AJ25" s="3"/>
      <c r="AK25" s="37">
        <v>3</v>
      </c>
      <c r="AL25" s="3"/>
      <c r="AM25" s="31"/>
      <c r="AN25" s="3"/>
      <c r="AO25" s="5"/>
      <c r="AQ25" s="3"/>
      <c r="AR25" s="3">
        <v>3</v>
      </c>
      <c r="AS25" s="5"/>
      <c r="AT25" s="64"/>
    </row>
    <row r="26" spans="2:46" x14ac:dyDescent="0.25">
      <c r="B26" s="5">
        <v>4</v>
      </c>
      <c r="C26" s="5">
        <v>3</v>
      </c>
      <c r="D26" s="5" t="s">
        <v>0</v>
      </c>
      <c r="E26" s="34" t="s">
        <v>0</v>
      </c>
      <c r="F26" s="5" t="s">
        <v>18</v>
      </c>
      <c r="G26" s="3">
        <v>1</v>
      </c>
      <c r="H26" s="5" t="s">
        <v>11</v>
      </c>
      <c r="I26" s="30">
        <v>7</v>
      </c>
      <c r="J26" s="30">
        <f t="shared" si="0"/>
        <v>14</v>
      </c>
      <c r="K26" s="7"/>
      <c r="L26" s="80"/>
      <c r="M26" s="80"/>
      <c r="N26" s="80"/>
      <c r="O26" s="80"/>
      <c r="P26" s="80"/>
      <c r="Q26" s="80"/>
      <c r="R26" s="81"/>
      <c r="S26" s="80"/>
      <c r="T26" s="80"/>
      <c r="U26" s="80"/>
      <c r="V26" s="80"/>
      <c r="W26" s="80"/>
      <c r="X26" s="5"/>
      <c r="Z26" s="4">
        <v>7</v>
      </c>
      <c r="AA26" s="4">
        <v>6</v>
      </c>
      <c r="AB26" s="4">
        <v>5</v>
      </c>
      <c r="AC26" s="4">
        <v>4</v>
      </c>
      <c r="AD26" s="80"/>
      <c r="AE26" s="5"/>
      <c r="AG26" s="40">
        <v>7</v>
      </c>
      <c r="AH26" s="40">
        <v>6</v>
      </c>
      <c r="AI26" s="40">
        <v>5</v>
      </c>
      <c r="AJ26" s="40">
        <v>4</v>
      </c>
      <c r="AK26" s="80"/>
      <c r="AL26" s="5"/>
      <c r="AN26" s="37">
        <v>7</v>
      </c>
      <c r="AO26" s="37">
        <v>6</v>
      </c>
      <c r="AP26" s="37">
        <v>5</v>
      </c>
      <c r="AQ26" s="37">
        <v>4</v>
      </c>
      <c r="AR26" s="80"/>
      <c r="AS26" s="80"/>
      <c r="AT26" s="81"/>
    </row>
    <row r="27" spans="2:46" s="45" customFormat="1" x14ac:dyDescent="0.25">
      <c r="B27" s="3">
        <f>B26</f>
        <v>4</v>
      </c>
      <c r="C27" s="3">
        <v>4</v>
      </c>
      <c r="D27" s="5" t="s">
        <v>0</v>
      </c>
      <c r="E27" s="34" t="s">
        <v>32</v>
      </c>
      <c r="F27" s="5" t="s">
        <v>18</v>
      </c>
      <c r="G27" s="5">
        <f t="shared" ref="G27:H31" si="3">G26</f>
        <v>1</v>
      </c>
      <c r="H27" s="3" t="str">
        <f t="shared" si="3"/>
        <v>J</v>
      </c>
      <c r="I27" s="30">
        <v>4</v>
      </c>
      <c r="J27" s="30">
        <f t="shared" si="0"/>
        <v>11</v>
      </c>
      <c r="K27" s="30"/>
      <c r="L27" s="3"/>
      <c r="M27" s="3"/>
      <c r="N27" s="3"/>
      <c r="O27" s="3"/>
      <c r="P27" s="3"/>
      <c r="Q27" s="3"/>
      <c r="R27" s="31"/>
      <c r="S27" s="3"/>
      <c r="T27" s="3"/>
      <c r="U27" s="34"/>
      <c r="W27" s="3">
        <v>3</v>
      </c>
      <c r="X27" s="3"/>
      <c r="Y27" s="31"/>
      <c r="Z27" s="3"/>
      <c r="AA27" s="3"/>
      <c r="AB27" s="34"/>
      <c r="AD27" s="4">
        <v>3</v>
      </c>
      <c r="AE27" s="3"/>
      <c r="AF27" s="31"/>
      <c r="AG27" s="3"/>
      <c r="AH27" s="3"/>
      <c r="AI27" s="34"/>
      <c r="AK27" s="40">
        <v>3</v>
      </c>
      <c r="AL27" s="3"/>
      <c r="AM27" s="31"/>
      <c r="AN27" s="3"/>
      <c r="AO27" s="3"/>
      <c r="AP27" s="34"/>
      <c r="AR27" s="37">
        <v>3</v>
      </c>
      <c r="AS27" s="3"/>
      <c r="AT27" s="31"/>
    </row>
    <row r="28" spans="2:46" x14ac:dyDescent="0.25">
      <c r="B28" s="5">
        <v>4</v>
      </c>
      <c r="C28" s="5">
        <v>5</v>
      </c>
      <c r="D28" s="5" t="s">
        <v>0</v>
      </c>
      <c r="E28" s="49" t="s">
        <v>22</v>
      </c>
      <c r="F28" s="5" t="s">
        <v>18</v>
      </c>
      <c r="G28" s="5">
        <f t="shared" si="3"/>
        <v>1</v>
      </c>
      <c r="H28" s="5" t="s">
        <v>11</v>
      </c>
      <c r="I28" s="5">
        <v>5</v>
      </c>
      <c r="J28" s="7">
        <f>I28+$J$4</f>
        <v>12</v>
      </c>
      <c r="K28" s="7"/>
      <c r="L28" s="3"/>
      <c r="M28" s="3"/>
      <c r="N28" s="3"/>
      <c r="O28" s="3"/>
      <c r="P28" s="3"/>
      <c r="Q28" s="3"/>
      <c r="R28" s="31"/>
      <c r="S28" s="3"/>
      <c r="T28" s="3"/>
      <c r="U28" s="5"/>
      <c r="V28" s="3"/>
      <c r="X28" s="4">
        <v>2</v>
      </c>
      <c r="Y28" s="4">
        <v>1</v>
      </c>
      <c r="Z28" s="3"/>
      <c r="AA28" s="3"/>
      <c r="AB28" s="5"/>
      <c r="AC28" s="3"/>
      <c r="AE28" s="40">
        <v>2</v>
      </c>
      <c r="AF28" s="40">
        <v>1</v>
      </c>
      <c r="AG28" s="3"/>
      <c r="AH28" s="3"/>
      <c r="AI28" s="5"/>
      <c r="AJ28" s="3"/>
      <c r="AL28" s="37">
        <v>2</v>
      </c>
      <c r="AM28" s="37">
        <v>1</v>
      </c>
      <c r="AN28" s="3"/>
      <c r="AO28" s="3"/>
      <c r="AP28" s="5"/>
      <c r="AQ28" s="3"/>
      <c r="AS28" s="3">
        <v>2</v>
      </c>
      <c r="AT28" s="3">
        <v>1</v>
      </c>
    </row>
    <row r="29" spans="2:46" s="45" customFormat="1" x14ac:dyDescent="0.25">
      <c r="B29" s="3">
        <f>B27</f>
        <v>4</v>
      </c>
      <c r="C29" s="3">
        <v>6</v>
      </c>
      <c r="D29" s="5"/>
      <c r="E29" s="34" t="s">
        <v>33</v>
      </c>
      <c r="F29" s="5" t="s">
        <v>18</v>
      </c>
      <c r="G29" s="5">
        <f t="shared" si="3"/>
        <v>1</v>
      </c>
      <c r="H29" s="3" t="str">
        <f>H27</f>
        <v>J</v>
      </c>
      <c r="I29" s="32"/>
      <c r="J29" s="32"/>
      <c r="K29" s="30"/>
      <c r="L29" s="3">
        <v>7</v>
      </c>
      <c r="M29" s="3">
        <v>6</v>
      </c>
      <c r="N29" s="3">
        <v>5</v>
      </c>
      <c r="O29" s="56">
        <v>4</v>
      </c>
      <c r="P29" s="56">
        <v>3</v>
      </c>
      <c r="Q29" s="46">
        <v>2</v>
      </c>
      <c r="R29" s="28">
        <v>1</v>
      </c>
      <c r="S29" s="4">
        <v>7</v>
      </c>
      <c r="T29" s="4">
        <v>6</v>
      </c>
      <c r="U29" s="4">
        <v>5</v>
      </c>
      <c r="V29" s="4">
        <v>4</v>
      </c>
      <c r="W29" s="4">
        <v>3</v>
      </c>
      <c r="X29" s="4">
        <v>2</v>
      </c>
      <c r="Y29" s="21">
        <v>1</v>
      </c>
      <c r="Z29" s="40">
        <v>7</v>
      </c>
      <c r="AA29" s="40">
        <v>6</v>
      </c>
      <c r="AB29" s="40">
        <v>5</v>
      </c>
      <c r="AC29" s="40">
        <v>4</v>
      </c>
      <c r="AD29" s="40">
        <v>3</v>
      </c>
      <c r="AE29" s="40">
        <v>2</v>
      </c>
      <c r="AF29" s="41">
        <v>1</v>
      </c>
      <c r="AG29" s="37">
        <v>7</v>
      </c>
      <c r="AH29" s="37">
        <v>6</v>
      </c>
      <c r="AI29" s="37">
        <v>5</v>
      </c>
      <c r="AJ29" s="37">
        <v>4</v>
      </c>
      <c r="AK29" s="37">
        <v>3</v>
      </c>
      <c r="AL29" s="37">
        <v>2</v>
      </c>
      <c r="AM29" s="38">
        <v>1</v>
      </c>
      <c r="AN29" s="3">
        <v>7</v>
      </c>
      <c r="AO29" s="3">
        <v>6</v>
      </c>
      <c r="AP29" s="3">
        <v>5</v>
      </c>
      <c r="AQ29" s="3">
        <v>4</v>
      </c>
      <c r="AR29" s="3">
        <v>3</v>
      </c>
      <c r="AS29" s="3">
        <v>2</v>
      </c>
      <c r="AT29" s="31">
        <v>1</v>
      </c>
    </row>
    <row r="30" spans="2:46" x14ac:dyDescent="0.25">
      <c r="B30" s="5">
        <v>5</v>
      </c>
      <c r="C30" s="5">
        <v>1</v>
      </c>
      <c r="D30" s="5" t="s">
        <v>35</v>
      </c>
      <c r="E30" s="49" t="s">
        <v>24</v>
      </c>
      <c r="F30" s="5" t="s">
        <v>18</v>
      </c>
      <c r="G30" s="5">
        <f t="shared" si="3"/>
        <v>1</v>
      </c>
      <c r="H30" s="5" t="s">
        <v>5</v>
      </c>
      <c r="I30" s="5">
        <v>0</v>
      </c>
      <c r="J30" s="7">
        <f t="shared" si="0"/>
        <v>7</v>
      </c>
      <c r="K30" s="7" t="s">
        <v>28</v>
      </c>
      <c r="L30" s="3"/>
      <c r="M30" s="3"/>
      <c r="N30" s="3"/>
      <c r="O30" s="3"/>
      <c r="P30" s="3"/>
      <c r="Q30" s="3"/>
      <c r="R30" s="31"/>
      <c r="S30" s="4">
        <v>4</v>
      </c>
      <c r="T30" s="4">
        <v>3</v>
      </c>
      <c r="U30" s="3"/>
      <c r="V30" s="3"/>
      <c r="W30" s="3"/>
      <c r="X30" s="3"/>
      <c r="Y30" s="31"/>
      <c r="Z30" s="40">
        <v>4</v>
      </c>
      <c r="AA30" s="40">
        <v>3</v>
      </c>
      <c r="AB30" s="3"/>
      <c r="AC30" s="3"/>
      <c r="AD30" s="3"/>
      <c r="AE30" s="3"/>
      <c r="AF30" s="31"/>
      <c r="AG30" s="37">
        <v>4</v>
      </c>
      <c r="AH30" s="37">
        <v>3</v>
      </c>
      <c r="AI30" s="3"/>
      <c r="AJ30" s="3"/>
      <c r="AK30" s="3"/>
      <c r="AL30" s="3"/>
      <c r="AM30" s="31"/>
      <c r="AN30" s="3">
        <v>4</v>
      </c>
      <c r="AO30" s="3">
        <v>3</v>
      </c>
      <c r="AP30" s="3"/>
      <c r="AQ30" s="3"/>
      <c r="AR30" s="3"/>
      <c r="AS30" s="5"/>
      <c r="AT30" s="64"/>
    </row>
    <row r="31" spans="2:46" x14ac:dyDescent="0.25">
      <c r="B31" s="5">
        <v>5</v>
      </c>
      <c r="C31" s="5">
        <v>2</v>
      </c>
      <c r="D31" s="5" t="s">
        <v>21</v>
      </c>
      <c r="E31" s="49" t="s">
        <v>21</v>
      </c>
      <c r="F31" s="5" t="s">
        <v>18</v>
      </c>
      <c r="G31" s="5">
        <f t="shared" si="3"/>
        <v>1</v>
      </c>
      <c r="H31" s="5" t="s">
        <v>5</v>
      </c>
      <c r="I31" s="5">
        <v>2</v>
      </c>
      <c r="J31" s="7">
        <f t="shared" si="0"/>
        <v>9</v>
      </c>
      <c r="K31" s="7" t="s">
        <v>28</v>
      </c>
      <c r="L31" s="3"/>
      <c r="M31" s="3"/>
      <c r="N31" s="3"/>
      <c r="O31" s="3"/>
      <c r="P31" s="3"/>
      <c r="Q31" s="3"/>
      <c r="R31" s="31"/>
      <c r="S31" s="3"/>
      <c r="U31" s="4">
        <v>2</v>
      </c>
      <c r="V31" s="3"/>
      <c r="W31" s="3"/>
      <c r="X31" s="3"/>
      <c r="Y31" s="31"/>
      <c r="Z31" s="3"/>
      <c r="AB31" s="40">
        <v>2</v>
      </c>
      <c r="AC31" s="3"/>
      <c r="AD31" s="3"/>
      <c r="AE31" s="3"/>
      <c r="AF31" s="31"/>
      <c r="AG31" s="3"/>
      <c r="AI31" s="37">
        <v>2</v>
      </c>
      <c r="AJ31" s="3"/>
      <c r="AK31" s="3"/>
      <c r="AL31" s="3"/>
      <c r="AM31" s="31"/>
      <c r="AN31" s="3"/>
      <c r="AP31" s="3">
        <v>2</v>
      </c>
      <c r="AQ31" s="3"/>
      <c r="AR31" s="3"/>
      <c r="AS31" s="5"/>
      <c r="AT31" s="64"/>
    </row>
    <row r="32" spans="2:46" x14ac:dyDescent="0.25">
      <c r="B32" s="5">
        <v>5</v>
      </c>
      <c r="C32" s="5">
        <v>3</v>
      </c>
      <c r="D32" s="5" t="s">
        <v>0</v>
      </c>
      <c r="E32" s="34" t="s">
        <v>0</v>
      </c>
      <c r="F32" s="5" t="s">
        <v>18</v>
      </c>
      <c r="G32" s="3">
        <v>2</v>
      </c>
      <c r="H32" s="5" t="s">
        <v>5</v>
      </c>
      <c r="I32" s="30">
        <v>4</v>
      </c>
      <c r="J32" s="30">
        <f t="shared" si="0"/>
        <v>11</v>
      </c>
      <c r="K32" s="7" t="s">
        <v>28</v>
      </c>
      <c r="L32" s="80"/>
      <c r="M32" s="80"/>
      <c r="N32" s="80"/>
      <c r="O32" s="80"/>
      <c r="P32" s="80"/>
      <c r="Q32" s="80"/>
      <c r="R32" s="81"/>
      <c r="S32" s="80"/>
      <c r="T32" s="80"/>
      <c r="U32" s="5"/>
      <c r="W32" s="4">
        <v>7</v>
      </c>
      <c r="X32" s="4">
        <v>6</v>
      </c>
      <c r="Y32" s="4">
        <v>5</v>
      </c>
      <c r="Z32" s="4">
        <v>4</v>
      </c>
      <c r="AA32" s="80"/>
      <c r="AB32" s="5"/>
      <c r="AD32" s="40">
        <v>7</v>
      </c>
      <c r="AE32" s="40">
        <v>6</v>
      </c>
      <c r="AF32" s="40">
        <v>5</v>
      </c>
      <c r="AG32" s="40">
        <v>4</v>
      </c>
      <c r="AI32" s="5"/>
      <c r="AK32" s="37">
        <v>7</v>
      </c>
      <c r="AL32" s="37">
        <v>6</v>
      </c>
      <c r="AM32" s="37">
        <v>5</v>
      </c>
      <c r="AN32" s="37">
        <v>4</v>
      </c>
      <c r="AO32" s="80"/>
      <c r="AP32" s="80"/>
      <c r="AQ32" s="80"/>
      <c r="AR32" s="80"/>
      <c r="AS32" s="80"/>
      <c r="AT32" s="81"/>
    </row>
    <row r="33" spans="2:46" s="45" customFormat="1" x14ac:dyDescent="0.25">
      <c r="B33" s="3">
        <f>B32</f>
        <v>5</v>
      </c>
      <c r="C33" s="3">
        <v>4</v>
      </c>
      <c r="D33" s="5" t="s">
        <v>0</v>
      </c>
      <c r="E33" s="34" t="s">
        <v>32</v>
      </c>
      <c r="F33" s="5" t="s">
        <v>18</v>
      </c>
      <c r="G33" s="5">
        <f t="shared" ref="G33:H37" si="4">G32</f>
        <v>2</v>
      </c>
      <c r="H33" s="3" t="str">
        <f t="shared" si="4"/>
        <v>D1</v>
      </c>
      <c r="I33" s="30">
        <v>1</v>
      </c>
      <c r="J33" s="30">
        <f t="shared" si="0"/>
        <v>8</v>
      </c>
      <c r="K33" s="7" t="s">
        <v>28</v>
      </c>
      <c r="L33" s="3"/>
      <c r="M33" s="3"/>
      <c r="N33" s="3"/>
      <c r="O33" s="3"/>
      <c r="P33" s="3"/>
      <c r="Q33" s="3"/>
      <c r="R33" s="31"/>
      <c r="T33" s="3">
        <v>3</v>
      </c>
      <c r="U33" s="3">
        <v>2</v>
      </c>
      <c r="V33" s="3"/>
      <c r="W33" s="3"/>
      <c r="X33" s="3"/>
      <c r="Y33" s="31"/>
      <c r="AA33" s="4">
        <v>3</v>
      </c>
      <c r="AB33" s="4">
        <v>2</v>
      </c>
      <c r="AC33" s="3"/>
      <c r="AD33" s="3"/>
      <c r="AE33" s="3"/>
      <c r="AF33" s="31"/>
      <c r="AH33" s="40">
        <v>3</v>
      </c>
      <c r="AI33" s="40">
        <v>2</v>
      </c>
      <c r="AJ33" s="3"/>
      <c r="AK33" s="3"/>
      <c r="AL33" s="3"/>
      <c r="AM33" s="31"/>
      <c r="AO33" s="37">
        <v>3</v>
      </c>
      <c r="AP33" s="37">
        <v>2</v>
      </c>
      <c r="AQ33" s="3"/>
      <c r="AR33" s="3"/>
      <c r="AS33" s="3"/>
      <c r="AT33" s="31"/>
    </row>
    <row r="34" spans="2:46" x14ac:dyDescent="0.25">
      <c r="B34" s="5">
        <v>5</v>
      </c>
      <c r="C34" s="5">
        <v>5</v>
      </c>
      <c r="D34" s="5" t="s">
        <v>0</v>
      </c>
      <c r="E34" s="49" t="s">
        <v>22</v>
      </c>
      <c r="F34" s="5" t="s">
        <v>18</v>
      </c>
      <c r="G34" s="5">
        <f t="shared" si="4"/>
        <v>2</v>
      </c>
      <c r="H34" s="5" t="s">
        <v>5</v>
      </c>
      <c r="I34" s="5">
        <v>3</v>
      </c>
      <c r="J34" s="7">
        <f>I34+$J$4</f>
        <v>10</v>
      </c>
      <c r="K34" s="7" t="s">
        <v>28</v>
      </c>
      <c r="L34" s="3"/>
      <c r="M34" s="3"/>
      <c r="N34" s="3"/>
      <c r="O34" s="3"/>
      <c r="P34" s="3"/>
      <c r="Q34" s="3"/>
      <c r="R34" s="31"/>
      <c r="T34" s="3"/>
      <c r="U34" s="3"/>
      <c r="V34" s="4">
        <v>1</v>
      </c>
      <c r="W34" s="3"/>
      <c r="X34" s="3"/>
      <c r="Y34" s="31"/>
      <c r="AA34" s="3"/>
      <c r="AB34" s="3"/>
      <c r="AC34" s="40">
        <v>1</v>
      </c>
      <c r="AD34" s="3"/>
      <c r="AE34" s="3"/>
      <c r="AF34" s="31"/>
      <c r="AH34" s="3"/>
      <c r="AI34" s="3"/>
      <c r="AJ34" s="37">
        <v>1</v>
      </c>
      <c r="AK34" s="3"/>
      <c r="AL34" s="3"/>
      <c r="AM34" s="31"/>
      <c r="AO34" s="3"/>
      <c r="AP34" s="3"/>
      <c r="AQ34" s="3">
        <v>1</v>
      </c>
      <c r="AR34" s="3"/>
      <c r="AS34" s="5"/>
      <c r="AT34" s="64"/>
    </row>
    <row r="35" spans="2:46" s="45" customFormat="1" x14ac:dyDescent="0.25">
      <c r="B35" s="3">
        <f>B33</f>
        <v>5</v>
      </c>
      <c r="C35" s="3">
        <v>6</v>
      </c>
      <c r="D35" s="5"/>
      <c r="E35" s="34" t="s">
        <v>33</v>
      </c>
      <c r="F35" s="5" t="s">
        <v>18</v>
      </c>
      <c r="G35" s="5">
        <f t="shared" si="4"/>
        <v>2</v>
      </c>
      <c r="H35" s="3" t="str">
        <f>H33</f>
        <v>D1</v>
      </c>
      <c r="I35" s="32"/>
      <c r="J35" s="32"/>
      <c r="K35" s="7" t="s">
        <v>28</v>
      </c>
      <c r="L35" s="3">
        <v>4</v>
      </c>
      <c r="M35" s="3">
        <v>3</v>
      </c>
      <c r="N35" s="3">
        <v>2</v>
      </c>
      <c r="O35" s="3">
        <v>1</v>
      </c>
      <c r="P35" s="3">
        <v>7</v>
      </c>
      <c r="Q35" s="3">
        <v>6</v>
      </c>
      <c r="R35" s="3">
        <v>5</v>
      </c>
      <c r="S35" s="56">
        <v>4</v>
      </c>
      <c r="T35" s="56">
        <v>3</v>
      </c>
      <c r="U35" s="46">
        <v>2</v>
      </c>
      <c r="V35" s="28">
        <v>1</v>
      </c>
      <c r="W35" s="4">
        <v>7</v>
      </c>
      <c r="X35" s="4">
        <v>6</v>
      </c>
      <c r="Y35" s="4">
        <v>5</v>
      </c>
      <c r="Z35" s="4">
        <v>4</v>
      </c>
      <c r="AA35" s="4">
        <v>3</v>
      </c>
      <c r="AB35" s="4">
        <v>2</v>
      </c>
      <c r="AC35" s="21">
        <v>1</v>
      </c>
      <c r="AD35" s="40">
        <v>7</v>
      </c>
      <c r="AE35" s="40">
        <v>6</v>
      </c>
      <c r="AF35" s="40">
        <v>5</v>
      </c>
      <c r="AG35" s="40">
        <v>4</v>
      </c>
      <c r="AH35" s="40">
        <v>3</v>
      </c>
      <c r="AI35" s="40">
        <v>2</v>
      </c>
      <c r="AJ35" s="41">
        <v>1</v>
      </c>
      <c r="AK35" s="37">
        <v>7</v>
      </c>
      <c r="AL35" s="37">
        <v>6</v>
      </c>
      <c r="AM35" s="37">
        <v>5</v>
      </c>
      <c r="AN35" s="37">
        <v>4</v>
      </c>
      <c r="AO35" s="37">
        <v>3</v>
      </c>
      <c r="AP35" s="37">
        <v>2</v>
      </c>
      <c r="AQ35" s="38">
        <v>1</v>
      </c>
      <c r="AR35" s="3">
        <v>7</v>
      </c>
      <c r="AS35" s="3">
        <v>6</v>
      </c>
      <c r="AT35" s="31">
        <v>5</v>
      </c>
    </row>
    <row r="36" spans="2:46" x14ac:dyDescent="0.25">
      <c r="B36" s="5">
        <v>6</v>
      </c>
      <c r="C36" s="5">
        <v>1</v>
      </c>
      <c r="D36" s="5" t="s">
        <v>35</v>
      </c>
      <c r="E36" s="49" t="s">
        <v>24</v>
      </c>
      <c r="F36" s="5" t="s">
        <v>18</v>
      </c>
      <c r="G36" s="5">
        <f t="shared" si="4"/>
        <v>2</v>
      </c>
      <c r="H36" s="5" t="s">
        <v>4</v>
      </c>
      <c r="I36" s="5">
        <v>-1</v>
      </c>
      <c r="J36" s="7">
        <f t="shared" si="0"/>
        <v>6</v>
      </c>
      <c r="K36" s="7"/>
      <c r="L36" s="3"/>
      <c r="M36" s="3"/>
      <c r="N36" s="3"/>
      <c r="O36" s="3"/>
      <c r="P36" s="3"/>
      <c r="Q36" s="3"/>
      <c r="R36" s="21">
        <v>4</v>
      </c>
      <c r="S36" s="3"/>
      <c r="T36" s="3"/>
      <c r="U36" s="3"/>
      <c r="V36" s="3"/>
      <c r="W36" s="3"/>
      <c r="X36" s="3"/>
      <c r="Y36" s="41">
        <v>4</v>
      </c>
      <c r="Z36" s="3"/>
      <c r="AA36" s="3"/>
      <c r="AB36" s="3"/>
      <c r="AC36" s="3"/>
      <c r="AD36" s="3"/>
      <c r="AE36" s="3"/>
      <c r="AF36" s="38">
        <v>4</v>
      </c>
      <c r="AG36" s="3"/>
      <c r="AH36" s="3"/>
      <c r="AI36" s="3"/>
      <c r="AJ36" s="3"/>
      <c r="AK36" s="3"/>
      <c r="AL36" s="3"/>
      <c r="AM36" s="31">
        <v>4</v>
      </c>
      <c r="AN36" s="3"/>
      <c r="AO36" s="3"/>
      <c r="AP36" s="3"/>
      <c r="AQ36" s="3"/>
      <c r="AR36" s="3"/>
      <c r="AS36" s="5"/>
      <c r="AT36" s="64"/>
    </row>
    <row r="37" spans="2:46" x14ac:dyDescent="0.25">
      <c r="B37" s="5">
        <v>6</v>
      </c>
      <c r="C37" s="5">
        <v>2</v>
      </c>
      <c r="D37" s="5" t="s">
        <v>21</v>
      </c>
      <c r="E37" s="49" t="s">
        <v>21</v>
      </c>
      <c r="F37" s="5" t="s">
        <v>18</v>
      </c>
      <c r="G37" s="5">
        <f t="shared" si="4"/>
        <v>2</v>
      </c>
      <c r="H37" s="5" t="s">
        <v>4</v>
      </c>
      <c r="I37" s="5">
        <v>0</v>
      </c>
      <c r="J37" s="7">
        <f t="shared" si="0"/>
        <v>7</v>
      </c>
      <c r="K37" s="7"/>
      <c r="L37" s="3"/>
      <c r="M37" s="3"/>
      <c r="N37" s="3"/>
      <c r="O37" s="3"/>
      <c r="P37" s="3"/>
      <c r="Q37" s="3"/>
      <c r="R37" s="31"/>
      <c r="S37" s="4">
        <v>3</v>
      </c>
      <c r="T37" s="3"/>
      <c r="U37" s="3"/>
      <c r="V37" s="3"/>
      <c r="W37" s="3"/>
      <c r="X37" s="3"/>
      <c r="Y37" s="31"/>
      <c r="Z37" s="40">
        <v>4</v>
      </c>
      <c r="AA37" s="3"/>
      <c r="AB37" s="3"/>
      <c r="AC37" s="3"/>
      <c r="AD37" s="3"/>
      <c r="AE37" s="3"/>
      <c r="AF37" s="31"/>
      <c r="AG37" s="37">
        <v>4</v>
      </c>
      <c r="AH37" s="3"/>
      <c r="AI37" s="3"/>
      <c r="AJ37" s="3"/>
      <c r="AK37" s="3"/>
      <c r="AL37" s="3"/>
      <c r="AM37" s="31"/>
      <c r="AN37" s="31">
        <v>4</v>
      </c>
      <c r="AO37" s="3"/>
      <c r="AP37" s="3"/>
      <c r="AQ37" s="3"/>
      <c r="AR37" s="3"/>
      <c r="AS37" s="5"/>
      <c r="AT37" s="64"/>
    </row>
    <row r="38" spans="2:46" x14ac:dyDescent="0.25">
      <c r="B38" s="5">
        <v>6</v>
      </c>
      <c r="C38" s="5">
        <v>3</v>
      </c>
      <c r="D38" s="5" t="s">
        <v>0</v>
      </c>
      <c r="E38" s="34" t="s">
        <v>0</v>
      </c>
      <c r="F38" s="5" t="s">
        <v>18</v>
      </c>
      <c r="G38" s="3">
        <v>2</v>
      </c>
      <c r="H38" s="5" t="s">
        <v>4</v>
      </c>
      <c r="I38" s="30">
        <v>3</v>
      </c>
      <c r="J38" s="30">
        <f t="shared" si="0"/>
        <v>10</v>
      </c>
      <c r="K38" s="7"/>
      <c r="L38" s="80"/>
      <c r="M38" s="80"/>
      <c r="N38" s="80"/>
      <c r="O38" s="80"/>
      <c r="P38" s="80"/>
      <c r="Q38" s="80"/>
      <c r="R38" s="81"/>
      <c r="S38" s="80"/>
      <c r="T38" s="3"/>
      <c r="U38" s="3"/>
      <c r="V38" s="4">
        <v>7</v>
      </c>
      <c r="W38" s="4">
        <v>6</v>
      </c>
      <c r="X38" s="4">
        <v>5</v>
      </c>
      <c r="Y38" s="21">
        <v>4</v>
      </c>
      <c r="Z38" s="80"/>
      <c r="AA38" s="3"/>
      <c r="AB38" s="3"/>
      <c r="AC38" s="40">
        <v>7</v>
      </c>
      <c r="AD38" s="40">
        <v>6</v>
      </c>
      <c r="AE38" s="40">
        <v>5</v>
      </c>
      <c r="AF38" s="41">
        <v>4</v>
      </c>
      <c r="AG38" s="80"/>
      <c r="AH38" s="3"/>
      <c r="AI38" s="3"/>
      <c r="AJ38" s="37">
        <v>7</v>
      </c>
      <c r="AK38" s="37">
        <v>6</v>
      </c>
      <c r="AL38" s="37">
        <v>5</v>
      </c>
      <c r="AM38" s="38">
        <v>4</v>
      </c>
      <c r="AN38" s="80"/>
      <c r="AO38" s="80"/>
      <c r="AP38" s="80"/>
      <c r="AQ38" s="80"/>
      <c r="AR38" s="80"/>
      <c r="AS38" s="80"/>
      <c r="AT38" s="81"/>
    </row>
    <row r="39" spans="2:46" s="45" customFormat="1" x14ac:dyDescent="0.25">
      <c r="B39" s="3">
        <f>B38</f>
        <v>6</v>
      </c>
      <c r="C39" s="3">
        <v>4</v>
      </c>
      <c r="D39" s="5" t="s">
        <v>0</v>
      </c>
      <c r="E39" s="34" t="s">
        <v>32</v>
      </c>
      <c r="F39" s="5" t="s">
        <v>18</v>
      </c>
      <c r="G39" s="5">
        <f t="shared" ref="G39:H43" si="5">G38</f>
        <v>2</v>
      </c>
      <c r="H39" s="3" t="str">
        <f t="shared" si="5"/>
        <v>C</v>
      </c>
      <c r="I39" s="30">
        <v>0</v>
      </c>
      <c r="J39" s="30">
        <f t="shared" si="0"/>
        <v>7</v>
      </c>
      <c r="K39" s="30"/>
      <c r="L39" s="3"/>
      <c r="M39" s="3"/>
      <c r="N39" s="3"/>
      <c r="O39" s="3"/>
      <c r="P39" s="3"/>
      <c r="Q39" s="3"/>
      <c r="R39" s="31"/>
      <c r="S39" s="3">
        <v>3</v>
      </c>
      <c r="T39" s="3">
        <v>2</v>
      </c>
      <c r="U39" s="3"/>
      <c r="V39" s="3"/>
      <c r="W39" s="3"/>
      <c r="X39" s="3"/>
      <c r="Y39" s="31"/>
      <c r="Z39" s="4">
        <v>3</v>
      </c>
      <c r="AA39" s="4">
        <v>2</v>
      </c>
      <c r="AB39" s="3"/>
      <c r="AC39" s="3"/>
      <c r="AD39" s="3"/>
      <c r="AE39" s="3"/>
      <c r="AF39" s="31"/>
      <c r="AG39" s="40">
        <v>3</v>
      </c>
      <c r="AH39" s="40">
        <v>2</v>
      </c>
      <c r="AI39" s="3"/>
      <c r="AJ39" s="3"/>
      <c r="AK39" s="3"/>
      <c r="AL39" s="3"/>
      <c r="AM39" s="31"/>
      <c r="AN39" s="37">
        <v>3</v>
      </c>
      <c r="AO39" s="37">
        <v>2</v>
      </c>
      <c r="AP39" s="3"/>
      <c r="AQ39" s="3"/>
      <c r="AR39" s="3"/>
      <c r="AS39" s="3"/>
      <c r="AT39" s="31"/>
    </row>
    <row r="40" spans="2:46" x14ac:dyDescent="0.25">
      <c r="B40" s="5">
        <v>6</v>
      </c>
      <c r="C40" s="5">
        <v>5</v>
      </c>
      <c r="D40" s="5" t="s">
        <v>0</v>
      </c>
      <c r="E40" s="49" t="s">
        <v>22</v>
      </c>
      <c r="F40" s="5" t="s">
        <v>18</v>
      </c>
      <c r="G40" s="5">
        <f t="shared" si="5"/>
        <v>2</v>
      </c>
      <c r="H40" s="5" t="s">
        <v>4</v>
      </c>
      <c r="I40" s="5">
        <v>2</v>
      </c>
      <c r="J40" s="7">
        <f>I40+$J$4</f>
        <v>9</v>
      </c>
      <c r="K40" s="7"/>
      <c r="L40" s="3"/>
      <c r="M40" s="3"/>
      <c r="N40" s="3"/>
      <c r="O40" s="3"/>
      <c r="P40" s="3"/>
      <c r="Q40" s="3"/>
      <c r="R40" s="31"/>
      <c r="S40" s="5"/>
      <c r="U40" s="4">
        <v>1</v>
      </c>
      <c r="V40" s="3"/>
      <c r="W40" s="3"/>
      <c r="X40" s="3"/>
      <c r="Y40" s="31"/>
      <c r="Z40" s="3"/>
      <c r="AB40" s="40">
        <v>1</v>
      </c>
      <c r="AC40" s="3"/>
      <c r="AD40" s="3"/>
      <c r="AE40" s="3"/>
      <c r="AF40" s="31"/>
      <c r="AG40" s="3"/>
      <c r="AI40" s="37">
        <v>1</v>
      </c>
      <c r="AJ40" s="3"/>
      <c r="AK40" s="3"/>
      <c r="AL40" s="3"/>
      <c r="AM40" s="31"/>
      <c r="AN40" s="3"/>
      <c r="AP40" s="3">
        <v>1</v>
      </c>
      <c r="AQ40" s="3"/>
      <c r="AR40" s="3"/>
      <c r="AS40" s="5"/>
      <c r="AT40" s="64"/>
    </row>
    <row r="41" spans="2:46" s="45" customFormat="1" x14ac:dyDescent="0.25">
      <c r="B41" s="3">
        <f>B39</f>
        <v>6</v>
      </c>
      <c r="C41" s="3">
        <v>6</v>
      </c>
      <c r="D41" s="5"/>
      <c r="E41" s="34" t="s">
        <v>33</v>
      </c>
      <c r="F41" s="5" t="s">
        <v>18</v>
      </c>
      <c r="G41" s="5">
        <f t="shared" si="5"/>
        <v>2</v>
      </c>
      <c r="H41" s="3" t="str">
        <f>H39</f>
        <v>C</v>
      </c>
      <c r="I41" s="32"/>
      <c r="J41" s="32"/>
      <c r="K41" s="30"/>
      <c r="L41" s="3">
        <v>3</v>
      </c>
      <c r="M41" s="3">
        <v>2</v>
      </c>
      <c r="N41" s="3">
        <v>1</v>
      </c>
      <c r="O41" s="3">
        <v>7</v>
      </c>
      <c r="P41" s="3">
        <v>6</v>
      </c>
      <c r="Q41" s="3">
        <v>5</v>
      </c>
      <c r="R41" s="56">
        <v>4</v>
      </c>
      <c r="S41" s="56">
        <v>3</v>
      </c>
      <c r="T41" s="46">
        <v>2</v>
      </c>
      <c r="U41" s="28">
        <v>1</v>
      </c>
      <c r="V41" s="4">
        <v>7</v>
      </c>
      <c r="W41" s="4">
        <v>6</v>
      </c>
      <c r="X41" s="4">
        <v>5</v>
      </c>
      <c r="Y41" s="4">
        <v>4</v>
      </c>
      <c r="Z41" s="4">
        <v>3</v>
      </c>
      <c r="AA41" s="4">
        <v>2</v>
      </c>
      <c r="AB41" s="21">
        <v>1</v>
      </c>
      <c r="AC41" s="40">
        <v>7</v>
      </c>
      <c r="AD41" s="40">
        <v>6</v>
      </c>
      <c r="AE41" s="40">
        <v>5</v>
      </c>
      <c r="AF41" s="40">
        <v>4</v>
      </c>
      <c r="AG41" s="40">
        <v>3</v>
      </c>
      <c r="AH41" s="40">
        <v>2</v>
      </c>
      <c r="AI41" s="41">
        <v>1</v>
      </c>
      <c r="AJ41" s="37">
        <v>7</v>
      </c>
      <c r="AK41" s="37">
        <v>6</v>
      </c>
      <c r="AL41" s="37">
        <v>5</v>
      </c>
      <c r="AM41" s="37">
        <v>4</v>
      </c>
      <c r="AN41" s="37">
        <v>3</v>
      </c>
      <c r="AO41" s="37">
        <v>2</v>
      </c>
      <c r="AP41" s="38">
        <v>1</v>
      </c>
      <c r="AQ41" s="3">
        <v>7</v>
      </c>
      <c r="AR41" s="3">
        <v>6</v>
      </c>
      <c r="AS41" s="31">
        <v>5</v>
      </c>
      <c r="AT41" s="31">
        <v>4</v>
      </c>
    </row>
    <row r="42" spans="2:46" x14ac:dyDescent="0.25">
      <c r="B42" s="5">
        <v>7</v>
      </c>
      <c r="C42" s="5">
        <v>1</v>
      </c>
      <c r="D42" s="5" t="s">
        <v>35</v>
      </c>
      <c r="E42" s="49" t="s">
        <v>24</v>
      </c>
      <c r="F42" s="5" t="s">
        <v>18</v>
      </c>
      <c r="G42" s="5">
        <f t="shared" si="5"/>
        <v>2</v>
      </c>
      <c r="H42" s="5" t="s">
        <v>16</v>
      </c>
      <c r="I42" s="5">
        <v>3</v>
      </c>
      <c r="J42" s="7">
        <f t="shared" si="0"/>
        <v>10</v>
      </c>
      <c r="K42" s="7" t="s">
        <v>28</v>
      </c>
      <c r="L42" s="3"/>
      <c r="M42" s="3"/>
      <c r="N42" s="3"/>
      <c r="O42" s="3"/>
      <c r="P42" s="3"/>
      <c r="Q42" s="3"/>
      <c r="R42" s="31"/>
      <c r="S42" s="3"/>
      <c r="T42" s="3"/>
      <c r="U42" s="5"/>
      <c r="V42" s="4">
        <v>5</v>
      </c>
      <c r="W42" s="4">
        <v>4</v>
      </c>
      <c r="X42" s="3"/>
      <c r="Z42" s="3"/>
      <c r="AA42" s="3"/>
      <c r="AB42" s="5"/>
      <c r="AC42" s="40">
        <v>5</v>
      </c>
      <c r="AD42" s="40">
        <v>4</v>
      </c>
      <c r="AE42" s="3"/>
      <c r="AG42" s="3"/>
      <c r="AH42" s="3"/>
      <c r="AI42" s="5"/>
      <c r="AJ42" s="37">
        <v>5</v>
      </c>
      <c r="AK42" s="37">
        <v>4</v>
      </c>
      <c r="AL42" s="3"/>
      <c r="AN42" s="3"/>
      <c r="AO42" s="3"/>
      <c r="AP42" s="5"/>
      <c r="AQ42" s="3">
        <v>5</v>
      </c>
      <c r="AR42" s="3">
        <v>4</v>
      </c>
      <c r="AS42" s="3"/>
    </row>
    <row r="43" spans="2:46" x14ac:dyDescent="0.25">
      <c r="B43" s="5">
        <v>7</v>
      </c>
      <c r="C43" s="5">
        <v>2</v>
      </c>
      <c r="D43" s="5" t="s">
        <v>21</v>
      </c>
      <c r="E43" s="49" t="s">
        <v>21</v>
      </c>
      <c r="F43" s="5" t="s">
        <v>18</v>
      </c>
      <c r="G43" s="5">
        <f t="shared" si="5"/>
        <v>2</v>
      </c>
      <c r="H43" s="5" t="s">
        <v>16</v>
      </c>
      <c r="I43" s="5">
        <v>5</v>
      </c>
      <c r="J43" s="7">
        <f t="shared" si="0"/>
        <v>12</v>
      </c>
      <c r="K43" s="7" t="s">
        <v>28</v>
      </c>
      <c r="L43" s="3"/>
      <c r="M43" s="3"/>
      <c r="N43" s="3"/>
      <c r="O43" s="3"/>
      <c r="P43" s="3"/>
      <c r="Q43" s="3"/>
      <c r="R43" s="31"/>
      <c r="S43" s="3"/>
      <c r="T43" s="3"/>
      <c r="U43" s="5"/>
      <c r="V43" s="3"/>
      <c r="X43" s="4">
        <v>3</v>
      </c>
      <c r="Z43" s="3"/>
      <c r="AA43" s="3"/>
      <c r="AB43" s="5"/>
      <c r="AC43" s="3"/>
      <c r="AE43" s="40">
        <v>3</v>
      </c>
      <c r="AG43" s="3"/>
      <c r="AH43" s="3"/>
      <c r="AI43" s="5"/>
      <c r="AJ43" s="3"/>
      <c r="AL43" s="37">
        <v>3</v>
      </c>
      <c r="AN43" s="3"/>
      <c r="AO43" s="3"/>
      <c r="AP43" s="5"/>
      <c r="AQ43" s="3"/>
      <c r="AS43" s="3">
        <v>3</v>
      </c>
    </row>
    <row r="44" spans="2:46" x14ac:dyDescent="0.25">
      <c r="B44" s="5">
        <v>7</v>
      </c>
      <c r="C44" s="5">
        <v>3</v>
      </c>
      <c r="D44" s="5" t="s">
        <v>0</v>
      </c>
      <c r="E44" s="34" t="s">
        <v>0</v>
      </c>
      <c r="F44" s="5" t="s">
        <v>18</v>
      </c>
      <c r="G44" s="3">
        <v>2</v>
      </c>
      <c r="H44" s="5" t="s">
        <v>16</v>
      </c>
      <c r="I44" s="30">
        <v>6</v>
      </c>
      <c r="J44" s="30">
        <f t="shared" si="0"/>
        <v>13</v>
      </c>
      <c r="K44" s="7" t="s">
        <v>28</v>
      </c>
      <c r="L44" s="80"/>
      <c r="M44" s="80"/>
      <c r="N44" s="80"/>
      <c r="O44" s="80"/>
      <c r="P44" s="80"/>
      <c r="Q44" s="80"/>
      <c r="R44" s="81"/>
      <c r="S44" s="80"/>
      <c r="T44" s="80"/>
      <c r="U44" s="80"/>
      <c r="V44" s="80"/>
      <c r="W44" s="80"/>
      <c r="X44" s="80"/>
      <c r="Y44" s="4">
        <v>7</v>
      </c>
      <c r="Z44" s="4">
        <v>6</v>
      </c>
      <c r="AA44" s="4">
        <v>5</v>
      </c>
      <c r="AB44" s="4">
        <v>4</v>
      </c>
      <c r="AE44" s="80"/>
      <c r="AF44" s="64"/>
      <c r="AH44" s="40">
        <v>7</v>
      </c>
      <c r="AI44" s="40">
        <v>6</v>
      </c>
      <c r="AJ44" s="40">
        <v>5</v>
      </c>
      <c r="AK44" s="40">
        <v>4</v>
      </c>
      <c r="AL44" s="80"/>
      <c r="AM44" s="64"/>
      <c r="AO44" s="37">
        <v>7</v>
      </c>
      <c r="AP44" s="37">
        <v>6</v>
      </c>
      <c r="AQ44" s="37">
        <v>5</v>
      </c>
      <c r="AR44" s="37">
        <v>4</v>
      </c>
      <c r="AS44" s="80"/>
      <c r="AT44" s="81"/>
    </row>
    <row r="45" spans="2:46" s="45" customFormat="1" x14ac:dyDescent="0.25">
      <c r="B45" s="3">
        <f>B44</f>
        <v>7</v>
      </c>
      <c r="C45" s="3">
        <v>4</v>
      </c>
      <c r="D45" s="5" t="s">
        <v>0</v>
      </c>
      <c r="E45" s="34" t="s">
        <v>32</v>
      </c>
      <c r="F45" s="5" t="s">
        <v>18</v>
      </c>
      <c r="G45" s="5">
        <f t="shared" ref="G45:H49" si="6">G44</f>
        <v>2</v>
      </c>
      <c r="H45" s="3" t="str">
        <f t="shared" si="6"/>
        <v>D2</v>
      </c>
      <c r="I45" s="30">
        <v>5</v>
      </c>
      <c r="J45" s="30">
        <f t="shared" si="0"/>
        <v>12</v>
      </c>
      <c r="K45" s="7" t="s">
        <v>28</v>
      </c>
      <c r="L45" s="3"/>
      <c r="M45" s="3"/>
      <c r="N45" s="3"/>
      <c r="O45" s="3"/>
      <c r="P45" s="3"/>
      <c r="Q45" s="3"/>
      <c r="R45" s="31"/>
      <c r="S45" s="3"/>
      <c r="T45" s="3"/>
      <c r="U45" s="3"/>
      <c r="V45" s="34"/>
      <c r="X45" s="3">
        <v>3</v>
      </c>
      <c r="Y45" s="3">
        <v>2</v>
      </c>
      <c r="Z45" s="31"/>
      <c r="AA45" s="3"/>
      <c r="AB45" s="3"/>
      <c r="AC45" s="34"/>
      <c r="AE45" s="4">
        <v>3</v>
      </c>
      <c r="AF45" s="4">
        <v>2</v>
      </c>
      <c r="AG45" s="31"/>
      <c r="AH45" s="3"/>
      <c r="AI45" s="3"/>
      <c r="AJ45" s="34"/>
      <c r="AL45" s="40">
        <v>3</v>
      </c>
      <c r="AM45" s="40">
        <v>2</v>
      </c>
      <c r="AN45" s="31"/>
      <c r="AO45" s="3"/>
      <c r="AP45" s="3"/>
      <c r="AQ45" s="34"/>
      <c r="AR45" s="37">
        <v>3</v>
      </c>
      <c r="AS45" s="37">
        <v>2</v>
      </c>
      <c r="AT45" s="31"/>
    </row>
    <row r="46" spans="2:46" x14ac:dyDescent="0.25">
      <c r="B46" s="5">
        <v>7</v>
      </c>
      <c r="C46" s="5">
        <v>5</v>
      </c>
      <c r="D46" s="5" t="s">
        <v>0</v>
      </c>
      <c r="E46" s="49" t="s">
        <v>22</v>
      </c>
      <c r="F46" s="5" t="s">
        <v>18</v>
      </c>
      <c r="G46" s="5">
        <f t="shared" si="6"/>
        <v>2</v>
      </c>
      <c r="H46" s="5" t="s">
        <v>16</v>
      </c>
      <c r="I46" s="5">
        <v>7</v>
      </c>
      <c r="J46" s="7">
        <f>I46+$J$4</f>
        <v>14</v>
      </c>
      <c r="K46" s="7" t="s">
        <v>28</v>
      </c>
      <c r="L46" s="3"/>
      <c r="M46" s="3"/>
      <c r="N46" s="3"/>
      <c r="O46" s="3"/>
      <c r="P46" s="3"/>
      <c r="Q46" s="3"/>
      <c r="R46" s="31"/>
      <c r="S46" s="3"/>
      <c r="T46" s="3"/>
      <c r="U46" s="3"/>
      <c r="V46" s="5"/>
      <c r="X46" s="3"/>
      <c r="Y46" s="3"/>
      <c r="Z46" s="21">
        <v>1</v>
      </c>
      <c r="AA46" s="3"/>
      <c r="AB46" s="3"/>
      <c r="AC46" s="5"/>
      <c r="AE46" s="3"/>
      <c r="AF46" s="3"/>
      <c r="AG46" s="41">
        <v>1</v>
      </c>
      <c r="AH46" s="3"/>
      <c r="AI46" s="3"/>
      <c r="AJ46" s="5"/>
      <c r="AL46" s="3"/>
      <c r="AM46" s="3"/>
      <c r="AN46" s="38">
        <v>1</v>
      </c>
      <c r="AO46" s="3"/>
      <c r="AP46" s="3"/>
      <c r="AQ46" s="5"/>
      <c r="AR46" s="3"/>
      <c r="AS46" s="3"/>
      <c r="AT46" s="64">
        <v>1</v>
      </c>
    </row>
    <row r="47" spans="2:46" s="130" customFormat="1" ht="15.75" thickBot="1" x14ac:dyDescent="0.3">
      <c r="B47" s="115">
        <f>B45</f>
        <v>7</v>
      </c>
      <c r="C47" s="115">
        <v>6</v>
      </c>
      <c r="D47" s="116"/>
      <c r="E47" s="117" t="s">
        <v>33</v>
      </c>
      <c r="F47" s="116" t="s">
        <v>18</v>
      </c>
      <c r="G47" s="116">
        <f>G46</f>
        <v>2</v>
      </c>
      <c r="H47" s="115" t="str">
        <f>H45</f>
        <v>D2</v>
      </c>
      <c r="I47" s="118"/>
      <c r="J47" s="118"/>
      <c r="K47" s="119" t="s">
        <v>28</v>
      </c>
      <c r="L47" s="115">
        <v>1</v>
      </c>
      <c r="M47" s="115">
        <v>7</v>
      </c>
      <c r="N47" s="115">
        <v>6</v>
      </c>
      <c r="O47" s="115">
        <v>5</v>
      </c>
      <c r="P47" s="120">
        <v>4</v>
      </c>
      <c r="Q47" s="120">
        <v>3</v>
      </c>
      <c r="R47" s="121">
        <v>2</v>
      </c>
      <c r="S47" s="122">
        <v>1</v>
      </c>
      <c r="T47" s="123">
        <v>7</v>
      </c>
      <c r="U47" s="123">
        <v>6</v>
      </c>
      <c r="V47" s="123">
        <v>5</v>
      </c>
      <c r="W47" s="123">
        <v>4</v>
      </c>
      <c r="X47" s="123">
        <v>3</v>
      </c>
      <c r="Y47" s="123">
        <v>2</v>
      </c>
      <c r="Z47" s="124">
        <v>1</v>
      </c>
      <c r="AA47" s="125">
        <v>7</v>
      </c>
      <c r="AB47" s="125">
        <v>6</v>
      </c>
      <c r="AC47" s="125">
        <v>5</v>
      </c>
      <c r="AD47" s="125">
        <v>4</v>
      </c>
      <c r="AE47" s="125">
        <v>3</v>
      </c>
      <c r="AF47" s="125">
        <v>2</v>
      </c>
      <c r="AG47" s="126">
        <v>1</v>
      </c>
      <c r="AH47" s="127">
        <v>7</v>
      </c>
      <c r="AI47" s="127">
        <v>6</v>
      </c>
      <c r="AJ47" s="127">
        <v>5</v>
      </c>
      <c r="AK47" s="127">
        <v>4</v>
      </c>
      <c r="AL47" s="127">
        <v>3</v>
      </c>
      <c r="AM47" s="127">
        <v>2</v>
      </c>
      <c r="AN47" s="128">
        <v>1</v>
      </c>
      <c r="AO47" s="115">
        <v>7</v>
      </c>
      <c r="AP47" s="115">
        <v>6</v>
      </c>
      <c r="AQ47" s="129">
        <v>5</v>
      </c>
      <c r="AR47" s="129">
        <v>4</v>
      </c>
      <c r="AS47" s="129">
        <v>3</v>
      </c>
      <c r="AT47" s="129">
        <v>2</v>
      </c>
    </row>
    <row r="48" spans="2:46" ht="15.75" thickTop="1" x14ac:dyDescent="0.25">
      <c r="B48" s="84">
        <v>8</v>
      </c>
      <c r="C48" s="84">
        <v>1</v>
      </c>
      <c r="D48" s="84" t="s">
        <v>35</v>
      </c>
      <c r="E48" s="113" t="s">
        <v>24</v>
      </c>
      <c r="F48" s="84" t="s">
        <v>19</v>
      </c>
      <c r="G48" s="84">
        <f t="shared" si="6"/>
        <v>2</v>
      </c>
      <c r="H48" s="84" t="s">
        <v>7</v>
      </c>
      <c r="I48" s="84">
        <v>-2</v>
      </c>
      <c r="J48" s="114">
        <f t="shared" si="0"/>
        <v>5</v>
      </c>
      <c r="K48" s="114"/>
      <c r="L48" s="33"/>
      <c r="M48" s="33"/>
      <c r="N48" s="33"/>
      <c r="O48" s="33"/>
      <c r="P48" s="33"/>
      <c r="Q48" s="61">
        <v>3</v>
      </c>
      <c r="R48" s="35"/>
      <c r="S48" s="33"/>
      <c r="T48" s="33"/>
      <c r="U48" s="33"/>
      <c r="V48" s="33"/>
      <c r="W48" s="33"/>
      <c r="X48" s="62">
        <v>3</v>
      </c>
      <c r="Y48" s="35"/>
      <c r="Z48" s="33"/>
      <c r="AA48" s="33"/>
      <c r="AB48" s="33"/>
      <c r="AC48" s="33"/>
      <c r="AD48" s="33"/>
      <c r="AE48" s="63">
        <v>3</v>
      </c>
      <c r="AF48" s="35"/>
      <c r="AG48" s="33"/>
      <c r="AH48" s="33"/>
      <c r="AI48" s="33"/>
      <c r="AJ48" s="33"/>
      <c r="AK48" s="33"/>
      <c r="AL48" s="33">
        <v>3</v>
      </c>
      <c r="AM48" s="35"/>
      <c r="AN48" s="33"/>
      <c r="AO48" s="33"/>
      <c r="AP48" s="33"/>
      <c r="AQ48" s="33"/>
      <c r="AR48" s="33"/>
      <c r="AS48" s="84"/>
      <c r="AT48" s="85"/>
    </row>
    <row r="49" spans="2:46" x14ac:dyDescent="0.25">
      <c r="B49" s="5">
        <v>8</v>
      </c>
      <c r="C49" s="5">
        <v>2</v>
      </c>
      <c r="D49" s="5" t="s">
        <v>21</v>
      </c>
      <c r="E49" s="49" t="s">
        <v>21</v>
      </c>
      <c r="F49" s="5" t="s">
        <v>19</v>
      </c>
      <c r="G49" s="5">
        <f t="shared" si="6"/>
        <v>2</v>
      </c>
      <c r="H49" s="5" t="s">
        <v>7</v>
      </c>
      <c r="I49" s="5">
        <v>-1</v>
      </c>
      <c r="J49" s="7">
        <f t="shared" si="0"/>
        <v>6</v>
      </c>
      <c r="K49" s="7"/>
      <c r="L49" s="3"/>
      <c r="M49" s="3"/>
      <c r="N49" s="3"/>
      <c r="O49" s="3"/>
      <c r="P49" s="3"/>
      <c r="Q49" s="3"/>
      <c r="R49" s="21">
        <v>2</v>
      </c>
      <c r="S49" s="3"/>
      <c r="T49" s="3"/>
      <c r="U49" s="3"/>
      <c r="V49" s="3"/>
      <c r="W49" s="3"/>
      <c r="X49" s="3"/>
      <c r="Y49" s="41">
        <v>2</v>
      </c>
      <c r="Z49" s="3"/>
      <c r="AA49" s="3"/>
      <c r="AB49" s="3"/>
      <c r="AC49" s="3"/>
      <c r="AD49" s="3"/>
      <c r="AE49" s="3"/>
      <c r="AF49" s="38">
        <v>2</v>
      </c>
      <c r="AG49" s="3"/>
      <c r="AH49" s="3"/>
      <c r="AI49" s="3"/>
      <c r="AJ49" s="3"/>
      <c r="AK49" s="3"/>
      <c r="AL49" s="3"/>
      <c r="AM49" s="31">
        <v>2</v>
      </c>
      <c r="AN49" s="3"/>
      <c r="AO49" s="3"/>
      <c r="AP49" s="3"/>
      <c r="AQ49" s="3"/>
      <c r="AR49" s="3"/>
      <c r="AS49" s="5"/>
      <c r="AT49" s="64"/>
    </row>
    <row r="50" spans="2:46" x14ac:dyDescent="0.25">
      <c r="B50" s="5">
        <v>8</v>
      </c>
      <c r="C50" s="5">
        <v>3</v>
      </c>
      <c r="D50" s="5" t="s">
        <v>0</v>
      </c>
      <c r="E50" s="34" t="s">
        <v>0</v>
      </c>
      <c r="F50" s="5" t="s">
        <v>19</v>
      </c>
      <c r="G50" s="3">
        <v>1</v>
      </c>
      <c r="H50" s="5" t="s">
        <v>7</v>
      </c>
      <c r="I50" s="30">
        <v>1</v>
      </c>
      <c r="J50" s="30">
        <f t="shared" si="0"/>
        <v>8</v>
      </c>
      <c r="K50" s="7"/>
      <c r="L50" s="80"/>
      <c r="M50" s="80"/>
      <c r="N50" s="80"/>
      <c r="O50" s="80"/>
      <c r="P50" s="80"/>
      <c r="Q50" s="80"/>
      <c r="R50" s="81"/>
      <c r="S50" s="4">
        <v>8</v>
      </c>
      <c r="T50" s="4">
        <v>7</v>
      </c>
      <c r="U50" s="4">
        <v>6</v>
      </c>
      <c r="V50" s="4">
        <v>5</v>
      </c>
      <c r="W50" s="4">
        <v>4</v>
      </c>
      <c r="X50" s="80"/>
      <c r="Y50" s="81"/>
      <c r="Z50" s="40">
        <v>8</v>
      </c>
      <c r="AA50" s="40">
        <v>7</v>
      </c>
      <c r="AB50" s="40">
        <v>6</v>
      </c>
      <c r="AC50" s="40">
        <v>5</v>
      </c>
      <c r="AD50" s="40">
        <v>4</v>
      </c>
      <c r="AE50" s="80"/>
      <c r="AF50" s="81"/>
      <c r="AG50" s="37">
        <v>8</v>
      </c>
      <c r="AH50" s="37">
        <v>7</v>
      </c>
      <c r="AI50" s="37">
        <v>6</v>
      </c>
      <c r="AJ50" s="37">
        <v>5</v>
      </c>
      <c r="AK50" s="37">
        <v>4</v>
      </c>
      <c r="AL50" s="80"/>
      <c r="AM50" s="81"/>
      <c r="AN50" s="80"/>
      <c r="AO50" s="80"/>
      <c r="AP50" s="80"/>
      <c r="AQ50" s="80"/>
      <c r="AR50" s="80"/>
      <c r="AS50" s="80"/>
      <c r="AT50" s="81"/>
    </row>
    <row r="51" spans="2:46" s="45" customFormat="1" x14ac:dyDescent="0.25">
      <c r="B51" s="3">
        <f>B50</f>
        <v>8</v>
      </c>
      <c r="C51" s="3">
        <v>4</v>
      </c>
      <c r="D51" s="5" t="s">
        <v>0</v>
      </c>
      <c r="E51" s="34" t="s">
        <v>32</v>
      </c>
      <c r="F51" s="5" t="s">
        <v>19</v>
      </c>
      <c r="G51" s="5">
        <f t="shared" ref="G51:H55" si="7">G50</f>
        <v>1</v>
      </c>
      <c r="H51" s="3" t="str">
        <f t="shared" si="7"/>
        <v>F</v>
      </c>
      <c r="I51" s="30">
        <v>-2</v>
      </c>
      <c r="J51" s="30">
        <f t="shared" si="0"/>
        <v>5</v>
      </c>
      <c r="K51" s="30"/>
      <c r="L51" s="3"/>
      <c r="M51" s="3"/>
      <c r="N51" s="3"/>
      <c r="O51" s="3"/>
      <c r="P51" s="3"/>
      <c r="Q51" s="3">
        <v>3</v>
      </c>
      <c r="R51" s="31">
        <v>2</v>
      </c>
      <c r="S51" s="3"/>
      <c r="T51" s="3"/>
      <c r="U51" s="3"/>
      <c r="V51" s="3"/>
      <c r="W51" s="3"/>
      <c r="X51" s="4">
        <v>3</v>
      </c>
      <c r="Y51" s="21">
        <v>2</v>
      </c>
      <c r="Z51" s="3"/>
      <c r="AA51" s="3"/>
      <c r="AB51" s="3"/>
      <c r="AC51" s="3"/>
      <c r="AD51" s="3"/>
      <c r="AE51" s="40">
        <v>3</v>
      </c>
      <c r="AF51" s="41">
        <v>2</v>
      </c>
      <c r="AG51" s="3"/>
      <c r="AH51" s="3"/>
      <c r="AI51" s="3"/>
      <c r="AJ51" s="3"/>
      <c r="AK51" s="3"/>
      <c r="AL51" s="37">
        <v>3</v>
      </c>
      <c r="AM51" s="38">
        <v>2</v>
      </c>
      <c r="AN51" s="3"/>
      <c r="AO51" s="3"/>
      <c r="AP51" s="3"/>
      <c r="AQ51" s="3"/>
      <c r="AR51" s="3"/>
      <c r="AS51" s="3"/>
      <c r="AT51" s="31"/>
    </row>
    <row r="52" spans="2:46" x14ac:dyDescent="0.25">
      <c r="B52" s="5">
        <v>8</v>
      </c>
      <c r="C52" s="5">
        <v>5</v>
      </c>
      <c r="D52" s="5" t="s">
        <v>0</v>
      </c>
      <c r="E52" s="49" t="s">
        <v>22</v>
      </c>
      <c r="F52" s="5" t="s">
        <v>19</v>
      </c>
      <c r="G52" s="5">
        <f t="shared" si="7"/>
        <v>1</v>
      </c>
      <c r="H52" s="5" t="s">
        <v>7</v>
      </c>
      <c r="I52" s="5">
        <v>0</v>
      </c>
      <c r="J52" s="7">
        <f>I52+$J$4</f>
        <v>7</v>
      </c>
      <c r="K52" s="7"/>
      <c r="L52" s="3"/>
      <c r="M52" s="3"/>
      <c r="N52" s="3"/>
      <c r="O52" s="3"/>
      <c r="P52" s="3"/>
      <c r="Q52" s="3"/>
      <c r="R52" s="31"/>
      <c r="S52" s="3"/>
      <c r="T52" s="3"/>
      <c r="U52" s="3"/>
      <c r="V52" s="3"/>
      <c r="W52" s="3"/>
      <c r="X52" s="3"/>
      <c r="Y52" s="31"/>
      <c r="Z52" s="3"/>
      <c r="AA52" s="3"/>
      <c r="AB52" s="3"/>
      <c r="AC52" s="3"/>
      <c r="AD52" s="3"/>
      <c r="AE52" s="3"/>
      <c r="AF52" s="31"/>
      <c r="AG52" s="3"/>
      <c r="AH52" s="3"/>
      <c r="AI52" s="3"/>
      <c r="AJ52" s="3"/>
      <c r="AK52" s="3"/>
      <c r="AL52" s="3"/>
      <c r="AM52" s="31"/>
      <c r="AN52" s="3"/>
      <c r="AO52" s="3"/>
      <c r="AP52" s="3"/>
      <c r="AQ52" s="3"/>
      <c r="AR52" s="3"/>
      <c r="AS52" s="5"/>
      <c r="AT52" s="64"/>
    </row>
    <row r="53" spans="2:46" s="45" customFormat="1" x14ac:dyDescent="0.25">
      <c r="B53" s="3">
        <f>B51</f>
        <v>8</v>
      </c>
      <c r="C53" s="3">
        <v>6</v>
      </c>
      <c r="D53" s="5"/>
      <c r="E53" s="34" t="s">
        <v>33</v>
      </c>
      <c r="F53" s="5" t="s">
        <v>19</v>
      </c>
      <c r="G53" s="5">
        <f t="shared" si="7"/>
        <v>1</v>
      </c>
      <c r="H53" s="3" t="str">
        <f>H51</f>
        <v>F</v>
      </c>
      <c r="I53" s="32"/>
      <c r="J53" s="32"/>
      <c r="K53" s="30"/>
      <c r="L53" s="3">
        <v>8</v>
      </c>
      <c r="M53" s="3">
        <v>7</v>
      </c>
      <c r="N53" s="3">
        <v>6</v>
      </c>
      <c r="O53" s="3">
        <v>5</v>
      </c>
      <c r="P53" s="3">
        <v>4</v>
      </c>
      <c r="Q53" s="56">
        <v>3</v>
      </c>
      <c r="R53" s="57">
        <v>2</v>
      </c>
      <c r="S53" s="4">
        <v>8</v>
      </c>
      <c r="T53" s="4">
        <v>7</v>
      </c>
      <c r="U53" s="4">
        <v>6</v>
      </c>
      <c r="V53" s="4">
        <v>5</v>
      </c>
      <c r="W53" s="4">
        <v>4</v>
      </c>
      <c r="X53" s="4">
        <v>3</v>
      </c>
      <c r="Y53" s="21">
        <v>2</v>
      </c>
      <c r="Z53" s="40">
        <v>8</v>
      </c>
      <c r="AA53" s="40">
        <v>7</v>
      </c>
      <c r="AB53" s="40">
        <v>6</v>
      </c>
      <c r="AC53" s="40">
        <v>5</v>
      </c>
      <c r="AD53" s="40">
        <v>4</v>
      </c>
      <c r="AE53" s="40">
        <v>3</v>
      </c>
      <c r="AF53" s="41">
        <v>2</v>
      </c>
      <c r="AG53" s="37">
        <v>8</v>
      </c>
      <c r="AH53" s="37">
        <v>7</v>
      </c>
      <c r="AI53" s="37">
        <v>6</v>
      </c>
      <c r="AJ53" s="37">
        <v>5</v>
      </c>
      <c r="AK53" s="37">
        <v>4</v>
      </c>
      <c r="AL53" s="37">
        <v>3</v>
      </c>
      <c r="AM53" s="38">
        <v>2</v>
      </c>
      <c r="AN53" s="3">
        <v>8</v>
      </c>
      <c r="AO53" s="3">
        <v>7</v>
      </c>
      <c r="AP53" s="3">
        <v>6</v>
      </c>
      <c r="AQ53" s="3">
        <v>5</v>
      </c>
      <c r="AR53" s="3">
        <v>4</v>
      </c>
      <c r="AS53" s="3">
        <v>3</v>
      </c>
      <c r="AT53" s="31">
        <v>2</v>
      </c>
    </row>
    <row r="54" spans="2:46" x14ac:dyDescent="0.25">
      <c r="B54" s="5">
        <v>9</v>
      </c>
      <c r="C54" s="5">
        <v>1</v>
      </c>
      <c r="D54" s="5" t="s">
        <v>35</v>
      </c>
      <c r="E54" s="49" t="s">
        <v>24</v>
      </c>
      <c r="F54" s="5" t="s">
        <v>19</v>
      </c>
      <c r="G54" s="5">
        <f t="shared" si="7"/>
        <v>1</v>
      </c>
      <c r="H54" s="5" t="s">
        <v>12</v>
      </c>
      <c r="I54" s="5">
        <v>2</v>
      </c>
      <c r="J54" s="7">
        <f t="shared" si="0"/>
        <v>9</v>
      </c>
      <c r="K54" s="7"/>
      <c r="L54" s="3"/>
      <c r="M54" s="3"/>
      <c r="N54" s="3"/>
      <c r="O54" s="3"/>
      <c r="P54" s="3"/>
      <c r="Q54" s="3"/>
      <c r="R54" s="31"/>
      <c r="S54" s="5"/>
      <c r="T54" s="4">
        <v>3</v>
      </c>
      <c r="U54" s="3"/>
      <c r="V54" s="3"/>
      <c r="W54" s="3"/>
      <c r="X54" s="3"/>
      <c r="Y54" s="31"/>
      <c r="Z54" s="5"/>
      <c r="AA54" s="40">
        <v>3</v>
      </c>
      <c r="AB54" s="3"/>
      <c r="AC54" s="3"/>
      <c r="AD54" s="3"/>
      <c r="AE54" s="3"/>
      <c r="AF54" s="31"/>
      <c r="AG54" s="5"/>
      <c r="AH54" s="37">
        <v>3</v>
      </c>
      <c r="AI54" s="3"/>
      <c r="AJ54" s="3"/>
      <c r="AK54" s="3"/>
      <c r="AL54" s="3"/>
      <c r="AM54" s="31"/>
      <c r="AN54" s="5"/>
      <c r="AO54" s="3">
        <v>3</v>
      </c>
      <c r="AP54" s="3"/>
      <c r="AQ54" s="3"/>
      <c r="AR54" s="3"/>
      <c r="AS54" s="5"/>
      <c r="AT54" s="64"/>
    </row>
    <row r="55" spans="2:46" x14ac:dyDescent="0.25">
      <c r="B55" s="5">
        <v>9</v>
      </c>
      <c r="C55" s="5">
        <v>2</v>
      </c>
      <c r="D55" s="5" t="s">
        <v>21</v>
      </c>
      <c r="E55" s="49" t="s">
        <v>21</v>
      </c>
      <c r="F55" s="5" t="s">
        <v>19</v>
      </c>
      <c r="G55" s="5">
        <f t="shared" si="7"/>
        <v>1</v>
      </c>
      <c r="H55" s="5" t="s">
        <v>12</v>
      </c>
      <c r="I55" s="5">
        <v>3</v>
      </c>
      <c r="J55" s="7">
        <f t="shared" si="0"/>
        <v>10</v>
      </c>
      <c r="K55" s="7"/>
      <c r="L55" s="3"/>
      <c r="M55" s="3"/>
      <c r="N55" s="3"/>
      <c r="O55" s="3"/>
      <c r="P55" s="3"/>
      <c r="Q55" s="3"/>
      <c r="R55" s="31"/>
      <c r="S55" s="5"/>
      <c r="T55" s="3"/>
      <c r="U55" s="4">
        <v>2</v>
      </c>
      <c r="V55" s="3"/>
      <c r="W55" s="3"/>
      <c r="X55" s="3"/>
      <c r="Y55" s="31"/>
      <c r="Z55" s="5"/>
      <c r="AA55" s="3"/>
      <c r="AB55" s="40">
        <v>2</v>
      </c>
      <c r="AC55" s="3"/>
      <c r="AD55" s="3"/>
      <c r="AE55" s="3"/>
      <c r="AF55" s="31"/>
      <c r="AG55" s="5"/>
      <c r="AH55" s="3"/>
      <c r="AI55" s="37">
        <v>2</v>
      </c>
      <c r="AJ55" s="3"/>
      <c r="AK55" s="3"/>
      <c r="AL55" s="3"/>
      <c r="AM55" s="31"/>
      <c r="AN55" s="5"/>
      <c r="AO55" s="3"/>
      <c r="AP55" s="3">
        <v>2</v>
      </c>
      <c r="AQ55" s="3"/>
      <c r="AR55" s="3"/>
      <c r="AS55" s="5"/>
      <c r="AT55" s="64"/>
    </row>
    <row r="56" spans="2:46" x14ac:dyDescent="0.25">
      <c r="B56" s="5">
        <v>9</v>
      </c>
      <c r="C56" s="5">
        <v>3</v>
      </c>
      <c r="D56" s="5" t="s">
        <v>0</v>
      </c>
      <c r="E56" s="34" t="s">
        <v>0</v>
      </c>
      <c r="F56" s="5" t="s">
        <v>19</v>
      </c>
      <c r="G56" s="3">
        <v>1</v>
      </c>
      <c r="H56" s="5" t="s">
        <v>12</v>
      </c>
      <c r="I56" s="30">
        <v>5</v>
      </c>
      <c r="J56" s="30">
        <f t="shared" si="0"/>
        <v>12</v>
      </c>
      <c r="K56" s="7"/>
      <c r="L56" s="80"/>
      <c r="M56" s="80"/>
      <c r="N56" s="80"/>
      <c r="O56" s="80"/>
      <c r="P56" s="80"/>
      <c r="Q56" s="80"/>
      <c r="R56" s="81"/>
      <c r="S56" s="80"/>
      <c r="T56" s="80"/>
      <c r="U56" s="80"/>
      <c r="V56" s="5"/>
      <c r="W56" s="4">
        <v>8</v>
      </c>
      <c r="X56" s="4">
        <v>7</v>
      </c>
      <c r="Y56" s="21">
        <v>6</v>
      </c>
      <c r="Z56" s="4">
        <v>4</v>
      </c>
      <c r="AA56" s="80"/>
      <c r="AB56" s="80"/>
      <c r="AC56" s="5"/>
      <c r="AD56" s="40">
        <v>8</v>
      </c>
      <c r="AE56" s="40">
        <v>7</v>
      </c>
      <c r="AF56" s="41">
        <v>6</v>
      </c>
      <c r="AG56" s="40">
        <v>4</v>
      </c>
      <c r="AH56" s="80"/>
      <c r="AI56" s="80"/>
      <c r="AJ56" s="5"/>
      <c r="AK56" s="37">
        <v>8</v>
      </c>
      <c r="AL56" s="37">
        <v>7</v>
      </c>
      <c r="AM56" s="38">
        <v>6</v>
      </c>
      <c r="AN56" s="37">
        <v>4</v>
      </c>
      <c r="AO56" s="80"/>
      <c r="AP56" s="80"/>
      <c r="AQ56" s="80"/>
      <c r="AR56" s="80"/>
      <c r="AS56" s="80"/>
      <c r="AT56" s="81"/>
    </row>
    <row r="57" spans="2:46" s="45" customFormat="1" x14ac:dyDescent="0.25">
      <c r="B57" s="3">
        <f>B56</f>
        <v>9</v>
      </c>
      <c r="C57" s="3">
        <v>4</v>
      </c>
      <c r="D57" s="5" t="s">
        <v>0</v>
      </c>
      <c r="E57" s="34" t="s">
        <v>32</v>
      </c>
      <c r="F57" s="5" t="s">
        <v>19</v>
      </c>
      <c r="G57" s="5">
        <f t="shared" ref="G57:H61" si="8">G56</f>
        <v>1</v>
      </c>
      <c r="H57" s="3" t="str">
        <f t="shared" si="8"/>
        <v>K</v>
      </c>
      <c r="I57" s="30">
        <v>2</v>
      </c>
      <c r="J57" s="30">
        <f t="shared" si="0"/>
        <v>9</v>
      </c>
      <c r="K57" s="30"/>
      <c r="L57" s="3"/>
      <c r="M57" s="3"/>
      <c r="N57" s="3"/>
      <c r="O57" s="3"/>
      <c r="P57" s="3"/>
      <c r="Q57" s="3"/>
      <c r="R57" s="31"/>
      <c r="S57" s="34"/>
      <c r="T57" s="3">
        <v>3</v>
      </c>
      <c r="U57" s="3">
        <v>2</v>
      </c>
      <c r="V57" s="3"/>
      <c r="W57" s="3"/>
      <c r="X57" s="3"/>
      <c r="Y57" s="31"/>
      <c r="Z57" s="34"/>
      <c r="AA57" s="4">
        <v>3</v>
      </c>
      <c r="AB57" s="4">
        <v>2</v>
      </c>
      <c r="AC57" s="3"/>
      <c r="AD57" s="3"/>
      <c r="AE57" s="3"/>
      <c r="AF57" s="31"/>
      <c r="AG57" s="34"/>
      <c r="AH57" s="40">
        <v>3</v>
      </c>
      <c r="AI57" s="40">
        <v>2</v>
      </c>
      <c r="AJ57" s="3"/>
      <c r="AK57" s="3"/>
      <c r="AL57" s="3"/>
      <c r="AM57" s="31"/>
      <c r="AN57" s="34"/>
      <c r="AO57" s="37">
        <v>3</v>
      </c>
      <c r="AP57" s="37">
        <v>2</v>
      </c>
      <c r="AQ57" s="3"/>
      <c r="AR57" s="3"/>
      <c r="AS57" s="3"/>
      <c r="AT57" s="31"/>
    </row>
    <row r="58" spans="2:46" x14ac:dyDescent="0.25">
      <c r="B58" s="5">
        <v>9</v>
      </c>
      <c r="C58" s="5">
        <v>5</v>
      </c>
      <c r="D58" s="5" t="s">
        <v>0</v>
      </c>
      <c r="E58" s="49" t="s">
        <v>22</v>
      </c>
      <c r="F58" s="5" t="s">
        <v>19</v>
      </c>
      <c r="G58" s="5">
        <f t="shared" si="8"/>
        <v>1</v>
      </c>
      <c r="H58" s="5" t="s">
        <v>12</v>
      </c>
      <c r="I58" s="5">
        <v>4</v>
      </c>
      <c r="J58" s="7">
        <f>I58+$J$4</f>
        <v>11</v>
      </c>
      <c r="K58" s="7"/>
      <c r="L58" s="3"/>
      <c r="M58" s="3"/>
      <c r="N58" s="3"/>
      <c r="O58" s="3"/>
      <c r="P58" s="3"/>
      <c r="Q58" s="3"/>
      <c r="R58" s="31"/>
      <c r="S58" s="5"/>
      <c r="T58" s="3"/>
      <c r="U58" s="3"/>
      <c r="V58" s="4">
        <v>1</v>
      </c>
      <c r="W58" s="3"/>
      <c r="X58" s="3"/>
      <c r="Y58" s="31"/>
      <c r="Z58" s="5"/>
      <c r="AA58" s="3"/>
      <c r="AB58" s="3"/>
      <c r="AC58" s="40">
        <v>1</v>
      </c>
      <c r="AD58" s="3"/>
      <c r="AE58" s="3"/>
      <c r="AF58" s="31"/>
      <c r="AG58" s="5"/>
      <c r="AH58" s="3"/>
      <c r="AI58" s="3"/>
      <c r="AJ58" s="37">
        <v>1</v>
      </c>
      <c r="AK58" s="3"/>
      <c r="AL58" s="3"/>
      <c r="AM58" s="31"/>
      <c r="AN58" s="5"/>
      <c r="AO58" s="3"/>
      <c r="AP58" s="3"/>
      <c r="AQ58" s="3">
        <v>1</v>
      </c>
      <c r="AR58" s="3"/>
      <c r="AS58" s="5"/>
      <c r="AT58" s="64"/>
    </row>
    <row r="59" spans="2:46" s="45" customFormat="1" x14ac:dyDescent="0.25">
      <c r="B59" s="3">
        <f>B57</f>
        <v>9</v>
      </c>
      <c r="C59" s="3">
        <v>6</v>
      </c>
      <c r="D59" s="5"/>
      <c r="E59" s="34" t="s">
        <v>33</v>
      </c>
      <c r="F59" s="5" t="s">
        <v>19</v>
      </c>
      <c r="G59" s="5">
        <f t="shared" si="8"/>
        <v>1</v>
      </c>
      <c r="H59" s="3" t="str">
        <f>H57</f>
        <v>K</v>
      </c>
      <c r="I59" s="32"/>
      <c r="J59" s="32"/>
      <c r="K59" s="30"/>
      <c r="L59" s="3">
        <v>4</v>
      </c>
      <c r="M59" s="3">
        <v>3</v>
      </c>
      <c r="N59" s="3">
        <v>2</v>
      </c>
      <c r="O59" s="3">
        <v>1</v>
      </c>
      <c r="P59" s="3">
        <v>8</v>
      </c>
      <c r="Q59" s="3">
        <v>7</v>
      </c>
      <c r="R59" s="31">
        <v>6</v>
      </c>
      <c r="S59" s="3">
        <v>4</v>
      </c>
      <c r="T59" s="56">
        <v>3</v>
      </c>
      <c r="U59" s="46">
        <v>2</v>
      </c>
      <c r="V59" s="6">
        <v>1</v>
      </c>
      <c r="W59" s="4">
        <v>8</v>
      </c>
      <c r="X59" s="4">
        <v>7</v>
      </c>
      <c r="Y59" s="21">
        <v>6</v>
      </c>
      <c r="Z59" s="4">
        <v>4</v>
      </c>
      <c r="AA59" s="4">
        <v>3</v>
      </c>
      <c r="AB59" s="4">
        <v>2</v>
      </c>
      <c r="AC59" s="4">
        <v>1</v>
      </c>
      <c r="AD59" s="40">
        <v>8</v>
      </c>
      <c r="AE59" s="40">
        <v>7</v>
      </c>
      <c r="AF59" s="41">
        <v>6</v>
      </c>
      <c r="AG59" s="40">
        <v>4</v>
      </c>
      <c r="AH59" s="40">
        <v>3</v>
      </c>
      <c r="AI59" s="40">
        <v>2</v>
      </c>
      <c r="AJ59" s="40">
        <v>1</v>
      </c>
      <c r="AK59" s="37">
        <v>8</v>
      </c>
      <c r="AL59" s="37">
        <v>7</v>
      </c>
      <c r="AM59" s="38">
        <v>6</v>
      </c>
      <c r="AN59" s="37">
        <v>4</v>
      </c>
      <c r="AO59" s="37">
        <v>3</v>
      </c>
      <c r="AP59" s="37">
        <v>2</v>
      </c>
      <c r="AQ59" s="37">
        <v>1</v>
      </c>
      <c r="AR59" s="3">
        <v>8</v>
      </c>
      <c r="AS59" s="3">
        <v>7</v>
      </c>
      <c r="AT59" s="31">
        <v>6</v>
      </c>
    </row>
    <row r="60" spans="2:46" x14ac:dyDescent="0.25">
      <c r="B60" s="5">
        <v>10</v>
      </c>
      <c r="C60" s="5">
        <v>1</v>
      </c>
      <c r="D60" s="5" t="s">
        <v>35</v>
      </c>
      <c r="E60" s="49" t="s">
        <v>24</v>
      </c>
      <c r="F60" s="5" t="s">
        <v>19</v>
      </c>
      <c r="G60" s="5">
        <f t="shared" si="8"/>
        <v>1</v>
      </c>
      <c r="H60" s="5" t="s">
        <v>8</v>
      </c>
      <c r="I60" s="5">
        <v>0</v>
      </c>
      <c r="J60" s="7">
        <f t="shared" si="0"/>
        <v>7</v>
      </c>
      <c r="K60" s="7"/>
      <c r="L60" s="3"/>
      <c r="M60" s="3"/>
      <c r="N60" s="3"/>
      <c r="O60" s="3"/>
      <c r="P60" s="3"/>
      <c r="Q60" s="3"/>
      <c r="R60" s="31"/>
      <c r="S60" s="3"/>
      <c r="T60" s="3"/>
      <c r="U60" s="3"/>
      <c r="V60" s="3"/>
      <c r="W60" s="3"/>
      <c r="X60" s="3"/>
      <c r="Y60" s="31"/>
      <c r="Z60" s="3"/>
      <c r="AA60" s="3"/>
      <c r="AB60" s="3"/>
      <c r="AC60" s="3"/>
      <c r="AD60" s="3"/>
      <c r="AE60" s="3"/>
      <c r="AF60" s="31"/>
      <c r="AG60" s="3"/>
      <c r="AH60" s="3"/>
      <c r="AI60" s="3"/>
      <c r="AJ60" s="3"/>
      <c r="AK60" s="3"/>
      <c r="AL60" s="3"/>
      <c r="AM60" s="31"/>
      <c r="AN60" s="3"/>
      <c r="AO60" s="3"/>
      <c r="AP60" s="3"/>
      <c r="AQ60" s="3"/>
      <c r="AR60" s="3"/>
      <c r="AS60" s="5"/>
      <c r="AT60" s="64"/>
    </row>
    <row r="61" spans="2:46" x14ac:dyDescent="0.25">
      <c r="B61" s="5">
        <v>10</v>
      </c>
      <c r="C61" s="5">
        <v>2</v>
      </c>
      <c r="D61" s="5" t="s">
        <v>21</v>
      </c>
      <c r="E61" s="49" t="s">
        <v>21</v>
      </c>
      <c r="F61" s="5" t="s">
        <v>19</v>
      </c>
      <c r="G61" s="5">
        <f t="shared" si="8"/>
        <v>1</v>
      </c>
      <c r="H61" s="5" t="s">
        <v>8</v>
      </c>
      <c r="I61" s="5">
        <v>1</v>
      </c>
      <c r="J61" s="7">
        <f t="shared" si="0"/>
        <v>8</v>
      </c>
      <c r="K61" s="7"/>
      <c r="L61" s="3"/>
      <c r="M61" s="3"/>
      <c r="N61" s="3"/>
      <c r="O61" s="3"/>
      <c r="P61" s="3"/>
      <c r="Q61" s="3"/>
      <c r="R61" s="31"/>
      <c r="S61" s="4">
        <v>2</v>
      </c>
      <c r="T61" s="3"/>
      <c r="U61" s="3"/>
      <c r="V61" s="3"/>
      <c r="W61" s="3"/>
      <c r="X61" s="3"/>
      <c r="Y61" s="31"/>
      <c r="Z61" s="40">
        <v>2</v>
      </c>
      <c r="AA61" s="3"/>
      <c r="AB61" s="3"/>
      <c r="AC61" s="3"/>
      <c r="AD61" s="3"/>
      <c r="AE61" s="3"/>
      <c r="AF61" s="31"/>
      <c r="AG61" s="37">
        <v>2</v>
      </c>
      <c r="AH61" s="3"/>
      <c r="AI61" s="3"/>
      <c r="AJ61" s="3"/>
      <c r="AK61" s="3"/>
      <c r="AL61" s="3"/>
      <c r="AM61" s="31"/>
      <c r="AN61" s="3">
        <v>2</v>
      </c>
      <c r="AO61" s="3"/>
      <c r="AP61" s="3"/>
      <c r="AQ61" s="3"/>
      <c r="AR61" s="3"/>
      <c r="AS61" s="5"/>
      <c r="AT61" s="64"/>
    </row>
    <row r="62" spans="2:46" x14ac:dyDescent="0.25">
      <c r="B62" s="5">
        <v>10</v>
      </c>
      <c r="C62" s="5">
        <v>3</v>
      </c>
      <c r="D62" s="5" t="s">
        <v>0</v>
      </c>
      <c r="E62" s="34" t="s">
        <v>0</v>
      </c>
      <c r="F62" s="5" t="s">
        <v>19</v>
      </c>
      <c r="G62" s="3">
        <v>1</v>
      </c>
      <c r="H62" s="5" t="s">
        <v>8</v>
      </c>
      <c r="I62" s="30">
        <v>3</v>
      </c>
      <c r="J62" s="30">
        <f t="shared" si="0"/>
        <v>10</v>
      </c>
      <c r="K62" s="7"/>
      <c r="L62" s="80"/>
      <c r="M62" s="80"/>
      <c r="N62" s="80"/>
      <c r="O62" s="80"/>
      <c r="P62" s="80"/>
      <c r="Q62" s="80"/>
      <c r="R62" s="81"/>
      <c r="S62" s="80"/>
      <c r="T62" s="3"/>
      <c r="U62" s="4">
        <v>8</v>
      </c>
      <c r="V62" s="4">
        <v>7</v>
      </c>
      <c r="W62" s="4">
        <v>6</v>
      </c>
      <c r="X62" s="4">
        <v>5</v>
      </c>
      <c r="Y62" s="21">
        <v>4</v>
      </c>
      <c r="Z62" s="80"/>
      <c r="AA62" s="3"/>
      <c r="AB62" s="40">
        <v>8</v>
      </c>
      <c r="AC62" s="40">
        <v>7</v>
      </c>
      <c r="AD62" s="40">
        <v>6</v>
      </c>
      <c r="AE62" s="40">
        <v>5</v>
      </c>
      <c r="AF62" s="41">
        <v>4</v>
      </c>
      <c r="AG62" s="80"/>
      <c r="AH62" s="3"/>
      <c r="AI62" s="37">
        <v>8</v>
      </c>
      <c r="AJ62" s="37">
        <v>7</v>
      </c>
      <c r="AK62" s="37">
        <v>6</v>
      </c>
      <c r="AL62" s="37">
        <v>5</v>
      </c>
      <c r="AM62" s="38">
        <v>4</v>
      </c>
      <c r="AN62" s="80"/>
      <c r="AO62" s="80"/>
      <c r="AP62" s="80"/>
      <c r="AQ62" s="80"/>
      <c r="AR62" s="80"/>
      <c r="AS62" s="80"/>
      <c r="AT62" s="81"/>
    </row>
    <row r="63" spans="2:46" s="45" customFormat="1" x14ac:dyDescent="0.25">
      <c r="B63" s="3">
        <f>B62</f>
        <v>10</v>
      </c>
      <c r="C63" s="3">
        <v>4</v>
      </c>
      <c r="D63" s="5" t="s">
        <v>0</v>
      </c>
      <c r="E63" s="34" t="s">
        <v>32</v>
      </c>
      <c r="F63" s="5" t="s">
        <v>19</v>
      </c>
      <c r="G63" s="5">
        <f t="shared" ref="G63:H67" si="9">G62</f>
        <v>1</v>
      </c>
      <c r="H63" s="3" t="str">
        <f t="shared" si="9"/>
        <v>G</v>
      </c>
      <c r="I63" s="30">
        <v>0</v>
      </c>
      <c r="J63" s="30">
        <f t="shared" si="0"/>
        <v>7</v>
      </c>
      <c r="K63" s="30"/>
      <c r="L63" s="3"/>
      <c r="M63" s="3"/>
      <c r="N63" s="3"/>
      <c r="O63" s="3"/>
      <c r="P63" s="3"/>
      <c r="Q63" s="3"/>
      <c r="R63" s="31"/>
      <c r="S63" s="3">
        <v>2</v>
      </c>
      <c r="T63" s="3"/>
      <c r="U63" s="3"/>
      <c r="V63" s="3"/>
      <c r="W63" s="3"/>
      <c r="X63" s="3"/>
      <c r="Y63" s="31"/>
      <c r="Z63" s="4">
        <v>2</v>
      </c>
      <c r="AA63" s="3"/>
      <c r="AB63" s="3"/>
      <c r="AC63" s="3"/>
      <c r="AD63" s="3"/>
      <c r="AE63" s="3"/>
      <c r="AF63" s="31"/>
      <c r="AG63" s="40">
        <v>2</v>
      </c>
      <c r="AH63" s="3"/>
      <c r="AI63" s="3"/>
      <c r="AJ63" s="3"/>
      <c r="AK63" s="3"/>
      <c r="AL63" s="3"/>
      <c r="AM63" s="31"/>
      <c r="AN63" s="37">
        <v>2</v>
      </c>
      <c r="AO63" s="3"/>
      <c r="AP63" s="3"/>
      <c r="AQ63" s="3"/>
      <c r="AR63" s="3"/>
      <c r="AS63" s="3"/>
      <c r="AT63" s="31"/>
    </row>
    <row r="64" spans="2:46" x14ac:dyDescent="0.25">
      <c r="B64" s="5">
        <v>10</v>
      </c>
      <c r="C64" s="5">
        <v>5</v>
      </c>
      <c r="D64" s="5" t="s">
        <v>0</v>
      </c>
      <c r="E64" s="49" t="s">
        <v>22</v>
      </c>
      <c r="F64" s="5" t="s">
        <v>19</v>
      </c>
      <c r="G64" s="5">
        <f t="shared" si="9"/>
        <v>1</v>
      </c>
      <c r="H64" s="5" t="s">
        <v>8</v>
      </c>
      <c r="I64" s="5">
        <v>2</v>
      </c>
      <c r="J64" s="7">
        <f>I64+$J$4</f>
        <v>9</v>
      </c>
      <c r="K64" s="7"/>
      <c r="L64" s="3"/>
      <c r="M64" s="3"/>
      <c r="N64" s="3"/>
      <c r="O64" s="3"/>
      <c r="P64" s="3"/>
      <c r="Q64" s="3"/>
      <c r="R64" s="31"/>
      <c r="S64" s="5"/>
      <c r="T64" s="4">
        <v>1</v>
      </c>
      <c r="U64" s="3"/>
      <c r="V64" s="3"/>
      <c r="W64" s="3"/>
      <c r="X64" s="3"/>
      <c r="Y64" s="31"/>
      <c r="Z64" s="3"/>
      <c r="AA64" s="40">
        <v>1</v>
      </c>
      <c r="AB64" s="3"/>
      <c r="AC64" s="3"/>
      <c r="AD64" s="3"/>
      <c r="AE64" s="3"/>
      <c r="AF64" s="31"/>
      <c r="AG64" s="3"/>
      <c r="AH64" s="37">
        <v>1</v>
      </c>
      <c r="AI64" s="3"/>
      <c r="AJ64" s="3"/>
      <c r="AK64" s="3"/>
      <c r="AL64" s="3"/>
      <c r="AM64" s="31"/>
      <c r="AN64" s="3"/>
      <c r="AO64" s="3">
        <v>1</v>
      </c>
      <c r="AP64" s="3"/>
      <c r="AQ64" s="3"/>
      <c r="AR64" s="3"/>
      <c r="AS64" s="5"/>
      <c r="AT64" s="64"/>
    </row>
    <row r="65" spans="2:46" s="45" customFormat="1" x14ac:dyDescent="0.25">
      <c r="B65" s="3">
        <f>B63</f>
        <v>10</v>
      </c>
      <c r="C65" s="3">
        <v>6</v>
      </c>
      <c r="D65" s="5"/>
      <c r="E65" s="34" t="s">
        <v>33</v>
      </c>
      <c r="F65" s="5" t="s">
        <v>19</v>
      </c>
      <c r="G65" s="5">
        <f t="shared" si="9"/>
        <v>1</v>
      </c>
      <c r="H65" s="3" t="str">
        <f>H63</f>
        <v>G</v>
      </c>
      <c r="I65" s="32"/>
      <c r="J65" s="32"/>
      <c r="K65" s="30"/>
      <c r="L65" s="3">
        <v>2</v>
      </c>
      <c r="M65" s="3">
        <v>1</v>
      </c>
      <c r="N65" s="3">
        <v>8</v>
      </c>
      <c r="O65" s="3">
        <v>7</v>
      </c>
      <c r="P65" s="3">
        <v>6</v>
      </c>
      <c r="Q65" s="3">
        <v>5</v>
      </c>
      <c r="R65" s="31">
        <v>4</v>
      </c>
      <c r="S65" s="46">
        <v>2</v>
      </c>
      <c r="T65" s="6">
        <v>1</v>
      </c>
      <c r="U65" s="4">
        <v>8</v>
      </c>
      <c r="V65" s="4">
        <v>7</v>
      </c>
      <c r="W65" s="4">
        <v>6</v>
      </c>
      <c r="X65" s="4">
        <v>5</v>
      </c>
      <c r="Y65" s="21">
        <v>4</v>
      </c>
      <c r="Z65" s="4">
        <v>2</v>
      </c>
      <c r="AA65" s="4">
        <v>1</v>
      </c>
      <c r="AB65" s="40">
        <v>8</v>
      </c>
      <c r="AC65" s="40">
        <v>7</v>
      </c>
      <c r="AD65" s="40">
        <v>6</v>
      </c>
      <c r="AE65" s="40">
        <v>5</v>
      </c>
      <c r="AF65" s="41">
        <v>4</v>
      </c>
      <c r="AG65" s="40">
        <v>2</v>
      </c>
      <c r="AH65" s="40">
        <v>1</v>
      </c>
      <c r="AI65" s="37">
        <v>8</v>
      </c>
      <c r="AJ65" s="37">
        <v>7</v>
      </c>
      <c r="AK65" s="37">
        <v>6</v>
      </c>
      <c r="AL65" s="37">
        <v>5</v>
      </c>
      <c r="AM65" s="38">
        <v>4</v>
      </c>
      <c r="AN65" s="37">
        <v>2</v>
      </c>
      <c r="AO65" s="37">
        <v>1</v>
      </c>
      <c r="AP65" s="3">
        <v>8</v>
      </c>
      <c r="AQ65" s="3">
        <v>7</v>
      </c>
      <c r="AR65" s="3">
        <v>6</v>
      </c>
      <c r="AS65" s="3">
        <v>5</v>
      </c>
      <c r="AT65" s="31">
        <v>4</v>
      </c>
    </row>
    <row r="66" spans="2:46" x14ac:dyDescent="0.25">
      <c r="B66" s="5">
        <v>11</v>
      </c>
      <c r="C66" s="5">
        <v>1</v>
      </c>
      <c r="D66" s="5" t="s">
        <v>35</v>
      </c>
      <c r="E66" s="49" t="s">
        <v>24</v>
      </c>
      <c r="F66" s="5" t="s">
        <v>19</v>
      </c>
      <c r="G66" s="5">
        <f t="shared" si="9"/>
        <v>1</v>
      </c>
      <c r="H66" s="5" t="s">
        <v>9</v>
      </c>
      <c r="I66" s="5">
        <v>-4</v>
      </c>
      <c r="J66" s="7">
        <f t="shared" si="0"/>
        <v>3</v>
      </c>
      <c r="K66" s="7" t="s">
        <v>28</v>
      </c>
      <c r="L66" s="3"/>
      <c r="M66" s="3"/>
      <c r="N66" s="3"/>
      <c r="O66" s="4">
        <v>4</v>
      </c>
      <c r="P66" s="4">
        <v>3</v>
      </c>
      <c r="Q66" s="3"/>
      <c r="R66" s="31"/>
      <c r="S66" s="3"/>
      <c r="T66" s="3"/>
      <c r="U66" s="3"/>
      <c r="V66" s="40">
        <v>4</v>
      </c>
      <c r="W66" s="40">
        <v>3</v>
      </c>
      <c r="X66" s="3"/>
      <c r="Y66" s="31"/>
      <c r="Z66" s="3"/>
      <c r="AA66" s="3"/>
      <c r="AB66" s="3"/>
      <c r="AC66" s="37">
        <v>4</v>
      </c>
      <c r="AD66" s="37">
        <v>3</v>
      </c>
      <c r="AE66" s="3"/>
      <c r="AF66" s="31"/>
      <c r="AG66" s="3"/>
      <c r="AH66" s="3"/>
      <c r="AI66" s="3"/>
      <c r="AJ66" s="3">
        <v>4</v>
      </c>
      <c r="AK66" s="3">
        <v>3</v>
      </c>
      <c r="AL66" s="3"/>
      <c r="AM66" s="31"/>
      <c r="AN66" s="3"/>
      <c r="AO66" s="3"/>
      <c r="AP66" s="3"/>
      <c r="AQ66" s="3"/>
      <c r="AR66" s="3"/>
      <c r="AS66" s="5"/>
      <c r="AT66" s="64"/>
    </row>
    <row r="67" spans="2:46" x14ac:dyDescent="0.25">
      <c r="B67" s="5">
        <v>11</v>
      </c>
      <c r="C67" s="5">
        <v>2</v>
      </c>
      <c r="D67" s="5" t="s">
        <v>21</v>
      </c>
      <c r="E67" s="49" t="s">
        <v>21</v>
      </c>
      <c r="F67" s="5" t="s">
        <v>19</v>
      </c>
      <c r="G67" s="5">
        <f t="shared" si="9"/>
        <v>1</v>
      </c>
      <c r="H67" s="5" t="s">
        <v>9</v>
      </c>
      <c r="I67" s="5">
        <v>-2</v>
      </c>
      <c r="J67" s="7">
        <f t="shared" si="0"/>
        <v>5</v>
      </c>
      <c r="K67" s="7" t="s">
        <v>28</v>
      </c>
      <c r="L67" s="3"/>
      <c r="M67" s="3"/>
      <c r="N67" s="3"/>
      <c r="O67" s="3"/>
      <c r="P67" s="3"/>
      <c r="Q67" s="4">
        <v>2</v>
      </c>
      <c r="R67" s="31"/>
      <c r="S67" s="3"/>
      <c r="T67" s="3"/>
      <c r="U67" s="3"/>
      <c r="V67" s="3"/>
      <c r="W67" s="3"/>
      <c r="X67" s="40">
        <v>2</v>
      </c>
      <c r="Y67" s="31"/>
      <c r="Z67" s="3"/>
      <c r="AA67" s="3"/>
      <c r="AB67" s="3"/>
      <c r="AC67" s="3"/>
      <c r="AD67" s="3"/>
      <c r="AE67" s="37">
        <v>2</v>
      </c>
      <c r="AF67" s="31"/>
      <c r="AG67" s="3"/>
      <c r="AH67" s="3"/>
      <c r="AI67" s="3"/>
      <c r="AJ67" s="3"/>
      <c r="AK67" s="3"/>
      <c r="AL67" s="3">
        <v>2</v>
      </c>
      <c r="AM67" s="31"/>
      <c r="AN67" s="3"/>
      <c r="AO67" s="3"/>
      <c r="AP67" s="3"/>
      <c r="AQ67" s="3"/>
      <c r="AR67" s="3"/>
      <c r="AS67" s="5"/>
      <c r="AT67" s="64"/>
    </row>
    <row r="68" spans="2:46" x14ac:dyDescent="0.25">
      <c r="B68" s="5">
        <v>11</v>
      </c>
      <c r="C68" s="5">
        <v>3</v>
      </c>
      <c r="D68" s="5" t="s">
        <v>0</v>
      </c>
      <c r="E68" s="34" t="s">
        <v>0</v>
      </c>
      <c r="F68" s="5" t="s">
        <v>19</v>
      </c>
      <c r="G68" s="3">
        <v>1</v>
      </c>
      <c r="H68" s="5" t="s">
        <v>9</v>
      </c>
      <c r="I68" s="30">
        <v>0</v>
      </c>
      <c r="J68" s="30">
        <f t="shared" si="0"/>
        <v>7</v>
      </c>
      <c r="K68" s="7" t="s">
        <v>28</v>
      </c>
      <c r="L68" s="80"/>
      <c r="M68" s="80"/>
      <c r="N68" s="80"/>
      <c r="O68" s="80"/>
      <c r="P68" s="80"/>
      <c r="Q68" s="80"/>
      <c r="R68" s="81"/>
      <c r="S68" s="4">
        <v>7</v>
      </c>
      <c r="T68" s="4">
        <v>6</v>
      </c>
      <c r="U68" s="4">
        <v>5</v>
      </c>
      <c r="V68" s="4">
        <v>4</v>
      </c>
      <c r="W68" s="80"/>
      <c r="X68" s="80"/>
      <c r="Y68" s="81"/>
      <c r="Z68" s="40">
        <v>7</v>
      </c>
      <c r="AA68" s="40">
        <v>6</v>
      </c>
      <c r="AB68" s="40">
        <v>5</v>
      </c>
      <c r="AC68" s="40">
        <v>4</v>
      </c>
      <c r="AD68" s="80"/>
      <c r="AE68" s="80"/>
      <c r="AF68" s="81"/>
      <c r="AG68" s="37">
        <v>7</v>
      </c>
      <c r="AH68" s="37">
        <v>6</v>
      </c>
      <c r="AI68" s="37">
        <v>5</v>
      </c>
      <c r="AJ68" s="37">
        <v>4</v>
      </c>
      <c r="AK68" s="80"/>
      <c r="AL68" s="80"/>
      <c r="AM68" s="81"/>
      <c r="AN68" s="80"/>
      <c r="AO68" s="80"/>
      <c r="AP68" s="80"/>
      <c r="AQ68" s="80"/>
      <c r="AR68" s="80"/>
      <c r="AS68" s="80"/>
      <c r="AT68" s="81"/>
    </row>
    <row r="69" spans="2:46" s="45" customFormat="1" x14ac:dyDescent="0.25">
      <c r="B69" s="3">
        <f>B68</f>
        <v>11</v>
      </c>
      <c r="C69" s="3">
        <v>4</v>
      </c>
      <c r="D69" s="5" t="s">
        <v>0</v>
      </c>
      <c r="E69" s="34" t="s">
        <v>32</v>
      </c>
      <c r="F69" s="5" t="s">
        <v>19</v>
      </c>
      <c r="G69" s="5">
        <f t="shared" ref="G69:H73" si="10">G68</f>
        <v>1</v>
      </c>
      <c r="H69" s="3" t="str">
        <f t="shared" si="10"/>
        <v>H</v>
      </c>
      <c r="I69" s="30">
        <v>-3</v>
      </c>
      <c r="J69" s="30">
        <f t="shared" si="0"/>
        <v>4</v>
      </c>
      <c r="K69" s="7" t="s">
        <v>28</v>
      </c>
      <c r="L69" s="3"/>
      <c r="M69" s="3"/>
      <c r="N69" s="3"/>
      <c r="O69" s="3"/>
      <c r="P69" s="3">
        <v>3</v>
      </c>
      <c r="Q69" s="3">
        <v>2</v>
      </c>
      <c r="R69" s="31"/>
      <c r="S69" s="3"/>
      <c r="T69" s="3"/>
      <c r="U69" s="3"/>
      <c r="V69" s="3"/>
      <c r="W69" s="4">
        <v>3</v>
      </c>
      <c r="X69" s="4">
        <v>2</v>
      </c>
      <c r="Y69" s="31"/>
      <c r="Z69" s="3"/>
      <c r="AA69" s="3"/>
      <c r="AB69" s="3"/>
      <c r="AC69" s="3"/>
      <c r="AD69" s="40">
        <v>3</v>
      </c>
      <c r="AE69" s="40">
        <v>2</v>
      </c>
      <c r="AF69" s="31"/>
      <c r="AG69" s="3"/>
      <c r="AH69" s="3"/>
      <c r="AI69" s="3"/>
      <c r="AJ69" s="3"/>
      <c r="AK69" s="37">
        <v>3</v>
      </c>
      <c r="AL69" s="37">
        <v>2</v>
      </c>
      <c r="AM69" s="31"/>
      <c r="AN69" s="3"/>
      <c r="AO69" s="3"/>
      <c r="AP69" s="3"/>
      <c r="AQ69" s="3"/>
      <c r="AR69" s="3"/>
      <c r="AS69" s="3"/>
      <c r="AT69" s="31"/>
    </row>
    <row r="70" spans="2:46" x14ac:dyDescent="0.25">
      <c r="B70" s="5">
        <v>11</v>
      </c>
      <c r="C70" s="5">
        <v>5</v>
      </c>
      <c r="D70" s="5" t="s">
        <v>0</v>
      </c>
      <c r="E70" s="49" t="s">
        <v>22</v>
      </c>
      <c r="F70" s="5" t="s">
        <v>19</v>
      </c>
      <c r="G70" s="5">
        <f t="shared" si="10"/>
        <v>1</v>
      </c>
      <c r="H70" s="5" t="s">
        <v>9</v>
      </c>
      <c r="I70" s="5">
        <v>-1</v>
      </c>
      <c r="J70" s="7">
        <f>I70+$J$4</f>
        <v>6</v>
      </c>
      <c r="K70" s="7" t="s">
        <v>28</v>
      </c>
      <c r="L70" s="3"/>
      <c r="M70" s="3"/>
      <c r="N70" s="3"/>
      <c r="O70" s="3"/>
      <c r="P70" s="3"/>
      <c r="Q70" s="3"/>
      <c r="R70" s="21">
        <v>1</v>
      </c>
      <c r="S70" s="3"/>
      <c r="T70" s="3"/>
      <c r="U70" s="3"/>
      <c r="V70" s="3"/>
      <c r="W70" s="3"/>
      <c r="X70" s="3"/>
      <c r="Y70" s="41">
        <v>1</v>
      </c>
      <c r="Z70" s="3"/>
      <c r="AA70" s="3"/>
      <c r="AB70" s="3"/>
      <c r="AC70" s="3"/>
      <c r="AD70" s="3"/>
      <c r="AE70" s="3"/>
      <c r="AF70" s="38">
        <v>1</v>
      </c>
      <c r="AG70" s="3"/>
      <c r="AH70" s="3"/>
      <c r="AI70" s="3"/>
      <c r="AJ70" s="3"/>
      <c r="AK70" s="3"/>
      <c r="AL70" s="3"/>
      <c r="AM70" s="31">
        <v>1</v>
      </c>
      <c r="AN70" s="3"/>
      <c r="AO70" s="3"/>
      <c r="AP70" s="3"/>
      <c r="AQ70" s="3"/>
      <c r="AR70" s="3"/>
      <c r="AS70" s="5"/>
      <c r="AT70" s="64"/>
    </row>
    <row r="71" spans="2:46" s="45" customFormat="1" x14ac:dyDescent="0.25">
      <c r="B71" s="3">
        <f>B69</f>
        <v>11</v>
      </c>
      <c r="C71" s="3">
        <v>6</v>
      </c>
      <c r="D71" s="5"/>
      <c r="E71" s="34" t="s">
        <v>33</v>
      </c>
      <c r="F71" s="5" t="s">
        <v>19</v>
      </c>
      <c r="G71" s="5">
        <f t="shared" si="10"/>
        <v>1</v>
      </c>
      <c r="H71" s="3" t="str">
        <f>H69</f>
        <v>H</v>
      </c>
      <c r="I71" s="32"/>
      <c r="J71" s="32"/>
      <c r="K71" s="7" t="s">
        <v>28</v>
      </c>
      <c r="L71" s="3">
        <v>7</v>
      </c>
      <c r="M71" s="3">
        <v>6</v>
      </c>
      <c r="N71" s="3">
        <v>5</v>
      </c>
      <c r="O71" s="56">
        <v>4</v>
      </c>
      <c r="P71" s="56">
        <v>3</v>
      </c>
      <c r="Q71" s="46">
        <v>2</v>
      </c>
      <c r="R71" s="28">
        <v>1</v>
      </c>
      <c r="S71" s="4">
        <v>7</v>
      </c>
      <c r="T71" s="4">
        <v>6</v>
      </c>
      <c r="U71" s="4">
        <v>5</v>
      </c>
      <c r="V71" s="4">
        <v>4</v>
      </c>
      <c r="W71" s="4">
        <v>3</v>
      </c>
      <c r="X71" s="4">
        <v>2</v>
      </c>
      <c r="Y71" s="21">
        <v>1</v>
      </c>
      <c r="Z71" s="40">
        <v>7</v>
      </c>
      <c r="AA71" s="40">
        <v>6</v>
      </c>
      <c r="AB71" s="40">
        <v>5</v>
      </c>
      <c r="AC71" s="40">
        <v>4</v>
      </c>
      <c r="AD71" s="40">
        <v>3</v>
      </c>
      <c r="AE71" s="40">
        <v>2</v>
      </c>
      <c r="AF71" s="41">
        <v>1</v>
      </c>
      <c r="AG71" s="37">
        <v>7</v>
      </c>
      <c r="AH71" s="37">
        <v>6</v>
      </c>
      <c r="AI71" s="37">
        <v>5</v>
      </c>
      <c r="AJ71" s="37">
        <v>4</v>
      </c>
      <c r="AK71" s="37">
        <v>3</v>
      </c>
      <c r="AL71" s="37">
        <v>2</v>
      </c>
      <c r="AM71" s="38">
        <v>1</v>
      </c>
      <c r="AN71" s="3">
        <v>7</v>
      </c>
      <c r="AO71" s="3">
        <v>6</v>
      </c>
      <c r="AP71" s="3">
        <v>5</v>
      </c>
      <c r="AQ71" s="3">
        <v>4</v>
      </c>
      <c r="AR71" s="3">
        <v>3</v>
      </c>
      <c r="AS71" s="3">
        <v>2</v>
      </c>
      <c r="AT71" s="31">
        <v>1</v>
      </c>
    </row>
    <row r="72" spans="2:46" x14ac:dyDescent="0.25">
      <c r="B72" s="5">
        <v>12</v>
      </c>
      <c r="C72" s="5">
        <v>1</v>
      </c>
      <c r="D72" s="5" t="s">
        <v>35</v>
      </c>
      <c r="E72" s="49" t="s">
        <v>24</v>
      </c>
      <c r="F72" s="5" t="s">
        <v>19</v>
      </c>
      <c r="G72" s="5">
        <f t="shared" si="10"/>
        <v>1</v>
      </c>
      <c r="H72" s="5" t="s">
        <v>10</v>
      </c>
      <c r="I72" s="5">
        <v>-1</v>
      </c>
      <c r="J72" s="7">
        <f t="shared" si="0"/>
        <v>6</v>
      </c>
      <c r="K72" s="7"/>
      <c r="L72" s="3"/>
      <c r="M72" s="3"/>
      <c r="N72" s="3"/>
      <c r="O72" s="3"/>
      <c r="P72" s="3"/>
      <c r="Q72" s="3"/>
      <c r="R72" s="21">
        <v>3</v>
      </c>
      <c r="S72" s="3"/>
      <c r="T72" s="3"/>
      <c r="U72" s="3"/>
      <c r="V72" s="3"/>
      <c r="W72" s="3"/>
      <c r="X72" s="3"/>
      <c r="Y72" s="41">
        <v>3</v>
      </c>
      <c r="Z72" s="3"/>
      <c r="AA72" s="3"/>
      <c r="AB72" s="3"/>
      <c r="AC72" s="3"/>
      <c r="AD72" s="3"/>
      <c r="AE72" s="3"/>
      <c r="AF72" s="38">
        <v>3</v>
      </c>
      <c r="AG72" s="3"/>
      <c r="AH72" s="3"/>
      <c r="AI72" s="3"/>
      <c r="AJ72" s="3"/>
      <c r="AK72" s="3"/>
      <c r="AL72" s="3"/>
      <c r="AM72" s="31">
        <v>3</v>
      </c>
      <c r="AN72" s="3"/>
      <c r="AO72" s="3"/>
      <c r="AP72" s="3"/>
      <c r="AQ72" s="3"/>
      <c r="AR72" s="3"/>
      <c r="AS72" s="5"/>
      <c r="AT72" s="64"/>
    </row>
    <row r="73" spans="2:46" x14ac:dyDescent="0.25">
      <c r="B73" s="5">
        <v>12</v>
      </c>
      <c r="C73" s="5">
        <v>2</v>
      </c>
      <c r="D73" s="5" t="s">
        <v>21</v>
      </c>
      <c r="E73" s="49" t="s">
        <v>21</v>
      </c>
      <c r="F73" s="5" t="s">
        <v>19</v>
      </c>
      <c r="G73" s="5">
        <f t="shared" si="10"/>
        <v>1</v>
      </c>
      <c r="H73" s="5" t="s">
        <v>10</v>
      </c>
      <c r="I73" s="5">
        <v>0</v>
      </c>
      <c r="J73" s="7">
        <f t="shared" si="0"/>
        <v>7</v>
      </c>
      <c r="K73" s="7"/>
      <c r="L73" s="3"/>
      <c r="M73" s="3"/>
      <c r="N73" s="3"/>
      <c r="O73" s="3"/>
      <c r="P73" s="3"/>
      <c r="Q73" s="3"/>
      <c r="R73" s="31"/>
      <c r="S73" s="3"/>
      <c r="T73" s="3"/>
      <c r="U73" s="3"/>
      <c r="V73" s="3"/>
      <c r="W73" s="3"/>
      <c r="X73" s="3"/>
      <c r="Y73" s="31"/>
      <c r="Z73" s="3"/>
      <c r="AA73" s="3"/>
      <c r="AB73" s="3"/>
      <c r="AC73" s="3"/>
      <c r="AD73" s="3"/>
      <c r="AE73" s="3"/>
      <c r="AF73" s="31"/>
      <c r="AG73" s="3"/>
      <c r="AH73" s="3"/>
      <c r="AI73" s="3"/>
      <c r="AJ73" s="3"/>
      <c r="AK73" s="3"/>
      <c r="AL73" s="3"/>
      <c r="AM73" s="31"/>
      <c r="AN73" s="3"/>
      <c r="AO73" s="3"/>
      <c r="AP73" s="3"/>
      <c r="AQ73" s="3"/>
      <c r="AR73" s="3"/>
      <c r="AS73" s="5"/>
      <c r="AT73" s="64"/>
    </row>
    <row r="74" spans="2:46" x14ac:dyDescent="0.25">
      <c r="B74" s="5">
        <v>12</v>
      </c>
      <c r="C74" s="5">
        <v>3</v>
      </c>
      <c r="D74" s="5" t="s">
        <v>0</v>
      </c>
      <c r="E74" s="34" t="s">
        <v>0</v>
      </c>
      <c r="F74" s="5" t="s">
        <v>19</v>
      </c>
      <c r="G74" s="3">
        <v>2</v>
      </c>
      <c r="H74" s="5" t="s">
        <v>10</v>
      </c>
      <c r="I74" s="30">
        <v>2</v>
      </c>
      <c r="J74" s="30">
        <f t="shared" si="0"/>
        <v>9</v>
      </c>
      <c r="K74" s="7"/>
      <c r="L74" s="80"/>
      <c r="M74" s="80"/>
      <c r="N74" s="80"/>
      <c r="O74" s="80"/>
      <c r="P74" s="80"/>
      <c r="Q74" s="80"/>
      <c r="R74" s="81"/>
      <c r="S74" s="3"/>
      <c r="T74" s="4">
        <v>8</v>
      </c>
      <c r="U74" s="4">
        <v>7</v>
      </c>
      <c r="V74" s="4">
        <v>6</v>
      </c>
      <c r="W74" s="4">
        <v>5</v>
      </c>
      <c r="X74" s="4">
        <v>4</v>
      </c>
      <c r="Y74" s="81"/>
      <c r="Z74" s="3"/>
      <c r="AA74" s="40">
        <v>8</v>
      </c>
      <c r="AB74" s="40">
        <v>7</v>
      </c>
      <c r="AC74" s="40">
        <v>6</v>
      </c>
      <c r="AD74" s="40">
        <v>5</v>
      </c>
      <c r="AE74" s="40">
        <v>4</v>
      </c>
      <c r="AF74" s="81"/>
      <c r="AG74" s="3"/>
      <c r="AH74" s="37">
        <v>8</v>
      </c>
      <c r="AI74" s="37">
        <v>7</v>
      </c>
      <c r="AJ74" s="37">
        <v>6</v>
      </c>
      <c r="AK74" s="37">
        <v>5</v>
      </c>
      <c r="AL74" s="37">
        <v>4</v>
      </c>
      <c r="AM74" s="81"/>
      <c r="AN74" s="80"/>
      <c r="AO74" s="80"/>
      <c r="AP74" s="80"/>
      <c r="AQ74" s="80"/>
      <c r="AR74" s="80"/>
      <c r="AS74" s="80"/>
      <c r="AT74" s="81"/>
    </row>
    <row r="75" spans="2:46" s="45" customFormat="1" x14ac:dyDescent="0.25">
      <c r="B75" s="3">
        <f>B74</f>
        <v>12</v>
      </c>
      <c r="C75" s="3">
        <v>4</v>
      </c>
      <c r="D75" s="5" t="s">
        <v>0</v>
      </c>
      <c r="E75" s="34" t="s">
        <v>32</v>
      </c>
      <c r="F75" s="5" t="s">
        <v>19</v>
      </c>
      <c r="G75" s="5">
        <f t="shared" ref="G75:H79" si="11">G74</f>
        <v>2</v>
      </c>
      <c r="H75" s="3" t="str">
        <f t="shared" si="11"/>
        <v>I</v>
      </c>
      <c r="I75" s="30">
        <v>-1</v>
      </c>
      <c r="J75" s="30">
        <f t="shared" si="0"/>
        <v>6</v>
      </c>
      <c r="K75" s="30"/>
      <c r="L75" s="3"/>
      <c r="M75" s="3"/>
      <c r="N75" s="3"/>
      <c r="O75" s="3"/>
      <c r="P75" s="3"/>
      <c r="Q75" s="3"/>
      <c r="R75" s="31">
        <v>3</v>
      </c>
      <c r="S75" s="3"/>
      <c r="T75" s="3"/>
      <c r="U75" s="3"/>
      <c r="V75" s="3"/>
      <c r="W75" s="3"/>
      <c r="X75" s="3"/>
      <c r="Y75" s="21">
        <v>3</v>
      </c>
      <c r="Z75" s="3"/>
      <c r="AA75" s="3"/>
      <c r="AB75" s="3"/>
      <c r="AC75" s="3"/>
      <c r="AD75" s="3"/>
      <c r="AE75" s="3"/>
      <c r="AF75" s="41">
        <v>3</v>
      </c>
      <c r="AG75" s="3"/>
      <c r="AH75" s="3"/>
      <c r="AI75" s="3"/>
      <c r="AJ75" s="3"/>
      <c r="AK75" s="3"/>
      <c r="AL75" s="3"/>
      <c r="AM75" s="38">
        <v>3</v>
      </c>
      <c r="AN75" s="3"/>
      <c r="AO75" s="3"/>
      <c r="AP75" s="3"/>
      <c r="AQ75" s="3"/>
      <c r="AR75" s="3"/>
      <c r="AS75" s="3"/>
      <c r="AT75" s="31"/>
    </row>
    <row r="76" spans="2:46" x14ac:dyDescent="0.25">
      <c r="B76" s="5">
        <v>12</v>
      </c>
      <c r="C76" s="5">
        <v>5</v>
      </c>
      <c r="D76" s="5" t="s">
        <v>0</v>
      </c>
      <c r="E76" s="49" t="s">
        <v>22</v>
      </c>
      <c r="F76" s="5" t="s">
        <v>19</v>
      </c>
      <c r="G76" s="5">
        <f t="shared" si="11"/>
        <v>2</v>
      </c>
      <c r="H76" s="5" t="s">
        <v>10</v>
      </c>
      <c r="I76" s="5">
        <v>1</v>
      </c>
      <c r="J76" s="7">
        <f>I76+$J$4</f>
        <v>8</v>
      </c>
      <c r="K76" s="7"/>
      <c r="L76" s="3"/>
      <c r="M76" s="3"/>
      <c r="N76" s="3"/>
      <c r="O76" s="3"/>
      <c r="P76" s="3"/>
      <c r="Q76" s="3"/>
      <c r="R76" s="31"/>
      <c r="S76" s="4">
        <v>1</v>
      </c>
      <c r="T76" s="3"/>
      <c r="U76" s="3"/>
      <c r="V76" s="3"/>
      <c r="W76" s="3"/>
      <c r="X76" s="3"/>
      <c r="Y76" s="31"/>
      <c r="Z76" s="40">
        <v>1</v>
      </c>
      <c r="AA76" s="3"/>
      <c r="AB76" s="3"/>
      <c r="AC76" s="3"/>
      <c r="AD76" s="3"/>
      <c r="AE76" s="3"/>
      <c r="AF76" s="31"/>
      <c r="AG76" s="37">
        <v>1</v>
      </c>
      <c r="AH76" s="3"/>
      <c r="AI76" s="3"/>
      <c r="AJ76" s="3"/>
      <c r="AK76" s="3"/>
      <c r="AL76" s="3"/>
      <c r="AM76" s="31"/>
      <c r="AN76" s="3">
        <v>1</v>
      </c>
      <c r="AO76" s="3"/>
      <c r="AP76" s="3"/>
      <c r="AQ76" s="3"/>
      <c r="AR76" s="3"/>
      <c r="AS76" s="5"/>
      <c r="AT76" s="64"/>
    </row>
    <row r="77" spans="2:46" s="45" customFormat="1" x14ac:dyDescent="0.25">
      <c r="B77" s="3">
        <f>B75</f>
        <v>12</v>
      </c>
      <c r="C77" s="3">
        <v>6</v>
      </c>
      <c r="D77" s="5"/>
      <c r="E77" s="34" t="s">
        <v>33</v>
      </c>
      <c r="F77" s="5" t="s">
        <v>19</v>
      </c>
      <c r="G77" s="5">
        <f t="shared" si="11"/>
        <v>2</v>
      </c>
      <c r="H77" s="3" t="str">
        <f>H75</f>
        <v>I</v>
      </c>
      <c r="I77" s="32"/>
      <c r="J77" s="32"/>
      <c r="K77" s="30"/>
      <c r="L77" s="3">
        <v>1</v>
      </c>
      <c r="M77" s="3">
        <v>8</v>
      </c>
      <c r="N77" s="3">
        <v>7</v>
      </c>
      <c r="O77" s="3">
        <v>6</v>
      </c>
      <c r="P77" s="3">
        <v>5</v>
      </c>
      <c r="Q77" s="56">
        <v>4</v>
      </c>
      <c r="R77" s="59">
        <v>3</v>
      </c>
      <c r="S77" s="6">
        <v>1</v>
      </c>
      <c r="T77" s="4">
        <v>8</v>
      </c>
      <c r="U77" s="4">
        <v>7</v>
      </c>
      <c r="V77" s="4">
        <v>6</v>
      </c>
      <c r="W77" s="4">
        <v>5</v>
      </c>
      <c r="X77" s="4">
        <v>4</v>
      </c>
      <c r="Y77" s="21">
        <v>3</v>
      </c>
      <c r="Z77" s="4">
        <v>1</v>
      </c>
      <c r="AA77" s="40">
        <v>8</v>
      </c>
      <c r="AB77" s="40">
        <v>7</v>
      </c>
      <c r="AC77" s="40">
        <v>6</v>
      </c>
      <c r="AD77" s="40">
        <v>5</v>
      </c>
      <c r="AE77" s="40">
        <v>4</v>
      </c>
      <c r="AF77" s="41">
        <v>3</v>
      </c>
      <c r="AG77" s="40">
        <v>1</v>
      </c>
      <c r="AH77" s="37">
        <v>8</v>
      </c>
      <c r="AI77" s="37">
        <v>7</v>
      </c>
      <c r="AJ77" s="37">
        <v>6</v>
      </c>
      <c r="AK77" s="37">
        <v>5</v>
      </c>
      <c r="AL77" s="37">
        <v>4</v>
      </c>
      <c r="AM77" s="38">
        <v>3</v>
      </c>
      <c r="AN77" s="37">
        <v>1</v>
      </c>
      <c r="AO77" s="3">
        <v>8</v>
      </c>
      <c r="AP77" s="3">
        <v>7</v>
      </c>
      <c r="AQ77" s="3">
        <v>6</v>
      </c>
      <c r="AR77" s="3">
        <v>5</v>
      </c>
      <c r="AS77" s="3">
        <v>4</v>
      </c>
      <c r="AT77" s="31">
        <v>3</v>
      </c>
    </row>
    <row r="78" spans="2:46" x14ac:dyDescent="0.25">
      <c r="B78" s="5">
        <v>13</v>
      </c>
      <c r="C78" s="5">
        <v>1</v>
      </c>
      <c r="D78" s="5" t="s">
        <v>35</v>
      </c>
      <c r="E78" s="49" t="s">
        <v>24</v>
      </c>
      <c r="F78" s="5" t="s">
        <v>19</v>
      </c>
      <c r="G78" s="5">
        <f t="shared" si="11"/>
        <v>2</v>
      </c>
      <c r="H78" s="5" t="s">
        <v>15</v>
      </c>
      <c r="I78" s="5">
        <v>1</v>
      </c>
      <c r="J78" s="7">
        <f t="shared" si="0"/>
        <v>8</v>
      </c>
      <c r="K78" s="7" t="s">
        <v>28</v>
      </c>
      <c r="L78" s="3"/>
      <c r="M78" s="3"/>
      <c r="N78" s="3"/>
      <c r="O78" s="3"/>
      <c r="P78" s="3"/>
      <c r="Q78" s="3"/>
      <c r="R78" s="31"/>
      <c r="S78" s="4">
        <v>3</v>
      </c>
      <c r="T78" s="3"/>
      <c r="U78" s="3"/>
      <c r="V78" s="3"/>
      <c r="W78" s="3"/>
      <c r="X78" s="3"/>
      <c r="Y78" s="31"/>
      <c r="Z78" s="40">
        <v>3</v>
      </c>
      <c r="AA78" s="3"/>
      <c r="AB78" s="3"/>
      <c r="AC78" s="3"/>
      <c r="AD78" s="3"/>
      <c r="AE78" s="3"/>
      <c r="AF78" s="31"/>
      <c r="AG78" s="37">
        <v>3</v>
      </c>
      <c r="AH78" s="3"/>
      <c r="AI78" s="3"/>
      <c r="AJ78" s="3"/>
      <c r="AK78" s="3"/>
      <c r="AL78" s="3"/>
      <c r="AM78" s="31"/>
      <c r="AN78" s="3">
        <v>3</v>
      </c>
      <c r="AO78" s="3"/>
      <c r="AP78" s="3"/>
      <c r="AQ78" s="3"/>
      <c r="AR78" s="3"/>
      <c r="AS78" s="5"/>
      <c r="AT78" s="64"/>
    </row>
    <row r="79" spans="2:46" x14ac:dyDescent="0.25">
      <c r="B79" s="5">
        <v>13</v>
      </c>
      <c r="C79" s="5">
        <v>2</v>
      </c>
      <c r="D79" s="5" t="s">
        <v>21</v>
      </c>
      <c r="E79" s="49" t="s">
        <v>21</v>
      </c>
      <c r="F79" s="5" t="s">
        <v>19</v>
      </c>
      <c r="G79" s="5">
        <f t="shared" si="11"/>
        <v>2</v>
      </c>
      <c r="H79" s="5" t="s">
        <v>15</v>
      </c>
      <c r="I79" s="5">
        <v>2</v>
      </c>
      <c r="J79" s="7">
        <f t="shared" si="0"/>
        <v>9</v>
      </c>
      <c r="K79" s="7" t="s">
        <v>28</v>
      </c>
      <c r="L79" s="3"/>
      <c r="M79" s="3"/>
      <c r="N79" s="3"/>
      <c r="O79" s="3"/>
      <c r="P79" s="3"/>
      <c r="Q79" s="3"/>
      <c r="R79" s="31"/>
      <c r="S79" s="3"/>
      <c r="T79" s="4">
        <v>2</v>
      </c>
      <c r="U79" s="3"/>
      <c r="V79" s="3"/>
      <c r="W79" s="3"/>
      <c r="X79" s="3"/>
      <c r="Y79" s="31"/>
      <c r="Z79" s="3"/>
      <c r="AA79" s="40">
        <v>2</v>
      </c>
      <c r="AB79" s="3"/>
      <c r="AC79" s="3"/>
      <c r="AD79" s="3"/>
      <c r="AE79" s="3"/>
      <c r="AF79" s="31"/>
      <c r="AG79" s="3"/>
      <c r="AH79" s="37">
        <v>2</v>
      </c>
      <c r="AI79" s="3"/>
      <c r="AJ79" s="3"/>
      <c r="AK79" s="3"/>
      <c r="AL79" s="3"/>
      <c r="AM79" s="31"/>
      <c r="AN79" s="3"/>
      <c r="AO79" s="3">
        <v>2</v>
      </c>
      <c r="AP79" s="3"/>
      <c r="AQ79" s="3"/>
      <c r="AR79" s="3"/>
      <c r="AS79" s="5"/>
      <c r="AT79" s="64"/>
    </row>
    <row r="80" spans="2:46" x14ac:dyDescent="0.25">
      <c r="B80" s="5">
        <v>13</v>
      </c>
      <c r="C80" s="5">
        <v>3</v>
      </c>
      <c r="D80" s="5" t="s">
        <v>0</v>
      </c>
      <c r="E80" s="34" t="s">
        <v>0</v>
      </c>
      <c r="F80" s="5" t="s">
        <v>19</v>
      </c>
      <c r="G80" s="3">
        <v>2</v>
      </c>
      <c r="H80" s="5" t="s">
        <v>15</v>
      </c>
      <c r="I80" s="30">
        <v>4</v>
      </c>
      <c r="J80" s="30">
        <f t="shared" si="0"/>
        <v>11</v>
      </c>
      <c r="K80" s="7" t="s">
        <v>28</v>
      </c>
      <c r="L80" s="80"/>
      <c r="M80" s="80"/>
      <c r="N80" s="80"/>
      <c r="O80" s="80"/>
      <c r="P80" s="80"/>
      <c r="Q80" s="80"/>
      <c r="R80" s="81"/>
      <c r="S80" s="80"/>
      <c r="T80" s="80"/>
      <c r="U80" s="5"/>
      <c r="V80" s="4">
        <v>8</v>
      </c>
      <c r="W80" s="4">
        <v>7</v>
      </c>
      <c r="X80" s="4">
        <v>6</v>
      </c>
      <c r="Y80" s="21">
        <v>5</v>
      </c>
      <c r="Z80" s="80"/>
      <c r="AA80" s="80"/>
      <c r="AB80" s="5"/>
      <c r="AC80" s="40">
        <v>8</v>
      </c>
      <c r="AD80" s="40">
        <v>7</v>
      </c>
      <c r="AE80" s="40">
        <v>6</v>
      </c>
      <c r="AF80" s="41">
        <v>5</v>
      </c>
      <c r="AG80" s="80"/>
      <c r="AH80" s="80"/>
      <c r="AI80" s="5"/>
      <c r="AJ80" s="37">
        <v>8</v>
      </c>
      <c r="AK80" s="37">
        <v>7</v>
      </c>
      <c r="AL80" s="37">
        <v>6</v>
      </c>
      <c r="AM80" s="38">
        <v>5</v>
      </c>
      <c r="AN80" s="80"/>
      <c r="AO80" s="80"/>
      <c r="AP80" s="80"/>
      <c r="AQ80" s="80"/>
      <c r="AR80" s="80"/>
      <c r="AS80" s="80"/>
      <c r="AT80" s="81"/>
    </row>
    <row r="81" spans="2:46" s="45" customFormat="1" x14ac:dyDescent="0.25">
      <c r="B81" s="3">
        <f>B80</f>
        <v>13</v>
      </c>
      <c r="C81" s="3">
        <v>4</v>
      </c>
      <c r="D81" s="5" t="s">
        <v>0</v>
      </c>
      <c r="E81" s="34" t="s">
        <v>32</v>
      </c>
      <c r="F81" s="5" t="s">
        <v>19</v>
      </c>
      <c r="G81" s="5">
        <f t="shared" ref="G81:H85" si="12">G80</f>
        <v>2</v>
      </c>
      <c r="H81" s="3" t="str">
        <f t="shared" si="12"/>
        <v>N</v>
      </c>
      <c r="I81" s="30">
        <v>1</v>
      </c>
      <c r="J81" s="30">
        <f t="shared" si="0"/>
        <v>8</v>
      </c>
      <c r="K81" s="7" t="s">
        <v>28</v>
      </c>
      <c r="L81" s="3"/>
      <c r="M81" s="3"/>
      <c r="N81" s="3"/>
      <c r="O81" s="3"/>
      <c r="P81" s="3"/>
      <c r="Q81" s="3"/>
      <c r="R81" s="31"/>
      <c r="S81" s="3">
        <v>3</v>
      </c>
      <c r="T81" s="3">
        <v>2</v>
      </c>
      <c r="U81" s="3"/>
      <c r="V81" s="3"/>
      <c r="W81" s="3"/>
      <c r="X81" s="3"/>
      <c r="Y81" s="31"/>
      <c r="Z81" s="4">
        <v>3</v>
      </c>
      <c r="AA81" s="4">
        <v>2</v>
      </c>
      <c r="AB81" s="3"/>
      <c r="AC81" s="3"/>
      <c r="AD81" s="3"/>
      <c r="AE81" s="3"/>
      <c r="AF81" s="31"/>
      <c r="AG81" s="40">
        <v>3</v>
      </c>
      <c r="AH81" s="40">
        <v>2</v>
      </c>
      <c r="AI81" s="3"/>
      <c r="AJ81" s="3"/>
      <c r="AK81" s="3"/>
      <c r="AL81" s="3"/>
      <c r="AM81" s="31"/>
      <c r="AN81" s="37">
        <v>3</v>
      </c>
      <c r="AO81" s="37">
        <v>2</v>
      </c>
      <c r="AP81" s="3"/>
      <c r="AQ81" s="3"/>
      <c r="AR81" s="3"/>
      <c r="AS81" s="3"/>
      <c r="AT81" s="31"/>
    </row>
    <row r="82" spans="2:46" x14ac:dyDescent="0.25">
      <c r="B82" s="5">
        <v>13</v>
      </c>
      <c r="C82" s="5">
        <v>5</v>
      </c>
      <c r="D82" s="5" t="s">
        <v>0</v>
      </c>
      <c r="E82" s="49" t="s">
        <v>22</v>
      </c>
      <c r="F82" s="5" t="s">
        <v>19</v>
      </c>
      <c r="G82" s="5">
        <f t="shared" si="12"/>
        <v>2</v>
      </c>
      <c r="H82" s="5" t="s">
        <v>15</v>
      </c>
      <c r="I82" s="5">
        <v>3</v>
      </c>
      <c r="J82" s="7">
        <f>I82+$J$4</f>
        <v>10</v>
      </c>
      <c r="K82" s="7" t="s">
        <v>28</v>
      </c>
      <c r="L82" s="3"/>
      <c r="M82" s="3"/>
      <c r="N82" s="3"/>
      <c r="O82" s="3"/>
      <c r="P82" s="3"/>
      <c r="Q82" s="3"/>
      <c r="R82" s="31"/>
      <c r="S82" s="3"/>
      <c r="T82" s="3"/>
      <c r="U82" s="4">
        <v>1</v>
      </c>
      <c r="V82" s="3"/>
      <c r="W82" s="3"/>
      <c r="X82" s="3"/>
      <c r="Y82" s="31"/>
      <c r="Z82" s="3"/>
      <c r="AA82" s="3"/>
      <c r="AB82" s="40">
        <v>1</v>
      </c>
      <c r="AC82" s="3"/>
      <c r="AD82" s="3"/>
      <c r="AE82" s="3"/>
      <c r="AF82" s="31"/>
      <c r="AG82" s="3"/>
      <c r="AH82" s="3"/>
      <c r="AI82" s="37">
        <v>1</v>
      </c>
      <c r="AJ82" s="3"/>
      <c r="AK82" s="3"/>
      <c r="AL82" s="3"/>
      <c r="AM82" s="31"/>
      <c r="AN82" s="3"/>
      <c r="AO82" s="3"/>
      <c r="AP82" s="3">
        <v>1</v>
      </c>
      <c r="AQ82" s="3"/>
      <c r="AR82" s="3"/>
      <c r="AS82" s="5"/>
      <c r="AT82" s="64"/>
    </row>
    <row r="83" spans="2:46" s="45" customFormat="1" x14ac:dyDescent="0.25">
      <c r="B83" s="3">
        <f>B81</f>
        <v>13</v>
      </c>
      <c r="C83" s="3">
        <v>6</v>
      </c>
      <c r="D83" s="5"/>
      <c r="E83" s="34" t="s">
        <v>33</v>
      </c>
      <c r="F83" s="5" t="s">
        <v>19</v>
      </c>
      <c r="G83" s="5">
        <f t="shared" si="12"/>
        <v>2</v>
      </c>
      <c r="H83" s="3" t="str">
        <f>H81</f>
        <v>N</v>
      </c>
      <c r="I83" s="32"/>
      <c r="J83" s="32"/>
      <c r="K83" s="7" t="s">
        <v>28</v>
      </c>
      <c r="L83" s="3">
        <v>3</v>
      </c>
      <c r="M83" s="3">
        <v>2</v>
      </c>
      <c r="N83" s="3">
        <v>1</v>
      </c>
      <c r="O83" s="3">
        <v>8</v>
      </c>
      <c r="P83" s="3">
        <v>7</v>
      </c>
      <c r="Q83" s="3">
        <v>6</v>
      </c>
      <c r="R83" s="31">
        <v>5</v>
      </c>
      <c r="S83" s="56">
        <v>3</v>
      </c>
      <c r="T83" s="46">
        <v>2</v>
      </c>
      <c r="U83" s="6">
        <v>1</v>
      </c>
      <c r="V83" s="4">
        <v>8</v>
      </c>
      <c r="W83" s="4">
        <v>7</v>
      </c>
      <c r="X83" s="4">
        <v>6</v>
      </c>
      <c r="Y83" s="21">
        <v>5</v>
      </c>
      <c r="Z83" s="4">
        <v>3</v>
      </c>
      <c r="AA83" s="4">
        <v>2</v>
      </c>
      <c r="AB83" s="4">
        <v>1</v>
      </c>
      <c r="AC83" s="40">
        <v>8</v>
      </c>
      <c r="AD83" s="40">
        <v>7</v>
      </c>
      <c r="AE83" s="40">
        <v>6</v>
      </c>
      <c r="AF83" s="41">
        <v>5</v>
      </c>
      <c r="AG83" s="40">
        <v>3</v>
      </c>
      <c r="AH83" s="40">
        <v>2</v>
      </c>
      <c r="AI83" s="40">
        <v>1</v>
      </c>
      <c r="AJ83" s="37">
        <v>8</v>
      </c>
      <c r="AK83" s="37">
        <v>7</v>
      </c>
      <c r="AL83" s="37">
        <v>6</v>
      </c>
      <c r="AM83" s="38">
        <v>5</v>
      </c>
      <c r="AN83" s="37">
        <v>3</v>
      </c>
      <c r="AO83" s="37">
        <v>2</v>
      </c>
      <c r="AP83" s="37">
        <v>1</v>
      </c>
      <c r="AQ83" s="3">
        <v>8</v>
      </c>
      <c r="AR83" s="3">
        <v>7</v>
      </c>
      <c r="AS83" s="3">
        <v>6</v>
      </c>
      <c r="AT83" s="31">
        <v>5</v>
      </c>
    </row>
    <row r="84" spans="2:46" x14ac:dyDescent="0.25">
      <c r="B84" s="5">
        <v>14</v>
      </c>
      <c r="C84" s="5">
        <v>1</v>
      </c>
      <c r="D84" s="5" t="s">
        <v>35</v>
      </c>
      <c r="E84" s="49" t="s">
        <v>24</v>
      </c>
      <c r="F84" s="5" t="s">
        <v>19</v>
      </c>
      <c r="G84" s="5">
        <f t="shared" si="12"/>
        <v>2</v>
      </c>
      <c r="H84" s="5" t="s">
        <v>13</v>
      </c>
      <c r="I84" s="5">
        <v>3</v>
      </c>
      <c r="J84" s="7">
        <f t="shared" si="0"/>
        <v>10</v>
      </c>
      <c r="K84" s="7" t="s">
        <v>28</v>
      </c>
      <c r="L84" s="3"/>
      <c r="M84" s="3"/>
      <c r="N84" s="3"/>
      <c r="O84" s="3"/>
      <c r="P84" s="3"/>
      <c r="Q84" s="3"/>
      <c r="R84" s="31"/>
      <c r="S84" s="3"/>
      <c r="T84" s="4">
        <v>4</v>
      </c>
      <c r="U84" s="3"/>
      <c r="V84" s="3"/>
      <c r="W84" s="3"/>
      <c r="X84" s="3"/>
      <c r="Y84" s="31"/>
      <c r="Z84" s="3"/>
      <c r="AA84" s="40">
        <v>4</v>
      </c>
      <c r="AB84" s="3"/>
      <c r="AC84" s="3"/>
      <c r="AD84" s="3"/>
      <c r="AE84" s="3"/>
      <c r="AF84" s="31"/>
      <c r="AG84" s="3"/>
      <c r="AH84" s="37">
        <v>4</v>
      </c>
      <c r="AI84" s="3"/>
      <c r="AJ84" s="3"/>
      <c r="AK84" s="3"/>
      <c r="AL84" s="3"/>
      <c r="AM84" s="31"/>
      <c r="AN84" s="3"/>
      <c r="AO84" s="3">
        <v>4</v>
      </c>
      <c r="AP84" s="3"/>
      <c r="AQ84" s="3"/>
      <c r="AR84" s="3"/>
      <c r="AS84" s="5"/>
      <c r="AT84" s="64"/>
    </row>
    <row r="85" spans="2:46" x14ac:dyDescent="0.25">
      <c r="B85" s="5">
        <v>14</v>
      </c>
      <c r="C85" s="5">
        <v>2</v>
      </c>
      <c r="D85" s="5" t="s">
        <v>21</v>
      </c>
      <c r="E85" s="49" t="s">
        <v>21</v>
      </c>
      <c r="F85" s="5" t="s">
        <v>19</v>
      </c>
      <c r="G85" s="5">
        <f t="shared" si="12"/>
        <v>2</v>
      </c>
      <c r="H85" s="5" t="s">
        <v>13</v>
      </c>
      <c r="I85" s="5">
        <v>4</v>
      </c>
      <c r="J85" s="7">
        <f t="shared" si="0"/>
        <v>11</v>
      </c>
      <c r="K85" s="7" t="s">
        <v>28</v>
      </c>
      <c r="L85" s="3"/>
      <c r="M85" s="3"/>
      <c r="N85" s="3"/>
      <c r="O85" s="3"/>
      <c r="P85" s="3"/>
      <c r="Q85" s="3"/>
      <c r="R85" s="31"/>
      <c r="S85" s="3"/>
      <c r="T85" s="3"/>
      <c r="U85" s="4">
        <v>3</v>
      </c>
      <c r="V85" s="3"/>
      <c r="W85" s="3"/>
      <c r="X85" s="3"/>
      <c r="Y85" s="31"/>
      <c r="Z85" s="3"/>
      <c r="AA85" s="3"/>
      <c r="AB85" s="40">
        <v>3</v>
      </c>
      <c r="AC85" s="3"/>
      <c r="AD85" s="3"/>
      <c r="AE85" s="3"/>
      <c r="AF85" s="31"/>
      <c r="AG85" s="3"/>
      <c r="AH85" s="3"/>
      <c r="AI85" s="37">
        <v>3</v>
      </c>
      <c r="AJ85" s="3"/>
      <c r="AK85" s="3"/>
      <c r="AL85" s="3"/>
      <c r="AM85" s="31"/>
      <c r="AN85" s="3"/>
      <c r="AO85" s="3"/>
      <c r="AP85" s="3">
        <v>3</v>
      </c>
      <c r="AQ85" s="3"/>
      <c r="AR85" s="3"/>
      <c r="AS85" s="5"/>
      <c r="AT85" s="64"/>
    </row>
    <row r="86" spans="2:46" x14ac:dyDescent="0.25">
      <c r="B86" s="5">
        <v>14</v>
      </c>
      <c r="C86" s="5">
        <v>3</v>
      </c>
      <c r="D86" s="5" t="s">
        <v>0</v>
      </c>
      <c r="E86" s="34" t="s">
        <v>0</v>
      </c>
      <c r="F86" s="5" t="s">
        <v>19</v>
      </c>
      <c r="G86" s="3">
        <v>2</v>
      </c>
      <c r="H86" s="5" t="s">
        <v>13</v>
      </c>
      <c r="I86" s="30">
        <v>6</v>
      </c>
      <c r="J86" s="30">
        <f t="shared" si="0"/>
        <v>13</v>
      </c>
      <c r="K86" s="7" t="s">
        <v>28</v>
      </c>
      <c r="L86" s="80"/>
      <c r="M86" s="80"/>
      <c r="N86" s="80"/>
      <c r="O86" s="80"/>
      <c r="P86" s="80"/>
      <c r="Q86" s="80"/>
      <c r="R86" s="81"/>
      <c r="S86" s="80"/>
      <c r="T86" s="80"/>
      <c r="U86" s="80"/>
      <c r="V86" s="80"/>
      <c r="W86" s="80"/>
      <c r="X86" s="4">
        <v>8</v>
      </c>
      <c r="Y86" s="21">
        <v>7</v>
      </c>
      <c r="Z86" s="4">
        <v>5</v>
      </c>
      <c r="AA86" s="4">
        <v>4</v>
      </c>
      <c r="AB86" s="80"/>
      <c r="AC86" s="80"/>
      <c r="AD86" s="80"/>
      <c r="AE86" s="40">
        <v>8</v>
      </c>
      <c r="AF86" s="41">
        <v>7</v>
      </c>
      <c r="AG86" s="40">
        <v>5</v>
      </c>
      <c r="AH86" s="40">
        <v>4</v>
      </c>
      <c r="AI86" s="80"/>
      <c r="AJ86" s="80"/>
      <c r="AK86" s="80"/>
      <c r="AL86" s="37">
        <v>8</v>
      </c>
      <c r="AM86" s="38">
        <v>7</v>
      </c>
      <c r="AN86" s="37">
        <v>5</v>
      </c>
      <c r="AO86" s="37">
        <v>4</v>
      </c>
      <c r="AP86" s="80"/>
      <c r="AQ86" s="80"/>
      <c r="AR86" s="80"/>
      <c r="AS86" s="80"/>
      <c r="AT86" s="81"/>
    </row>
    <row r="87" spans="2:46" s="45" customFormat="1" x14ac:dyDescent="0.25">
      <c r="B87" s="3">
        <f>B86</f>
        <v>14</v>
      </c>
      <c r="C87" s="3">
        <v>4</v>
      </c>
      <c r="D87" s="5" t="s">
        <v>0</v>
      </c>
      <c r="E87" s="34" t="s">
        <v>32</v>
      </c>
      <c r="F87" s="5" t="s">
        <v>19</v>
      </c>
      <c r="G87" s="5">
        <f t="shared" ref="G87:H91" si="13">G86</f>
        <v>2</v>
      </c>
      <c r="H87" s="3" t="str">
        <f t="shared" si="13"/>
        <v>L</v>
      </c>
      <c r="I87" s="30">
        <v>3</v>
      </c>
      <c r="J87" s="30">
        <f t="shared" si="0"/>
        <v>10</v>
      </c>
      <c r="K87" s="7" t="s">
        <v>28</v>
      </c>
      <c r="L87" s="3"/>
      <c r="M87" s="3"/>
      <c r="N87" s="3"/>
      <c r="O87" s="3"/>
      <c r="P87" s="3"/>
      <c r="Q87" s="3"/>
      <c r="R87" s="31"/>
      <c r="S87" s="3"/>
      <c r="T87" s="3"/>
      <c r="U87" s="3">
        <v>3</v>
      </c>
      <c r="V87" s="3"/>
      <c r="W87" s="3"/>
      <c r="X87" s="3"/>
      <c r="Y87" s="31"/>
      <c r="Z87" s="3"/>
      <c r="AA87" s="3"/>
      <c r="AB87" s="4">
        <v>3</v>
      </c>
      <c r="AC87" s="3"/>
      <c r="AD87" s="3"/>
      <c r="AE87" s="3"/>
      <c r="AF87" s="31"/>
      <c r="AG87" s="3"/>
      <c r="AH87" s="3"/>
      <c r="AI87" s="40">
        <v>3</v>
      </c>
      <c r="AJ87" s="3"/>
      <c r="AK87" s="3"/>
      <c r="AL87" s="3"/>
      <c r="AM87" s="31"/>
      <c r="AN87" s="80"/>
      <c r="AO87" s="3"/>
      <c r="AP87" s="37">
        <v>3</v>
      </c>
      <c r="AQ87" s="3"/>
      <c r="AR87" s="3"/>
      <c r="AS87" s="3"/>
      <c r="AT87" s="31"/>
    </row>
    <row r="88" spans="2:46" x14ac:dyDescent="0.25">
      <c r="B88" s="5">
        <v>14</v>
      </c>
      <c r="C88" s="5">
        <v>5</v>
      </c>
      <c r="D88" s="5" t="s">
        <v>0</v>
      </c>
      <c r="E88" s="49" t="s">
        <v>22</v>
      </c>
      <c r="F88" s="5" t="s">
        <v>19</v>
      </c>
      <c r="G88" s="5">
        <f t="shared" si="13"/>
        <v>2</v>
      </c>
      <c r="H88" s="5" t="s">
        <v>13</v>
      </c>
      <c r="I88" s="5">
        <v>4</v>
      </c>
      <c r="J88" s="7">
        <f>I88+$J$4</f>
        <v>11</v>
      </c>
      <c r="K88" s="7" t="s">
        <v>28</v>
      </c>
      <c r="L88" s="3"/>
      <c r="M88" s="3"/>
      <c r="N88" s="3"/>
      <c r="O88" s="3"/>
      <c r="P88" s="3"/>
      <c r="Q88" s="3"/>
      <c r="R88" s="31"/>
      <c r="S88" s="3"/>
      <c r="T88" s="3"/>
      <c r="U88" s="3"/>
      <c r="V88" s="4">
        <v>2</v>
      </c>
      <c r="W88" s="4">
        <v>1</v>
      </c>
      <c r="X88" s="3"/>
      <c r="Y88" s="31"/>
      <c r="Z88" s="3"/>
      <c r="AA88" s="3"/>
      <c r="AB88" s="3"/>
      <c r="AC88" s="40">
        <v>2</v>
      </c>
      <c r="AD88" s="40">
        <v>1</v>
      </c>
      <c r="AE88" s="3"/>
      <c r="AF88" s="31"/>
      <c r="AG88" s="3"/>
      <c r="AH88" s="3"/>
      <c r="AI88" s="3"/>
      <c r="AJ88" s="37">
        <v>2</v>
      </c>
      <c r="AK88" s="37">
        <v>1</v>
      </c>
      <c r="AL88" s="3"/>
      <c r="AM88" s="31"/>
      <c r="AN88" s="3"/>
      <c r="AO88" s="3"/>
      <c r="AP88" s="3"/>
      <c r="AQ88" s="3">
        <v>2</v>
      </c>
      <c r="AR88" s="3">
        <v>1</v>
      </c>
      <c r="AS88" s="5"/>
      <c r="AT88" s="64"/>
    </row>
    <row r="89" spans="2:46" s="45" customFormat="1" x14ac:dyDescent="0.25">
      <c r="B89" s="3">
        <f>B87</f>
        <v>14</v>
      </c>
      <c r="C89" s="3">
        <v>6</v>
      </c>
      <c r="D89" s="5"/>
      <c r="E89" s="34" t="s">
        <v>33</v>
      </c>
      <c r="F89" s="5" t="s">
        <v>19</v>
      </c>
      <c r="G89" s="5">
        <f t="shared" si="13"/>
        <v>2</v>
      </c>
      <c r="H89" s="3" t="str">
        <f>H87</f>
        <v>L</v>
      </c>
      <c r="I89" s="32"/>
      <c r="J89" s="32"/>
      <c r="K89" s="7" t="s">
        <v>28</v>
      </c>
      <c r="L89" s="3">
        <v>5</v>
      </c>
      <c r="M89" s="3">
        <v>4</v>
      </c>
      <c r="N89" s="3">
        <v>3</v>
      </c>
      <c r="O89" s="3">
        <v>2</v>
      </c>
      <c r="P89" s="3">
        <v>1</v>
      </c>
      <c r="Q89" s="3">
        <v>8</v>
      </c>
      <c r="R89" s="31">
        <v>7</v>
      </c>
      <c r="S89" s="3">
        <v>5</v>
      </c>
      <c r="T89" s="56">
        <v>4</v>
      </c>
      <c r="U89" s="56">
        <v>3</v>
      </c>
      <c r="V89" s="46">
        <v>2</v>
      </c>
      <c r="W89" s="6">
        <v>1</v>
      </c>
      <c r="X89" s="4">
        <v>8</v>
      </c>
      <c r="Y89" s="21">
        <v>7</v>
      </c>
      <c r="Z89" s="4">
        <v>5</v>
      </c>
      <c r="AA89" s="4">
        <v>4</v>
      </c>
      <c r="AB89" s="4">
        <v>3</v>
      </c>
      <c r="AC89" s="4">
        <v>2</v>
      </c>
      <c r="AD89" s="4">
        <v>1</v>
      </c>
      <c r="AE89" s="40">
        <v>8</v>
      </c>
      <c r="AF89" s="41">
        <v>7</v>
      </c>
      <c r="AG89" s="40">
        <v>5</v>
      </c>
      <c r="AH89" s="40">
        <v>4</v>
      </c>
      <c r="AI89" s="40">
        <v>3</v>
      </c>
      <c r="AJ89" s="40">
        <v>2</v>
      </c>
      <c r="AK89" s="40">
        <v>1</v>
      </c>
      <c r="AL89" s="37">
        <v>8</v>
      </c>
      <c r="AM89" s="38">
        <v>7</v>
      </c>
      <c r="AN89" s="37">
        <v>5</v>
      </c>
      <c r="AO89" s="37">
        <v>4</v>
      </c>
      <c r="AP89" s="37">
        <v>3</v>
      </c>
      <c r="AQ89" s="37">
        <v>2</v>
      </c>
      <c r="AR89" s="37">
        <v>1</v>
      </c>
      <c r="AS89" s="3">
        <v>8</v>
      </c>
      <c r="AT89" s="31">
        <v>7</v>
      </c>
    </row>
    <row r="90" spans="2:46" x14ac:dyDescent="0.25">
      <c r="B90" s="5">
        <v>15</v>
      </c>
      <c r="C90" s="5">
        <v>1</v>
      </c>
      <c r="D90" s="5" t="s">
        <v>35</v>
      </c>
      <c r="E90" s="49" t="s">
        <v>24</v>
      </c>
      <c r="F90" s="5" t="s">
        <v>19</v>
      </c>
      <c r="G90" s="5">
        <f t="shared" si="13"/>
        <v>2</v>
      </c>
      <c r="H90" s="5" t="s">
        <v>14</v>
      </c>
      <c r="I90" s="5">
        <v>4</v>
      </c>
      <c r="J90" s="7">
        <f t="shared" si="0"/>
        <v>11</v>
      </c>
      <c r="K90" s="7"/>
      <c r="L90" s="3"/>
      <c r="M90" s="3"/>
      <c r="N90" s="3"/>
      <c r="O90" s="3"/>
      <c r="P90" s="3"/>
      <c r="Q90" s="3"/>
      <c r="R90" s="31"/>
      <c r="S90" s="3"/>
      <c r="T90" s="3"/>
      <c r="U90" s="5"/>
      <c r="V90" s="4">
        <v>4</v>
      </c>
      <c r="W90" s="3"/>
      <c r="X90" s="3"/>
      <c r="Y90" s="31"/>
      <c r="Z90" s="3"/>
      <c r="AA90" s="3"/>
      <c r="AB90" s="5"/>
      <c r="AC90" s="40">
        <v>4</v>
      </c>
      <c r="AD90" s="3"/>
      <c r="AE90" s="3"/>
      <c r="AF90" s="31"/>
      <c r="AG90" s="3"/>
      <c r="AH90" s="3"/>
      <c r="AI90" s="5"/>
      <c r="AJ90" s="37">
        <v>4</v>
      </c>
      <c r="AK90" s="3"/>
      <c r="AL90" s="3"/>
      <c r="AM90" s="31"/>
      <c r="AN90" s="3"/>
      <c r="AO90" s="3"/>
      <c r="AP90" s="5"/>
      <c r="AQ90" s="3">
        <v>4</v>
      </c>
      <c r="AR90" s="3"/>
      <c r="AS90" s="3"/>
      <c r="AT90" s="64"/>
    </row>
    <row r="91" spans="2:46" x14ac:dyDescent="0.25">
      <c r="B91" s="5">
        <v>15</v>
      </c>
      <c r="C91" s="5">
        <v>2</v>
      </c>
      <c r="D91" s="5" t="s">
        <v>21</v>
      </c>
      <c r="E91" s="49" t="s">
        <v>21</v>
      </c>
      <c r="F91" s="5" t="s">
        <v>19</v>
      </c>
      <c r="G91" s="5">
        <f t="shared" si="13"/>
        <v>2</v>
      </c>
      <c r="H91" s="5" t="s">
        <v>14</v>
      </c>
      <c r="I91" s="5">
        <v>5</v>
      </c>
      <c r="J91" s="7">
        <f t="shared" si="0"/>
        <v>12</v>
      </c>
      <c r="K91" s="7"/>
      <c r="L91" s="3"/>
      <c r="M91" s="3"/>
      <c r="N91" s="3"/>
      <c r="O91" s="3"/>
      <c r="P91" s="3"/>
      <c r="Q91" s="3"/>
      <c r="R91" s="31"/>
      <c r="S91" s="3"/>
      <c r="T91" s="3"/>
      <c r="U91" s="5"/>
      <c r="V91" s="3"/>
      <c r="W91" s="4">
        <v>3</v>
      </c>
      <c r="X91" s="4">
        <v>2</v>
      </c>
      <c r="Y91" s="31"/>
      <c r="Z91" s="3"/>
      <c r="AA91" s="3"/>
      <c r="AB91" s="5"/>
      <c r="AC91" s="3"/>
      <c r="AD91" s="40">
        <v>3</v>
      </c>
      <c r="AE91" s="40">
        <v>2</v>
      </c>
      <c r="AF91" s="31"/>
      <c r="AG91" s="3"/>
      <c r="AH91" s="3"/>
      <c r="AI91" s="5"/>
      <c r="AJ91" s="3"/>
      <c r="AK91" s="37">
        <v>3</v>
      </c>
      <c r="AL91" s="37">
        <v>2</v>
      </c>
      <c r="AM91" s="31"/>
      <c r="AN91" s="3"/>
      <c r="AO91" s="3"/>
      <c r="AP91" s="5"/>
      <c r="AQ91" s="3"/>
      <c r="AR91" s="3">
        <v>3</v>
      </c>
      <c r="AS91" s="3">
        <v>2</v>
      </c>
      <c r="AT91" s="64"/>
    </row>
    <row r="92" spans="2:46" x14ac:dyDescent="0.25">
      <c r="B92" s="5">
        <v>15</v>
      </c>
      <c r="C92" s="5">
        <v>3</v>
      </c>
      <c r="D92" s="5" t="s">
        <v>0</v>
      </c>
      <c r="E92" s="34" t="s">
        <v>0</v>
      </c>
      <c r="F92" s="5" t="s">
        <v>19</v>
      </c>
      <c r="G92" s="3">
        <v>2</v>
      </c>
      <c r="H92" s="5" t="s">
        <v>14</v>
      </c>
      <c r="I92" s="30">
        <v>8</v>
      </c>
      <c r="J92" s="30">
        <f t="shared" si="0"/>
        <v>15</v>
      </c>
      <c r="K92" s="7"/>
      <c r="L92" s="80"/>
      <c r="M92" s="80"/>
      <c r="N92" s="80"/>
      <c r="O92" s="80"/>
      <c r="P92" s="80"/>
      <c r="Q92" s="80"/>
      <c r="R92" s="81"/>
      <c r="S92" s="80"/>
      <c r="T92" s="80"/>
      <c r="U92" s="80"/>
      <c r="V92" s="80"/>
      <c r="W92" s="80"/>
      <c r="X92" s="80"/>
      <c r="Y92" s="64"/>
      <c r="Z92" s="4">
        <v>7</v>
      </c>
      <c r="AA92" s="4">
        <v>6</v>
      </c>
      <c r="AB92" s="4">
        <v>5</v>
      </c>
      <c r="AC92" s="4">
        <v>4</v>
      </c>
      <c r="AD92" s="80"/>
      <c r="AE92" s="80"/>
      <c r="AF92" s="64"/>
      <c r="AG92" s="40">
        <v>7</v>
      </c>
      <c r="AH92" s="40">
        <v>6</v>
      </c>
      <c r="AI92" s="40">
        <v>5</v>
      </c>
      <c r="AJ92" s="40">
        <v>4</v>
      </c>
      <c r="AK92" s="80"/>
      <c r="AL92" s="80"/>
      <c r="AM92" s="64"/>
      <c r="AN92" s="37">
        <v>7</v>
      </c>
      <c r="AO92" s="37">
        <v>6</v>
      </c>
      <c r="AP92" s="37">
        <v>5</v>
      </c>
      <c r="AQ92" s="37">
        <v>4</v>
      </c>
      <c r="AR92" s="80"/>
      <c r="AS92" s="80"/>
      <c r="AT92" s="81"/>
    </row>
    <row r="93" spans="2:46" s="45" customFormat="1" x14ac:dyDescent="0.25">
      <c r="B93" s="3">
        <f>B92</f>
        <v>15</v>
      </c>
      <c r="C93" s="3">
        <v>4</v>
      </c>
      <c r="D93" s="5" t="s">
        <v>0</v>
      </c>
      <c r="E93" s="34" t="s">
        <v>32</v>
      </c>
      <c r="F93" s="5" t="s">
        <v>19</v>
      </c>
      <c r="G93" s="5">
        <f t="shared" ref="G93:H95" si="14">G92</f>
        <v>2</v>
      </c>
      <c r="H93" s="3" t="str">
        <f t="shared" si="14"/>
        <v>M</v>
      </c>
      <c r="I93" s="30">
        <v>5</v>
      </c>
      <c r="J93" s="30">
        <f t="shared" si="0"/>
        <v>12</v>
      </c>
      <c r="K93" s="30"/>
      <c r="L93" s="3"/>
      <c r="M93" s="3"/>
      <c r="N93" s="3"/>
      <c r="O93" s="3"/>
      <c r="P93" s="3"/>
      <c r="Q93" s="3"/>
      <c r="R93" s="31"/>
      <c r="S93" s="3"/>
      <c r="T93" s="3"/>
      <c r="U93" s="3"/>
      <c r="V93" s="34"/>
      <c r="W93" s="3">
        <v>3</v>
      </c>
      <c r="X93" s="3">
        <v>2</v>
      </c>
      <c r="Y93" s="31"/>
      <c r="Z93" s="3"/>
      <c r="AA93" s="3"/>
      <c r="AB93" s="3"/>
      <c r="AC93" s="34"/>
      <c r="AD93" s="4">
        <v>3</v>
      </c>
      <c r="AE93" s="4">
        <v>2</v>
      </c>
      <c r="AF93" s="31"/>
      <c r="AG93" s="3"/>
      <c r="AH93" s="3"/>
      <c r="AI93" s="3"/>
      <c r="AJ93" s="34"/>
      <c r="AK93" s="40">
        <v>3</v>
      </c>
      <c r="AL93" s="40">
        <v>2</v>
      </c>
      <c r="AM93" s="31"/>
      <c r="AN93" s="3"/>
      <c r="AO93" s="3"/>
      <c r="AP93" s="3"/>
      <c r="AQ93" s="34"/>
      <c r="AR93" s="37">
        <v>3</v>
      </c>
      <c r="AS93" s="37">
        <v>2</v>
      </c>
      <c r="AT93" s="31"/>
    </row>
    <row r="94" spans="2:46" x14ac:dyDescent="0.25">
      <c r="B94" s="5">
        <v>15</v>
      </c>
      <c r="C94" s="5">
        <v>5</v>
      </c>
      <c r="D94" s="5" t="s">
        <v>0</v>
      </c>
      <c r="E94" s="49" t="s">
        <v>22</v>
      </c>
      <c r="F94" s="5" t="s">
        <v>19</v>
      </c>
      <c r="G94" s="5">
        <f t="shared" si="14"/>
        <v>2</v>
      </c>
      <c r="H94" s="5" t="s">
        <v>14</v>
      </c>
      <c r="I94" s="5">
        <v>7</v>
      </c>
      <c r="J94" s="7">
        <f>I94+$J$4</f>
        <v>14</v>
      </c>
      <c r="K94" s="7"/>
      <c r="L94" s="3"/>
      <c r="M94" s="3"/>
      <c r="N94" s="3"/>
      <c r="O94" s="3"/>
      <c r="P94" s="3"/>
      <c r="Q94" s="3"/>
      <c r="R94" s="31"/>
      <c r="S94" s="3"/>
      <c r="T94" s="3"/>
      <c r="U94" s="3"/>
      <c r="V94" s="5"/>
      <c r="W94" s="3"/>
      <c r="X94" s="3"/>
      <c r="Y94" s="21">
        <v>1</v>
      </c>
      <c r="Z94" s="3"/>
      <c r="AA94" s="3"/>
      <c r="AB94" s="3"/>
      <c r="AC94" s="5"/>
      <c r="AD94" s="3"/>
      <c r="AE94" s="3"/>
      <c r="AF94" s="41">
        <v>1</v>
      </c>
      <c r="AG94" s="3"/>
      <c r="AH94" s="3"/>
      <c r="AI94" s="3"/>
      <c r="AJ94" s="5"/>
      <c r="AK94" s="3"/>
      <c r="AL94" s="3"/>
      <c r="AM94" s="38">
        <v>1</v>
      </c>
      <c r="AN94" s="3"/>
      <c r="AO94" s="3"/>
      <c r="AP94" s="3"/>
      <c r="AQ94" s="5"/>
      <c r="AR94" s="3"/>
      <c r="AS94" s="3"/>
      <c r="AT94" s="64">
        <v>1</v>
      </c>
    </row>
    <row r="95" spans="2:46" s="45" customFormat="1" ht="15.75" thickBot="1" x14ac:dyDescent="0.3">
      <c r="B95" s="3">
        <f>B93</f>
        <v>15</v>
      </c>
      <c r="C95" s="3">
        <v>6</v>
      </c>
      <c r="D95" s="5"/>
      <c r="E95" s="34" t="s">
        <v>33</v>
      </c>
      <c r="F95" s="5" t="s">
        <v>19</v>
      </c>
      <c r="G95" s="5">
        <f t="shared" si="14"/>
        <v>2</v>
      </c>
      <c r="H95" s="3" t="str">
        <f>H93</f>
        <v>M</v>
      </c>
      <c r="I95" s="32"/>
      <c r="J95" s="32"/>
      <c r="K95" s="30"/>
      <c r="L95" s="74">
        <v>7</v>
      </c>
      <c r="M95" s="74">
        <v>6</v>
      </c>
      <c r="N95" s="74">
        <v>5</v>
      </c>
      <c r="O95" s="77">
        <v>4</v>
      </c>
      <c r="P95" s="77">
        <v>3</v>
      </c>
      <c r="Q95" s="83">
        <v>2</v>
      </c>
      <c r="R95" s="94">
        <v>1</v>
      </c>
      <c r="S95" s="10">
        <v>7</v>
      </c>
      <c r="T95" s="10">
        <v>6</v>
      </c>
      <c r="U95" s="10">
        <v>5</v>
      </c>
      <c r="V95" s="10">
        <v>4</v>
      </c>
      <c r="W95" s="10">
        <v>3</v>
      </c>
      <c r="X95" s="10">
        <v>2</v>
      </c>
      <c r="Y95" s="22">
        <v>1</v>
      </c>
      <c r="Z95" s="50">
        <v>7</v>
      </c>
      <c r="AA95" s="50">
        <v>6</v>
      </c>
      <c r="AB95" s="50">
        <v>5</v>
      </c>
      <c r="AC95" s="50">
        <v>4</v>
      </c>
      <c r="AD95" s="50">
        <v>3</v>
      </c>
      <c r="AE95" s="50">
        <v>2</v>
      </c>
      <c r="AF95" s="51">
        <v>1</v>
      </c>
      <c r="AG95" s="53">
        <v>7</v>
      </c>
      <c r="AH95" s="53">
        <v>6</v>
      </c>
      <c r="AI95" s="53">
        <v>5</v>
      </c>
      <c r="AJ95" s="53">
        <v>4</v>
      </c>
      <c r="AK95" s="53">
        <v>3</v>
      </c>
      <c r="AL95" s="53">
        <v>2</v>
      </c>
      <c r="AM95" s="54">
        <v>1</v>
      </c>
      <c r="AN95" s="74">
        <v>7</v>
      </c>
      <c r="AO95" s="74">
        <v>6</v>
      </c>
      <c r="AP95" s="74">
        <v>5</v>
      </c>
      <c r="AQ95" s="74">
        <v>4</v>
      </c>
      <c r="AR95" s="74">
        <v>3</v>
      </c>
      <c r="AS95" s="74">
        <v>2</v>
      </c>
      <c r="AT95" s="75">
        <v>1</v>
      </c>
    </row>
    <row r="96" spans="2:46" x14ac:dyDescent="0.25"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</row>
    <row r="97" spans="12:46" x14ac:dyDescent="0.25"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43"/>
      <c r="AO97" s="43"/>
      <c r="AP97" s="43"/>
      <c r="AQ97" s="43"/>
      <c r="AR97" s="43"/>
      <c r="AS97" s="43"/>
      <c r="AT97" s="43"/>
    </row>
    <row r="98" spans="12:46" x14ac:dyDescent="0.25"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43"/>
      <c r="AO98" s="43"/>
      <c r="AP98" s="43"/>
      <c r="AQ98" s="43"/>
      <c r="AR98" s="43"/>
      <c r="AS98" s="43"/>
      <c r="AT98" s="43"/>
    </row>
    <row r="99" spans="12:46" x14ac:dyDescent="0.25"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43"/>
      <c r="AO99" s="43"/>
      <c r="AP99" s="43"/>
      <c r="AQ99" s="43"/>
      <c r="AR99" s="43"/>
      <c r="AS99" s="43"/>
      <c r="AT99" s="43"/>
    </row>
    <row r="100" spans="12:46" x14ac:dyDescent="0.25"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43"/>
      <c r="AO100" s="43"/>
      <c r="AP100" s="43"/>
      <c r="AQ100" s="43"/>
      <c r="AR100" s="43"/>
      <c r="AS100" s="43"/>
      <c r="AT100" s="43"/>
    </row>
    <row r="101" spans="12:46" x14ac:dyDescent="0.25"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43"/>
      <c r="AO101" s="43"/>
      <c r="AP101" s="43"/>
      <c r="AQ101" s="43"/>
      <c r="AR101" s="43"/>
      <c r="AS101" s="43"/>
      <c r="AT101" s="43"/>
    </row>
    <row r="102" spans="12:46" x14ac:dyDescent="0.25"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43"/>
      <c r="AO102" s="43"/>
      <c r="AP102" s="43"/>
      <c r="AQ102" s="43"/>
      <c r="AR102" s="43"/>
      <c r="AS102" s="43"/>
      <c r="AT102" s="43"/>
    </row>
    <row r="103" spans="12:46" x14ac:dyDescent="0.25"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43"/>
      <c r="AO103" s="43"/>
      <c r="AP103" s="43"/>
      <c r="AQ103" s="43"/>
      <c r="AR103" s="43"/>
      <c r="AS103" s="43"/>
      <c r="AT103" s="43"/>
    </row>
    <row r="104" spans="12:46" x14ac:dyDescent="0.25"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43"/>
      <c r="AO104" s="43"/>
      <c r="AP104" s="43"/>
      <c r="AQ104" s="43"/>
      <c r="AR104" s="43"/>
      <c r="AS104" s="43"/>
      <c r="AT104" s="43"/>
    </row>
    <row r="105" spans="12:46" x14ac:dyDescent="0.25"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43"/>
      <c r="AO105" s="43"/>
      <c r="AP105" s="43"/>
      <c r="AQ105" s="43"/>
      <c r="AR105" s="43"/>
      <c r="AS105" s="43"/>
      <c r="AT105" s="43"/>
    </row>
    <row r="106" spans="12:46" x14ac:dyDescent="0.25"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43"/>
      <c r="AO106" s="43"/>
      <c r="AP106" s="43"/>
      <c r="AQ106" s="43"/>
      <c r="AR106" s="43"/>
      <c r="AS106" s="43"/>
      <c r="AT106" s="43"/>
    </row>
    <row r="107" spans="12:46" x14ac:dyDescent="0.25"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43"/>
      <c r="AO107" s="43"/>
      <c r="AP107" s="43"/>
      <c r="AQ107" s="43"/>
      <c r="AR107" s="43"/>
      <c r="AS107" s="43"/>
      <c r="AT107" s="43"/>
    </row>
    <row r="108" spans="12:46" x14ac:dyDescent="0.25"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43"/>
      <c r="AO108" s="43"/>
      <c r="AP108" s="43"/>
      <c r="AQ108" s="43"/>
      <c r="AR108" s="43"/>
      <c r="AS108" s="43"/>
      <c r="AT108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CE162"/>
  <sheetViews>
    <sheetView zoomScale="70" zoomScaleNormal="70" workbookViewId="0">
      <pane xSplit="13" topLeftCell="N1" activePane="topRight" state="frozen"/>
      <selection pane="topRight" activeCell="D32" sqref="D32"/>
    </sheetView>
  </sheetViews>
  <sheetFormatPr defaultColWidth="3.28515625" defaultRowHeight="15" x14ac:dyDescent="0.25"/>
  <cols>
    <col min="1" max="1" width="3.28515625" style="2"/>
    <col min="2" max="2" width="9.140625" bestFit="1" customWidth="1"/>
    <col min="3" max="3" width="14.85546875" bestFit="1" customWidth="1"/>
    <col min="4" max="4" width="33" bestFit="1" customWidth="1"/>
    <col min="5" max="5" width="21.140625" customWidth="1"/>
    <col min="6" max="6" width="21" bestFit="1" customWidth="1"/>
    <col min="7" max="7" width="7.140625" bestFit="1" customWidth="1"/>
    <col min="8" max="8" width="7.140625" customWidth="1"/>
    <col min="9" max="9" width="6.7109375" style="43" customWidth="1"/>
    <col min="10" max="10" width="8.28515625" bestFit="1" customWidth="1"/>
    <col min="11" max="11" width="10.5703125" bestFit="1" customWidth="1"/>
    <col min="12" max="12" width="11" bestFit="1" customWidth="1"/>
    <col min="13" max="13" width="8.85546875" bestFit="1" customWidth="1"/>
    <col min="14" max="21" width="3.7109375" style="255" customWidth="1"/>
    <col min="22" max="22" width="3.7109375" style="316" customWidth="1"/>
    <col min="23" max="26" width="3.7109375" style="255" customWidth="1"/>
    <col min="27" max="27" width="3.7109375" style="315" customWidth="1"/>
    <col min="28" max="34" width="3.7109375" style="255" customWidth="1"/>
    <col min="35" max="35" width="3.7109375" style="313" customWidth="1"/>
    <col min="36" max="83" width="3.7109375" style="255" customWidth="1"/>
    <col min="84" max="16384" width="3.28515625" style="2"/>
  </cols>
  <sheetData>
    <row r="1" spans="1:83" customFormat="1" ht="21" x14ac:dyDescent="0.35">
      <c r="A1" s="2"/>
      <c r="B1" s="250" t="s">
        <v>60</v>
      </c>
      <c r="D1" s="335">
        <v>14</v>
      </c>
      <c r="E1" s="334" t="s">
        <v>62</v>
      </c>
      <c r="I1" s="43"/>
      <c r="N1" s="251"/>
      <c r="O1" s="251"/>
      <c r="P1" s="251"/>
      <c r="Q1" s="251"/>
      <c r="R1" s="251"/>
      <c r="S1" s="251"/>
      <c r="T1" s="251"/>
      <c r="U1" s="251"/>
      <c r="V1" s="252"/>
      <c r="W1" s="251"/>
      <c r="X1" s="251"/>
      <c r="Y1" s="251"/>
      <c r="Z1" s="251"/>
      <c r="AA1" s="253"/>
      <c r="AB1" s="251"/>
      <c r="AC1" s="251"/>
      <c r="AD1" s="251"/>
      <c r="AE1" s="251"/>
      <c r="AF1" s="251"/>
      <c r="AG1" s="251"/>
      <c r="AH1" s="251"/>
      <c r="AI1" s="254"/>
      <c r="AJ1" s="251"/>
      <c r="AK1" s="251"/>
      <c r="AL1" s="251"/>
      <c r="AM1" s="251"/>
      <c r="AN1" s="251"/>
      <c r="AO1" s="251"/>
      <c r="AP1" s="251"/>
      <c r="AQ1" s="251"/>
      <c r="AR1" s="251"/>
      <c r="AS1" s="251"/>
      <c r="AT1" s="251"/>
      <c r="AU1" s="251"/>
      <c r="AV1" s="251"/>
      <c r="AW1" s="251"/>
      <c r="AX1" s="251"/>
      <c r="AY1" s="251"/>
      <c r="AZ1" s="251"/>
      <c r="BA1" s="251"/>
      <c r="BB1" s="251"/>
      <c r="BC1" s="251"/>
      <c r="BD1" s="251"/>
      <c r="BE1" s="251"/>
      <c r="BF1" s="251"/>
      <c r="BG1" s="251"/>
      <c r="BH1" s="251"/>
      <c r="BI1" s="251"/>
      <c r="BJ1" s="251"/>
      <c r="BK1" s="251"/>
      <c r="BL1" s="251"/>
      <c r="BM1" s="251"/>
      <c r="BN1" s="251"/>
      <c r="BO1" s="251"/>
      <c r="BP1" s="251"/>
      <c r="BQ1" s="251"/>
      <c r="BR1" s="251"/>
      <c r="BS1" s="251"/>
      <c r="BT1" s="251"/>
      <c r="BU1" s="251"/>
      <c r="BV1" s="251"/>
      <c r="BW1" s="251"/>
      <c r="BX1" s="251"/>
      <c r="BY1" s="251"/>
      <c r="BZ1" s="251"/>
      <c r="CA1" s="251"/>
      <c r="CB1" s="251"/>
      <c r="CC1" s="251"/>
      <c r="CD1" s="251"/>
      <c r="CE1" s="251"/>
    </row>
    <row r="2" spans="1:83" customFormat="1" x14ac:dyDescent="0.25">
      <c r="A2" s="2"/>
      <c r="I2" s="43"/>
      <c r="N2" s="251"/>
      <c r="O2" s="251"/>
      <c r="P2" s="251"/>
      <c r="Q2" s="251"/>
      <c r="R2" s="251"/>
      <c r="S2" s="251"/>
      <c r="T2" s="251"/>
      <c r="U2" s="251"/>
      <c r="V2" s="252"/>
      <c r="W2" s="251"/>
      <c r="X2" s="251"/>
      <c r="Y2" s="251"/>
      <c r="Z2" s="251"/>
      <c r="AA2" s="356" t="s">
        <v>37</v>
      </c>
      <c r="AB2" s="356"/>
      <c r="AC2" s="251"/>
      <c r="AD2" s="251"/>
      <c r="AE2" s="251"/>
      <c r="AF2" s="251"/>
      <c r="AG2" s="251"/>
      <c r="AH2" s="251"/>
      <c r="AI2" s="254"/>
      <c r="AJ2" s="251"/>
      <c r="AK2" s="251"/>
      <c r="AL2" s="251"/>
      <c r="AM2" s="251"/>
      <c r="AN2" s="251"/>
      <c r="AO2" s="251"/>
      <c r="AP2" s="251"/>
      <c r="AQ2" s="251"/>
      <c r="AR2" s="251"/>
      <c r="AS2" s="251"/>
      <c r="AT2" s="251"/>
      <c r="AU2" s="251"/>
      <c r="AV2" s="251"/>
      <c r="AW2" s="251"/>
      <c r="AX2" s="251"/>
      <c r="AY2" s="251"/>
      <c r="AZ2" s="251"/>
      <c r="BA2" s="251"/>
      <c r="BB2" s="251"/>
      <c r="BC2" s="251"/>
      <c r="BD2" s="251"/>
      <c r="BE2" s="251"/>
      <c r="BF2" s="251"/>
      <c r="BG2" s="251"/>
      <c r="BH2" s="251"/>
      <c r="BI2" s="251"/>
      <c r="BJ2" s="251"/>
      <c r="BK2" s="251"/>
      <c r="BL2" s="251"/>
      <c r="BM2" s="251"/>
      <c r="BN2" s="251"/>
      <c r="BO2" s="251"/>
      <c r="BP2" s="251"/>
      <c r="BQ2" s="251"/>
      <c r="BR2" s="251"/>
      <c r="BS2" s="251"/>
      <c r="BT2" s="251"/>
      <c r="BU2" s="251"/>
      <c r="BV2" s="251"/>
      <c r="BW2" s="251"/>
      <c r="BX2" s="251"/>
      <c r="BY2" s="251"/>
      <c r="BZ2" s="251"/>
      <c r="CA2" s="251"/>
      <c r="CB2" s="251"/>
      <c r="CC2" s="251"/>
      <c r="CD2" s="251"/>
      <c r="CE2" s="251"/>
    </row>
    <row r="3" spans="1:83" s="251" customFormat="1" x14ac:dyDescent="0.25">
      <c r="A3" s="255"/>
      <c r="B3" s="256" t="s">
        <v>26</v>
      </c>
      <c r="C3" s="256" t="s">
        <v>25</v>
      </c>
      <c r="D3" s="256"/>
      <c r="E3" s="256" t="s">
        <v>36</v>
      </c>
      <c r="F3" s="256" t="s">
        <v>29</v>
      </c>
      <c r="G3" s="256" t="s">
        <v>17</v>
      </c>
      <c r="H3" s="3" t="s">
        <v>20</v>
      </c>
      <c r="I3" s="3" t="s">
        <v>20</v>
      </c>
      <c r="J3" s="256" t="s">
        <v>1</v>
      </c>
      <c r="K3" s="256" t="s">
        <v>30</v>
      </c>
      <c r="L3" s="256" t="s">
        <v>31</v>
      </c>
      <c r="M3" s="256" t="s">
        <v>27</v>
      </c>
      <c r="N3" s="357">
        <v>9</v>
      </c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  <c r="AA3" s="358"/>
      <c r="AB3" s="357">
        <v>8</v>
      </c>
      <c r="AC3" s="358"/>
      <c r="AD3" s="358"/>
      <c r="AE3" s="358"/>
      <c r="AF3" s="358"/>
      <c r="AG3" s="358"/>
      <c r="AH3" s="358"/>
      <c r="AI3" s="358"/>
      <c r="AJ3" s="358"/>
      <c r="AK3" s="358"/>
      <c r="AL3" s="358"/>
      <c r="AM3" s="358"/>
      <c r="AN3" s="358"/>
      <c r="AO3" s="358"/>
    </row>
    <row r="4" spans="1:83" customFormat="1" ht="15.75" customHeight="1" x14ac:dyDescent="0.25">
      <c r="A4" s="2"/>
      <c r="B4" s="257"/>
      <c r="C4" s="257"/>
      <c r="D4" s="257"/>
      <c r="E4" s="257"/>
      <c r="F4" s="257"/>
      <c r="G4" s="257"/>
      <c r="H4" s="45"/>
      <c r="I4" s="45"/>
      <c r="J4" s="257"/>
      <c r="K4" s="257"/>
      <c r="L4" s="257">
        <v>14</v>
      </c>
      <c r="M4" s="257"/>
      <c r="N4" s="258">
        <v>14</v>
      </c>
      <c r="O4" s="258">
        <v>13</v>
      </c>
      <c r="P4" s="258">
        <v>12</v>
      </c>
      <c r="Q4" s="258">
        <v>11</v>
      </c>
      <c r="R4" s="258">
        <v>10</v>
      </c>
      <c r="S4" s="258">
        <v>9</v>
      </c>
      <c r="T4" s="258">
        <v>8</v>
      </c>
      <c r="U4" s="258">
        <v>7</v>
      </c>
      <c r="V4" s="258">
        <v>6</v>
      </c>
      <c r="W4" s="258">
        <v>5</v>
      </c>
      <c r="X4" s="258">
        <v>4</v>
      </c>
      <c r="Y4" s="258">
        <v>3</v>
      </c>
      <c r="Z4" s="258">
        <v>2</v>
      </c>
      <c r="AA4" s="259">
        <v>1</v>
      </c>
      <c r="AB4" s="260">
        <v>14</v>
      </c>
      <c r="AC4" s="261">
        <v>13</v>
      </c>
      <c r="AD4" s="261">
        <v>12</v>
      </c>
      <c r="AE4" s="261">
        <v>11</v>
      </c>
      <c r="AF4" s="261">
        <v>10</v>
      </c>
      <c r="AG4" s="261">
        <v>9</v>
      </c>
      <c r="AH4" s="261">
        <v>8</v>
      </c>
      <c r="AI4" s="262">
        <v>7</v>
      </c>
      <c r="AJ4" s="260">
        <v>6</v>
      </c>
      <c r="AK4" s="261">
        <v>5</v>
      </c>
      <c r="AL4" s="261">
        <v>4</v>
      </c>
      <c r="AM4" s="261">
        <v>3</v>
      </c>
      <c r="AN4" s="261">
        <v>2</v>
      </c>
      <c r="AO4" s="261">
        <v>1</v>
      </c>
      <c r="AP4" s="263">
        <v>14</v>
      </c>
      <c r="AQ4" s="263">
        <v>13</v>
      </c>
      <c r="AR4" s="263">
        <v>12</v>
      </c>
      <c r="AS4" s="263">
        <v>11</v>
      </c>
      <c r="AT4" s="263">
        <v>10</v>
      </c>
      <c r="AU4" s="263">
        <v>9</v>
      </c>
      <c r="AV4" s="263">
        <v>8</v>
      </c>
      <c r="AW4" s="263">
        <v>7</v>
      </c>
      <c r="AX4" s="263">
        <v>6</v>
      </c>
      <c r="AY4" s="263">
        <v>5</v>
      </c>
      <c r="AZ4" s="263">
        <v>4</v>
      </c>
      <c r="BA4" s="263">
        <v>3</v>
      </c>
      <c r="BB4" s="263">
        <v>2</v>
      </c>
      <c r="BC4" s="263">
        <v>1</v>
      </c>
      <c r="BD4" s="264">
        <v>14</v>
      </c>
      <c r="BE4" s="264">
        <v>13</v>
      </c>
      <c r="BF4" s="264">
        <v>12</v>
      </c>
      <c r="BG4" s="264">
        <v>11</v>
      </c>
      <c r="BH4" s="264">
        <v>10</v>
      </c>
      <c r="BI4" s="264">
        <v>9</v>
      </c>
      <c r="BJ4" s="264">
        <v>8</v>
      </c>
      <c r="BK4" s="264">
        <v>7</v>
      </c>
      <c r="BL4" s="264">
        <v>6</v>
      </c>
      <c r="BM4" s="264">
        <v>5</v>
      </c>
      <c r="BN4" s="264">
        <v>4</v>
      </c>
      <c r="BO4" s="264">
        <v>3</v>
      </c>
      <c r="BP4" s="264">
        <v>2</v>
      </c>
      <c r="BQ4" s="264">
        <v>1</v>
      </c>
      <c r="BR4" s="265">
        <v>14</v>
      </c>
      <c r="BS4" s="265">
        <v>13</v>
      </c>
      <c r="BT4" s="265">
        <v>12</v>
      </c>
      <c r="BU4" s="265">
        <v>11</v>
      </c>
      <c r="BV4" s="265">
        <v>10</v>
      </c>
      <c r="BW4" s="265">
        <v>9</v>
      </c>
      <c r="BX4" s="265">
        <v>8</v>
      </c>
      <c r="BY4" s="265">
        <v>7</v>
      </c>
      <c r="BZ4" s="265">
        <v>6</v>
      </c>
      <c r="CA4" s="265">
        <v>5</v>
      </c>
      <c r="CB4" s="265">
        <v>4</v>
      </c>
      <c r="CC4" s="265">
        <v>3</v>
      </c>
      <c r="CD4" s="265">
        <v>2</v>
      </c>
      <c r="CE4" s="265">
        <v>1</v>
      </c>
    </row>
    <row r="5" spans="1:83" s="277" customFormat="1" x14ac:dyDescent="0.25">
      <c r="A5" s="266"/>
      <c r="B5" s="267">
        <v>0</v>
      </c>
      <c r="C5" s="267">
        <v>0</v>
      </c>
      <c r="D5" s="267"/>
      <c r="E5" s="267"/>
      <c r="F5" s="267" t="s">
        <v>23</v>
      </c>
      <c r="G5" s="267"/>
      <c r="H5" s="267"/>
      <c r="I5" s="34"/>
      <c r="J5" s="267"/>
      <c r="K5" s="267">
        <v>-6</v>
      </c>
      <c r="L5" s="268">
        <v>6</v>
      </c>
      <c r="M5" s="268"/>
      <c r="N5" s="269">
        <v>8</v>
      </c>
      <c r="O5" s="269">
        <v>7</v>
      </c>
      <c r="P5" s="269">
        <v>6</v>
      </c>
      <c r="Q5" s="269">
        <v>5</v>
      </c>
      <c r="R5" s="269">
        <v>4</v>
      </c>
      <c r="S5" s="269">
        <v>3</v>
      </c>
      <c r="T5" s="269">
        <v>2</v>
      </c>
      <c r="U5" s="270">
        <v>1</v>
      </c>
      <c r="V5" s="271">
        <v>14</v>
      </c>
      <c r="W5" s="271">
        <v>13</v>
      </c>
      <c r="X5" s="271">
        <v>12</v>
      </c>
      <c r="Y5" s="271">
        <v>11</v>
      </c>
      <c r="Z5" s="271">
        <v>10</v>
      </c>
      <c r="AA5" s="272">
        <v>9</v>
      </c>
      <c r="AB5" s="273">
        <v>8</v>
      </c>
      <c r="AC5" s="271">
        <v>7</v>
      </c>
      <c r="AD5" s="271">
        <v>6</v>
      </c>
      <c r="AE5" s="271">
        <v>5</v>
      </c>
      <c r="AF5" s="271">
        <v>4</v>
      </c>
      <c r="AG5" s="271">
        <v>3</v>
      </c>
      <c r="AH5" s="271">
        <v>2</v>
      </c>
      <c r="AI5" s="274">
        <v>1</v>
      </c>
      <c r="AJ5" s="275">
        <v>14</v>
      </c>
      <c r="AK5" s="276">
        <v>13</v>
      </c>
      <c r="AL5" s="276">
        <v>12</v>
      </c>
      <c r="AM5" s="276">
        <v>11</v>
      </c>
      <c r="AN5" s="276">
        <v>10</v>
      </c>
      <c r="AO5" s="276">
        <v>9</v>
      </c>
      <c r="AP5" s="276">
        <v>8</v>
      </c>
      <c r="AQ5" s="276">
        <v>7</v>
      </c>
      <c r="AR5" s="276">
        <v>6</v>
      </c>
      <c r="AS5" s="276">
        <v>5</v>
      </c>
      <c r="AT5" s="276">
        <v>4</v>
      </c>
      <c r="AU5" s="276">
        <v>3</v>
      </c>
      <c r="AV5" s="276">
        <v>2</v>
      </c>
      <c r="AW5" s="276">
        <v>1</v>
      </c>
      <c r="AX5" s="264">
        <v>14</v>
      </c>
      <c r="AY5" s="264">
        <v>13</v>
      </c>
      <c r="AZ5" s="264">
        <v>12</v>
      </c>
      <c r="BA5" s="264">
        <v>11</v>
      </c>
      <c r="BB5" s="264">
        <v>10</v>
      </c>
      <c r="BC5" s="264">
        <v>9</v>
      </c>
      <c r="BD5" s="264">
        <v>8</v>
      </c>
      <c r="BE5" s="264">
        <v>7</v>
      </c>
      <c r="BF5" s="264">
        <v>6</v>
      </c>
      <c r="BG5" s="264">
        <v>5</v>
      </c>
      <c r="BH5" s="264">
        <v>4</v>
      </c>
      <c r="BI5" s="264">
        <v>3</v>
      </c>
      <c r="BJ5" s="264">
        <v>2</v>
      </c>
      <c r="BK5" s="264">
        <v>1</v>
      </c>
      <c r="BL5" s="267">
        <v>14</v>
      </c>
      <c r="BM5" s="267">
        <v>13</v>
      </c>
      <c r="BN5" s="267">
        <v>12</v>
      </c>
      <c r="BO5" s="267">
        <v>11</v>
      </c>
      <c r="BP5" s="267">
        <v>10</v>
      </c>
      <c r="BQ5" s="267">
        <v>9</v>
      </c>
      <c r="BR5" s="267">
        <v>8</v>
      </c>
      <c r="BS5" s="267">
        <v>7</v>
      </c>
      <c r="BT5" s="267">
        <v>6</v>
      </c>
      <c r="BU5" s="267">
        <v>5</v>
      </c>
      <c r="BV5" s="267">
        <v>4</v>
      </c>
      <c r="BW5" s="267">
        <v>3</v>
      </c>
      <c r="BX5" s="267">
        <v>2</v>
      </c>
      <c r="BY5" s="267">
        <v>1</v>
      </c>
      <c r="BZ5" s="267">
        <v>14</v>
      </c>
      <c r="CA5" s="267">
        <v>13</v>
      </c>
      <c r="CB5" s="267">
        <v>12</v>
      </c>
      <c r="CC5" s="267">
        <v>11</v>
      </c>
      <c r="CD5" s="267">
        <v>10</v>
      </c>
      <c r="CE5" s="267">
        <v>9</v>
      </c>
    </row>
    <row r="6" spans="1:83" ht="15" hidden="1" customHeight="1" x14ac:dyDescent="0.25">
      <c r="B6" s="265">
        <v>1</v>
      </c>
      <c r="C6" s="265">
        <v>1</v>
      </c>
      <c r="D6" s="265" t="str">
        <f>F6&amp;"_"&amp;G6&amp;"_"&amp;J6&amp;"_"&amp;I6&amp;"_"&amp;$D$1</f>
        <v>SORTING_EAST_UNP_1_14</v>
      </c>
      <c r="E6" s="265" t="s">
        <v>35</v>
      </c>
      <c r="F6" s="49" t="s">
        <v>45</v>
      </c>
      <c r="G6" s="3" t="s">
        <v>18</v>
      </c>
      <c r="H6" s="3">
        <v>1</v>
      </c>
      <c r="I6" s="3">
        <v>1</v>
      </c>
      <c r="J6" s="3" t="s">
        <v>42</v>
      </c>
      <c r="K6" s="3"/>
      <c r="L6" s="90">
        <f>COUNT(V6:AO6)</f>
        <v>0</v>
      </c>
      <c r="M6" s="30"/>
      <c r="N6" s="278"/>
      <c r="O6" s="279"/>
      <c r="P6" s="279"/>
      <c r="Q6" s="33"/>
      <c r="R6" s="33"/>
      <c r="S6" s="33"/>
      <c r="T6" s="33"/>
      <c r="U6" s="280"/>
      <c r="V6" s="281"/>
      <c r="W6" s="33"/>
      <c r="X6" s="33"/>
      <c r="Y6" s="33"/>
      <c r="Z6" s="33"/>
      <c r="AA6" s="35"/>
      <c r="AB6" s="279"/>
      <c r="AC6" s="279"/>
      <c r="AD6" s="279"/>
      <c r="AE6" s="33"/>
      <c r="AF6" s="33"/>
      <c r="AG6" s="33"/>
      <c r="AH6" s="33"/>
      <c r="AI6" s="282"/>
      <c r="AJ6" s="279"/>
      <c r="AK6" s="33"/>
      <c r="AL6" s="33"/>
      <c r="AM6" s="33"/>
      <c r="AN6" s="33"/>
      <c r="AO6" s="3"/>
      <c r="AP6" s="279"/>
      <c r="AQ6" s="279"/>
      <c r="AR6" s="279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5"/>
      <c r="BD6" s="278"/>
      <c r="BE6" s="279"/>
      <c r="BF6" s="279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5"/>
      <c r="BR6" s="278"/>
      <c r="BS6" s="279"/>
      <c r="BT6" s="279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5"/>
    </row>
    <row r="7" spans="1:83" ht="15" hidden="1" customHeight="1" x14ac:dyDescent="0.25">
      <c r="B7" s="265">
        <v>1</v>
      </c>
      <c r="C7" s="265">
        <v>2</v>
      </c>
      <c r="D7" s="265" t="str">
        <f t="shared" ref="D7:D76" si="0">F7&amp;"_"&amp;G7&amp;"_"&amp;J7&amp;"_"&amp;I7&amp;"_"&amp;$D$1</f>
        <v>TRANSFER_EAST_UNP_1_14</v>
      </c>
      <c r="E7" s="265" t="s">
        <v>21</v>
      </c>
      <c r="F7" s="49" t="s">
        <v>21</v>
      </c>
      <c r="G7" s="3" t="s">
        <v>18</v>
      </c>
      <c r="H7" s="3">
        <v>1</v>
      </c>
      <c r="I7" s="3">
        <v>1</v>
      </c>
      <c r="J7" s="3" t="s">
        <v>42</v>
      </c>
      <c r="K7" s="3"/>
      <c r="L7" s="90">
        <f>COUNT(V7:AO7)</f>
        <v>1</v>
      </c>
      <c r="M7" s="30"/>
      <c r="N7" s="8"/>
      <c r="O7" s="86"/>
      <c r="P7" s="86"/>
      <c r="Q7" s="3"/>
      <c r="R7" s="3"/>
      <c r="S7" s="3"/>
      <c r="T7" s="3"/>
      <c r="U7" s="280"/>
      <c r="V7" s="86">
        <v>1</v>
      </c>
      <c r="W7" s="4"/>
      <c r="X7" s="33"/>
      <c r="Y7" s="33"/>
      <c r="Z7" s="3"/>
      <c r="AA7" s="31"/>
      <c r="AB7" s="86"/>
      <c r="AC7" s="86"/>
      <c r="AD7" s="86"/>
      <c r="AE7" s="3"/>
      <c r="AF7" s="3"/>
      <c r="AG7" s="3"/>
      <c r="AH7" s="3"/>
      <c r="AI7" s="280"/>
      <c r="AJ7" s="86"/>
      <c r="AK7" s="3"/>
      <c r="AL7" s="3"/>
      <c r="AM7" s="3"/>
      <c r="AN7" s="3"/>
      <c r="AO7" s="3"/>
      <c r="AP7" s="86"/>
      <c r="AQ7" s="86"/>
      <c r="AR7" s="86"/>
      <c r="AS7" s="3"/>
      <c r="AT7" s="3"/>
      <c r="AU7" s="3"/>
      <c r="AV7" s="3"/>
      <c r="AW7" s="3"/>
      <c r="AX7" s="3"/>
      <c r="AY7" s="3"/>
      <c r="AZ7" s="3"/>
      <c r="BA7" s="3"/>
      <c r="BB7" s="3"/>
      <c r="BC7" s="31"/>
      <c r="BD7" s="8"/>
      <c r="BE7" s="86"/>
      <c r="BF7" s="86"/>
      <c r="BG7" s="3"/>
      <c r="BH7" s="3"/>
      <c r="BI7" s="3"/>
      <c r="BJ7" s="3"/>
      <c r="BK7" s="3"/>
      <c r="BL7" s="3"/>
      <c r="BM7" s="3"/>
      <c r="BN7" s="3"/>
      <c r="BO7" s="3"/>
      <c r="BP7" s="3"/>
      <c r="BQ7" s="31"/>
      <c r="BR7" s="8"/>
      <c r="BS7" s="86"/>
      <c r="BT7" s="86"/>
      <c r="BU7" s="3"/>
      <c r="BV7" s="3"/>
      <c r="BW7" s="3"/>
      <c r="BX7" s="3"/>
      <c r="BY7" s="3"/>
      <c r="BZ7" s="3"/>
      <c r="CA7" s="3"/>
      <c r="CB7" s="3"/>
      <c r="CC7" s="3"/>
      <c r="CD7" s="3"/>
      <c r="CE7" s="31"/>
    </row>
    <row r="8" spans="1:83" ht="15" hidden="1" customHeight="1" x14ac:dyDescent="0.25">
      <c r="B8" s="265">
        <v>1</v>
      </c>
      <c r="C8" s="265">
        <v>3</v>
      </c>
      <c r="D8" s="265" t="str">
        <f t="shared" si="0"/>
        <v>SUPPLY_EAST_UNP_1_14</v>
      </c>
      <c r="E8" s="265" t="s">
        <v>0</v>
      </c>
      <c r="F8" s="34" t="s">
        <v>0</v>
      </c>
      <c r="G8" s="3" t="s">
        <v>18</v>
      </c>
      <c r="H8" s="3">
        <v>1</v>
      </c>
      <c r="I8" s="3">
        <v>1</v>
      </c>
      <c r="J8" s="3" t="s">
        <v>42</v>
      </c>
      <c r="K8" s="30"/>
      <c r="L8" s="90">
        <f>COUNT(AB8:BC8)</f>
        <v>0</v>
      </c>
      <c r="M8" s="30"/>
      <c r="N8" s="8"/>
      <c r="O8" s="86"/>
      <c r="P8" s="86"/>
      <c r="Q8" s="3"/>
      <c r="R8" s="3"/>
      <c r="S8" s="3"/>
      <c r="T8" s="3"/>
      <c r="U8" s="280"/>
      <c r="V8" s="86"/>
      <c r="W8" s="3"/>
      <c r="X8" s="3"/>
      <c r="Y8" s="3"/>
      <c r="Z8" s="3"/>
      <c r="AA8" s="31"/>
      <c r="AB8" s="93"/>
      <c r="AC8" s="93"/>
      <c r="AD8" s="93"/>
      <c r="AE8" s="4"/>
      <c r="AF8" s="4"/>
      <c r="AG8" s="4"/>
      <c r="AH8" s="4"/>
      <c r="AI8" s="283"/>
      <c r="AJ8" s="93"/>
      <c r="AK8" s="4"/>
      <c r="AL8" s="284"/>
      <c r="AM8" s="3"/>
      <c r="AN8" s="3"/>
      <c r="AO8" s="3"/>
      <c r="AP8" s="86"/>
      <c r="AQ8" s="86"/>
      <c r="AR8" s="86"/>
      <c r="AS8" s="3"/>
      <c r="AT8" s="3"/>
      <c r="AU8" s="3"/>
      <c r="AV8" s="3"/>
      <c r="AW8" s="3"/>
      <c r="AX8" s="3"/>
      <c r="AY8" s="3"/>
      <c r="BA8" s="3"/>
      <c r="BB8" s="3"/>
      <c r="BC8" s="31"/>
      <c r="BD8" s="8"/>
      <c r="BE8" s="86"/>
      <c r="BF8" s="86"/>
      <c r="BG8" s="3"/>
      <c r="BH8" s="3"/>
      <c r="BI8" s="3"/>
      <c r="BJ8" s="3"/>
      <c r="BK8" s="3"/>
      <c r="BL8" s="3"/>
      <c r="BM8" s="3"/>
      <c r="BO8" s="3"/>
      <c r="BP8" s="3"/>
      <c r="BQ8" s="31"/>
      <c r="BR8" s="8"/>
      <c r="BS8" s="86"/>
      <c r="BT8" s="86"/>
      <c r="BU8" s="3"/>
      <c r="BV8" s="3"/>
      <c r="BW8" s="3"/>
      <c r="BX8" s="3"/>
      <c r="BY8" s="3"/>
      <c r="BZ8" s="3"/>
      <c r="CA8" s="3"/>
      <c r="CC8" s="3"/>
      <c r="CD8" s="3"/>
      <c r="CE8" s="31"/>
    </row>
    <row r="9" spans="1:83" ht="15" customHeight="1" x14ac:dyDescent="0.25">
      <c r="B9" s="265">
        <f>B8</f>
        <v>1</v>
      </c>
      <c r="C9" s="265">
        <v>4</v>
      </c>
      <c r="D9" s="265" t="str">
        <f t="shared" si="0"/>
        <v>EMPTY_EAST_UNP_1_14</v>
      </c>
      <c r="E9" s="265" t="s">
        <v>0</v>
      </c>
      <c r="F9" s="34" t="s">
        <v>32</v>
      </c>
      <c r="G9" s="3" t="s">
        <v>18</v>
      </c>
      <c r="H9" s="3">
        <v>1</v>
      </c>
      <c r="I9" s="3">
        <v>1</v>
      </c>
      <c r="J9" s="3" t="s">
        <v>42</v>
      </c>
      <c r="K9" s="30">
        <v>-4</v>
      </c>
      <c r="L9" s="90">
        <f>COUNT(N9:AO9)</f>
        <v>10</v>
      </c>
      <c r="M9" s="30"/>
      <c r="N9" s="8">
        <v>1</v>
      </c>
      <c r="O9" s="86">
        <f>N9+1</f>
        <v>2</v>
      </c>
      <c r="P9" s="86">
        <f t="shared" ref="P9:Y10" si="1">O9+1</f>
        <v>3</v>
      </c>
      <c r="Q9" s="86">
        <f t="shared" si="1"/>
        <v>4</v>
      </c>
      <c r="R9" s="86">
        <f t="shared" si="1"/>
        <v>5</v>
      </c>
      <c r="S9" s="86">
        <f t="shared" si="1"/>
        <v>6</v>
      </c>
      <c r="T9" s="86">
        <f t="shared" si="1"/>
        <v>7</v>
      </c>
      <c r="U9" s="285">
        <f t="shared" si="1"/>
        <v>8</v>
      </c>
      <c r="V9" s="319">
        <f t="shared" si="1"/>
        <v>9</v>
      </c>
      <c r="W9" s="3">
        <f t="shared" si="1"/>
        <v>10</v>
      </c>
      <c r="X9" s="46"/>
      <c r="Y9" s="4"/>
      <c r="Z9" s="3"/>
      <c r="AA9" s="280"/>
      <c r="AB9" s="319"/>
      <c r="AC9" s="3"/>
      <c r="AD9" s="3"/>
      <c r="AE9" s="3"/>
      <c r="AF9" s="3"/>
      <c r="AG9" s="3"/>
      <c r="AH9" s="3"/>
      <c r="AI9" s="280"/>
      <c r="AJ9" s="86"/>
      <c r="AK9" s="3"/>
      <c r="AL9" s="33"/>
      <c r="AM9" s="3"/>
      <c r="AN9" s="3"/>
      <c r="AO9" s="3"/>
      <c r="AP9" s="86"/>
      <c r="AQ9" s="86"/>
      <c r="AR9" s="86"/>
      <c r="AS9" s="3"/>
      <c r="AT9" s="3"/>
      <c r="AU9" s="3"/>
      <c r="AV9" s="3"/>
      <c r="AW9" s="3"/>
      <c r="AX9" s="3"/>
      <c r="AY9" s="3"/>
      <c r="AZ9" s="3"/>
      <c r="BA9" s="3"/>
      <c r="BB9" s="3"/>
      <c r="BC9" s="31"/>
      <c r="BD9" s="8"/>
      <c r="BE9" s="86"/>
      <c r="BF9" s="86"/>
      <c r="BG9" s="3"/>
      <c r="BH9" s="3"/>
      <c r="BI9" s="3"/>
      <c r="BJ9" s="3"/>
      <c r="BK9" s="3"/>
      <c r="BL9" s="3"/>
      <c r="BM9" s="3"/>
      <c r="BN9" s="3"/>
      <c r="BO9" s="3"/>
      <c r="BP9" s="3"/>
      <c r="BQ9" s="31"/>
      <c r="BR9" s="8"/>
      <c r="BS9" s="86"/>
      <c r="BT9" s="86"/>
      <c r="BU9" s="3"/>
      <c r="BV9" s="3"/>
      <c r="BW9" s="3"/>
      <c r="BX9" s="3"/>
      <c r="BY9" s="3"/>
      <c r="BZ9" s="3"/>
      <c r="CA9" s="3"/>
      <c r="CB9" s="3"/>
      <c r="CC9" s="3"/>
      <c r="CD9" s="3"/>
      <c r="CE9" s="31"/>
    </row>
    <row r="10" spans="1:83" ht="15" hidden="1" customHeight="1" x14ac:dyDescent="0.25">
      <c r="B10" s="265">
        <v>1</v>
      </c>
      <c r="C10" s="265">
        <v>5</v>
      </c>
      <c r="D10" s="265" t="str">
        <f t="shared" si="0"/>
        <v>PREPARE_EAST_UNP_1_14</v>
      </c>
      <c r="E10" s="265" t="s">
        <v>0</v>
      </c>
      <c r="F10" s="49" t="s">
        <v>46</v>
      </c>
      <c r="G10" s="3" t="s">
        <v>18</v>
      </c>
      <c r="H10" s="3">
        <v>1</v>
      </c>
      <c r="I10" s="3">
        <v>1</v>
      </c>
      <c r="J10" s="3" t="s">
        <v>42</v>
      </c>
      <c r="K10" s="3"/>
      <c r="L10" s="90">
        <f>COUNT(N10:AO10)</f>
        <v>12</v>
      </c>
      <c r="M10" s="30"/>
      <c r="N10" s="8">
        <v>1</v>
      </c>
      <c r="O10" s="86">
        <f>N10+1</f>
        <v>2</v>
      </c>
      <c r="P10" s="86">
        <f t="shared" si="1"/>
        <v>3</v>
      </c>
      <c r="Q10" s="86">
        <f t="shared" si="1"/>
        <v>4</v>
      </c>
      <c r="R10" s="86">
        <f t="shared" si="1"/>
        <v>5</v>
      </c>
      <c r="S10" s="86">
        <f t="shared" si="1"/>
        <v>6</v>
      </c>
      <c r="T10" s="86">
        <f t="shared" si="1"/>
        <v>7</v>
      </c>
      <c r="U10" s="285">
        <f t="shared" si="1"/>
        <v>8</v>
      </c>
      <c r="V10" s="86">
        <f t="shared" si="1"/>
        <v>9</v>
      </c>
      <c r="W10" s="86">
        <f t="shared" si="1"/>
        <v>10</v>
      </c>
      <c r="X10" s="86">
        <f t="shared" si="1"/>
        <v>11</v>
      </c>
      <c r="Y10" s="86">
        <f t="shared" si="1"/>
        <v>12</v>
      </c>
      <c r="Z10" s="4"/>
      <c r="AA10" s="21"/>
      <c r="AB10" s="86"/>
      <c r="AC10" s="86"/>
      <c r="AD10" s="86"/>
      <c r="AE10" s="3"/>
      <c r="AF10" s="3"/>
      <c r="AG10" s="3"/>
      <c r="AH10" s="3"/>
      <c r="AI10" s="280"/>
      <c r="AJ10" s="86"/>
      <c r="AK10" s="3"/>
      <c r="AL10" s="3"/>
      <c r="AM10" s="3"/>
      <c r="AN10" s="3"/>
      <c r="AO10" s="3"/>
      <c r="AP10" s="86"/>
      <c r="AQ10" s="86"/>
      <c r="AR10" s="86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1"/>
      <c r="BD10" s="8"/>
      <c r="BE10" s="86"/>
      <c r="BF10" s="86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1"/>
      <c r="BR10" s="8"/>
      <c r="BS10" s="86"/>
      <c r="BT10" s="86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1"/>
    </row>
    <row r="11" spans="1:83" ht="15" hidden="1" customHeight="1" x14ac:dyDescent="0.25">
      <c r="B11" s="265">
        <f>B9</f>
        <v>1</v>
      </c>
      <c r="C11" s="265">
        <v>6</v>
      </c>
      <c r="D11" s="265" t="str">
        <f t="shared" si="0"/>
        <v>COUNTDOWN_EAST_UNP_1_14</v>
      </c>
      <c r="E11" s="265"/>
      <c r="F11" s="34" t="s">
        <v>33</v>
      </c>
      <c r="G11" s="3" t="s">
        <v>18</v>
      </c>
      <c r="H11" s="3">
        <v>1</v>
      </c>
      <c r="I11" s="3">
        <v>1</v>
      </c>
      <c r="J11" s="3" t="s">
        <v>42</v>
      </c>
      <c r="K11" s="32"/>
      <c r="L11" s="32"/>
      <c r="M11" s="30"/>
      <c r="N11" s="8">
        <v>14</v>
      </c>
      <c r="O11" s="86">
        <v>13</v>
      </c>
      <c r="P11" s="86">
        <v>12</v>
      </c>
      <c r="Q11" s="3">
        <v>11</v>
      </c>
      <c r="R11" s="3">
        <v>10</v>
      </c>
      <c r="S11" s="3">
        <v>9</v>
      </c>
      <c r="T11" s="3">
        <v>8</v>
      </c>
      <c r="U11" s="280">
        <v>7</v>
      </c>
      <c r="V11" s="86">
        <v>6</v>
      </c>
      <c r="W11" s="3">
        <v>5</v>
      </c>
      <c r="X11" s="3">
        <v>4</v>
      </c>
      <c r="Y11" s="3">
        <v>3</v>
      </c>
      <c r="Z11" s="3">
        <v>2</v>
      </c>
      <c r="AA11" s="31">
        <v>1</v>
      </c>
      <c r="AB11" s="86">
        <v>14</v>
      </c>
      <c r="AC11" s="86">
        <v>13</v>
      </c>
      <c r="AD11" s="86">
        <v>12</v>
      </c>
      <c r="AE11" s="3">
        <v>11</v>
      </c>
      <c r="AF11" s="3">
        <v>10</v>
      </c>
      <c r="AG11" s="3">
        <v>9</v>
      </c>
      <c r="AH11" s="3">
        <v>8</v>
      </c>
      <c r="AI11" s="280">
        <v>7</v>
      </c>
      <c r="AJ11" s="86">
        <v>6</v>
      </c>
      <c r="AK11" s="3">
        <v>5</v>
      </c>
      <c r="AL11" s="3">
        <v>4</v>
      </c>
      <c r="AM11" s="3">
        <v>3</v>
      </c>
      <c r="AN11" s="3">
        <v>2</v>
      </c>
      <c r="AO11" s="3">
        <v>1</v>
      </c>
      <c r="AP11" s="86">
        <v>14</v>
      </c>
      <c r="AQ11" s="86">
        <v>13</v>
      </c>
      <c r="AR11" s="86">
        <v>12</v>
      </c>
      <c r="AS11" s="3">
        <v>11</v>
      </c>
      <c r="AT11" s="3">
        <v>10</v>
      </c>
      <c r="AU11" s="3">
        <v>9</v>
      </c>
      <c r="AV11" s="3">
        <v>8</v>
      </c>
      <c r="AW11" s="3">
        <v>7</v>
      </c>
      <c r="AX11" s="3">
        <v>6</v>
      </c>
      <c r="AY11" s="3">
        <v>5</v>
      </c>
      <c r="AZ11" s="3">
        <v>4</v>
      </c>
      <c r="BA11" s="3">
        <v>3</v>
      </c>
      <c r="BB11" s="3">
        <v>2</v>
      </c>
      <c r="BC11" s="31">
        <v>1</v>
      </c>
      <c r="BD11" s="8">
        <v>14</v>
      </c>
      <c r="BE11" s="86">
        <v>13</v>
      </c>
      <c r="BF11" s="86">
        <v>12</v>
      </c>
      <c r="BG11" s="3">
        <v>11</v>
      </c>
      <c r="BH11" s="3">
        <v>10</v>
      </c>
      <c r="BI11" s="3">
        <v>9</v>
      </c>
      <c r="BJ11" s="3">
        <v>8</v>
      </c>
      <c r="BK11" s="3">
        <v>7</v>
      </c>
      <c r="BL11" s="3">
        <v>6</v>
      </c>
      <c r="BM11" s="3">
        <v>5</v>
      </c>
      <c r="BN11" s="3">
        <v>4</v>
      </c>
      <c r="BO11" s="3">
        <v>3</v>
      </c>
      <c r="BP11" s="3">
        <v>2</v>
      </c>
      <c r="BQ11" s="31">
        <v>1</v>
      </c>
      <c r="BR11" s="8">
        <v>14</v>
      </c>
      <c r="BS11" s="86">
        <v>13</v>
      </c>
      <c r="BT11" s="86">
        <v>12</v>
      </c>
      <c r="BU11" s="3">
        <v>11</v>
      </c>
      <c r="BV11" s="3">
        <v>10</v>
      </c>
      <c r="BW11" s="3">
        <v>9</v>
      </c>
      <c r="BX11" s="3">
        <v>8</v>
      </c>
      <c r="BY11" s="3">
        <v>7</v>
      </c>
      <c r="BZ11" s="3">
        <v>6</v>
      </c>
      <c r="CA11" s="3">
        <v>5</v>
      </c>
      <c r="CB11" s="3">
        <v>4</v>
      </c>
      <c r="CC11" s="3">
        <v>3</v>
      </c>
      <c r="CD11" s="3">
        <v>2</v>
      </c>
      <c r="CE11" s="31">
        <v>1</v>
      </c>
    </row>
    <row r="12" spans="1:83" ht="15" hidden="1" customHeight="1" x14ac:dyDescent="0.25">
      <c r="B12" s="265">
        <v>2</v>
      </c>
      <c r="C12" s="265">
        <v>1</v>
      </c>
      <c r="D12" s="265" t="str">
        <f t="shared" si="0"/>
        <v>SORTING_EAST_A_2_14</v>
      </c>
      <c r="E12" s="265" t="s">
        <v>35</v>
      </c>
      <c r="F12" s="49" t="s">
        <v>45</v>
      </c>
      <c r="G12" s="3" t="s">
        <v>18</v>
      </c>
      <c r="H12" s="3">
        <v>2</v>
      </c>
      <c r="I12" s="3">
        <v>2</v>
      </c>
      <c r="J12" s="3" t="s">
        <v>2</v>
      </c>
      <c r="K12" s="3"/>
      <c r="L12" s="90">
        <f>COUNT(V12:AO12)</f>
        <v>1</v>
      </c>
      <c r="M12" s="30"/>
      <c r="N12" s="8"/>
      <c r="O12" s="86"/>
      <c r="P12" s="86"/>
      <c r="Q12" s="3"/>
      <c r="R12" s="3"/>
      <c r="S12" s="3"/>
      <c r="T12" s="3"/>
      <c r="U12" s="280"/>
      <c r="V12" s="279">
        <v>1</v>
      </c>
      <c r="W12" s="61"/>
      <c r="X12" s="33"/>
      <c r="Y12" s="33"/>
      <c r="Z12" s="33"/>
      <c r="AA12" s="35"/>
      <c r="AB12" s="279"/>
      <c r="AC12" s="279"/>
      <c r="AD12" s="279"/>
      <c r="AE12" s="33"/>
      <c r="AF12" s="33"/>
      <c r="AG12" s="33"/>
      <c r="AH12" s="33"/>
      <c r="AI12" s="282"/>
      <c r="AJ12" s="86"/>
      <c r="AK12" s="3"/>
      <c r="AL12" s="3"/>
      <c r="AM12" s="3"/>
      <c r="AN12" s="3"/>
      <c r="AO12" s="3"/>
      <c r="AP12" s="86"/>
      <c r="AQ12" s="86"/>
      <c r="AR12" s="86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1"/>
      <c r="BD12" s="8"/>
      <c r="BE12" s="86"/>
      <c r="BF12" s="86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1"/>
      <c r="BR12" s="8"/>
      <c r="BS12" s="86"/>
      <c r="BT12" s="86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1"/>
    </row>
    <row r="13" spans="1:83" ht="15" hidden="1" customHeight="1" x14ac:dyDescent="0.25">
      <c r="B13" s="265">
        <v>2</v>
      </c>
      <c r="C13" s="265">
        <v>2</v>
      </c>
      <c r="D13" s="265" t="str">
        <f t="shared" si="0"/>
        <v>TRANSFER_EAST_A_2_14</v>
      </c>
      <c r="E13" s="265" t="s">
        <v>21</v>
      </c>
      <c r="F13" s="49" t="s">
        <v>21</v>
      </c>
      <c r="G13" s="3" t="s">
        <v>18</v>
      </c>
      <c r="H13" s="3">
        <v>2</v>
      </c>
      <c r="I13" s="3">
        <v>2</v>
      </c>
      <c r="J13" s="3" t="s">
        <v>2</v>
      </c>
      <c r="K13" s="3"/>
      <c r="L13" s="90">
        <f>COUNT(V13:AO13)</f>
        <v>2</v>
      </c>
      <c r="M13" s="30"/>
      <c r="N13" s="8"/>
      <c r="O13" s="86"/>
      <c r="P13" s="86"/>
      <c r="Q13" s="3"/>
      <c r="R13" s="3"/>
      <c r="S13" s="3"/>
      <c r="T13" s="3"/>
      <c r="U13" s="280"/>
      <c r="V13" s="86">
        <v>1</v>
      </c>
      <c r="W13" s="3">
        <f>V13+1</f>
        <v>2</v>
      </c>
      <c r="X13" s="61"/>
      <c r="Y13" s="33"/>
      <c r="Z13" s="3"/>
      <c r="AA13" s="31"/>
      <c r="AB13" s="86"/>
      <c r="AC13" s="86"/>
      <c r="AD13" s="86"/>
      <c r="AE13" s="3"/>
      <c r="AF13" s="3"/>
      <c r="AG13" s="3"/>
      <c r="AH13" s="3"/>
      <c r="AI13" s="280"/>
      <c r="AJ13" s="86"/>
      <c r="AK13" s="3"/>
      <c r="AL13" s="3"/>
      <c r="AM13" s="3"/>
      <c r="AN13" s="3"/>
      <c r="AO13" s="3"/>
      <c r="AP13" s="86"/>
      <c r="AQ13" s="86"/>
      <c r="AR13" s="86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1"/>
      <c r="BD13" s="8"/>
      <c r="BE13" s="86"/>
      <c r="BF13" s="86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1"/>
      <c r="BR13" s="8"/>
      <c r="BS13" s="86"/>
      <c r="BT13" s="86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1"/>
    </row>
    <row r="14" spans="1:83" ht="15" hidden="1" customHeight="1" x14ac:dyDescent="0.25">
      <c r="B14" s="265">
        <v>2</v>
      </c>
      <c r="C14" s="265">
        <v>3</v>
      </c>
      <c r="D14" s="265" t="str">
        <f t="shared" si="0"/>
        <v>SUPPLY_EAST_A_2_14</v>
      </c>
      <c r="E14" s="265" t="s">
        <v>0</v>
      </c>
      <c r="F14" s="34" t="s">
        <v>0</v>
      </c>
      <c r="G14" s="3" t="s">
        <v>18</v>
      </c>
      <c r="H14" s="3">
        <v>2</v>
      </c>
      <c r="I14" s="3">
        <v>2</v>
      </c>
      <c r="J14" s="3" t="s">
        <v>2</v>
      </c>
      <c r="K14" s="30"/>
      <c r="L14" s="90">
        <f>COUNT(AB14:BC14)</f>
        <v>1</v>
      </c>
      <c r="M14" s="30"/>
      <c r="N14" s="8"/>
      <c r="O14" s="86"/>
      <c r="P14" s="86"/>
      <c r="Q14" s="3"/>
      <c r="R14" s="3"/>
      <c r="S14" s="3"/>
      <c r="T14" s="3"/>
      <c r="U14" s="280"/>
      <c r="V14" s="86"/>
      <c r="W14" s="3"/>
      <c r="X14" s="3"/>
      <c r="Y14" s="3"/>
      <c r="Z14" s="3"/>
      <c r="AA14" s="31"/>
      <c r="AB14" s="86">
        <v>1</v>
      </c>
      <c r="AC14" s="93"/>
      <c r="AD14" s="93"/>
      <c r="AE14" s="4"/>
      <c r="AF14" s="4"/>
      <c r="AG14" s="4"/>
      <c r="AH14" s="4"/>
      <c r="AI14" s="283"/>
      <c r="AJ14" s="93"/>
      <c r="AK14" s="4"/>
      <c r="AL14" s="258"/>
      <c r="AM14" s="258"/>
      <c r="AN14" s="3"/>
      <c r="AO14" s="3"/>
      <c r="AP14" s="86"/>
      <c r="AQ14" s="86"/>
      <c r="AR14" s="86"/>
      <c r="AS14" s="3"/>
      <c r="AT14" s="3"/>
      <c r="AU14" s="3"/>
      <c r="AV14" s="3"/>
      <c r="AW14" s="3"/>
      <c r="AX14" s="3"/>
      <c r="AY14" s="3"/>
      <c r="AZ14" s="3"/>
      <c r="BA14" s="3"/>
      <c r="BC14" s="31"/>
      <c r="BD14" s="8"/>
      <c r="BE14" s="86"/>
      <c r="BF14" s="86"/>
      <c r="BG14" s="3"/>
      <c r="BH14" s="3"/>
      <c r="BI14" s="3"/>
      <c r="BJ14" s="3"/>
      <c r="BK14" s="3"/>
      <c r="BL14" s="3"/>
      <c r="BM14" s="3"/>
      <c r="BN14" s="3"/>
      <c r="BO14" s="3"/>
      <c r="BQ14" s="31"/>
      <c r="BR14" s="8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1"/>
    </row>
    <row r="15" spans="1:83" ht="15" customHeight="1" x14ac:dyDescent="0.25">
      <c r="B15" s="265">
        <f t="shared" ref="B15" si="2">B14</f>
        <v>2</v>
      </c>
      <c r="C15" s="265">
        <v>4</v>
      </c>
      <c r="D15" s="265" t="str">
        <f t="shared" si="0"/>
        <v>EMPTY_EAST_A_2_14</v>
      </c>
      <c r="E15" s="265" t="s">
        <v>0</v>
      </c>
      <c r="F15" s="34" t="s">
        <v>32</v>
      </c>
      <c r="G15" s="3" t="s">
        <v>18</v>
      </c>
      <c r="H15" s="3">
        <v>2</v>
      </c>
      <c r="I15" s="3">
        <v>2</v>
      </c>
      <c r="J15" s="3" t="s">
        <v>2</v>
      </c>
      <c r="K15" s="30">
        <v>-3</v>
      </c>
      <c r="L15" s="90">
        <f>COUNT(N15:AO15)</f>
        <v>12</v>
      </c>
      <c r="M15" s="30"/>
      <c r="N15" s="8">
        <v>1</v>
      </c>
      <c r="O15" s="86">
        <f t="shared" ref="O15:Y16" si="3">N15+1</f>
        <v>2</v>
      </c>
      <c r="P15" s="86">
        <f t="shared" si="3"/>
        <v>3</v>
      </c>
      <c r="Q15" s="86">
        <f t="shared" si="3"/>
        <v>4</v>
      </c>
      <c r="R15" s="86">
        <f t="shared" si="3"/>
        <v>5</v>
      </c>
      <c r="S15" s="86">
        <f t="shared" si="3"/>
        <v>6</v>
      </c>
      <c r="T15" s="86">
        <f t="shared" si="3"/>
        <v>7</v>
      </c>
      <c r="U15" s="285">
        <f t="shared" si="3"/>
        <v>8</v>
      </c>
      <c r="V15" s="319">
        <f t="shared" si="3"/>
        <v>9</v>
      </c>
      <c r="W15" s="3">
        <f t="shared" si="3"/>
        <v>10</v>
      </c>
      <c r="X15" s="3">
        <f>W15+1</f>
        <v>11</v>
      </c>
      <c r="Y15" s="3">
        <f>X15+1</f>
        <v>12</v>
      </c>
      <c r="Z15" s="46"/>
      <c r="AA15" s="280"/>
      <c r="AB15" s="319"/>
      <c r="AC15" s="3"/>
      <c r="AD15" s="3"/>
      <c r="AE15" s="3"/>
      <c r="AF15" s="3"/>
      <c r="AG15" s="3"/>
      <c r="AH15" s="3"/>
      <c r="AI15" s="280"/>
      <c r="AJ15" s="86"/>
      <c r="AK15" s="3"/>
      <c r="AL15" s="33"/>
      <c r="AM15" s="3"/>
      <c r="AN15" s="3"/>
      <c r="AO15" s="3"/>
      <c r="AP15" s="86"/>
      <c r="AQ15" s="86"/>
      <c r="AR15" s="86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1"/>
      <c r="BD15" s="8"/>
      <c r="BE15" s="86"/>
      <c r="BF15" s="86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1"/>
      <c r="BR15" s="8"/>
      <c r="BS15" s="86"/>
      <c r="BT15" s="86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1"/>
    </row>
    <row r="16" spans="1:83" ht="15" hidden="1" customHeight="1" x14ac:dyDescent="0.25">
      <c r="B16" s="265">
        <v>2</v>
      </c>
      <c r="C16" s="265">
        <v>5</v>
      </c>
      <c r="D16" s="265" t="str">
        <f t="shared" si="0"/>
        <v>PREPARE_EAST_A_2_14</v>
      </c>
      <c r="E16" s="265" t="s">
        <v>0</v>
      </c>
      <c r="F16" s="49" t="s">
        <v>46</v>
      </c>
      <c r="G16" s="3" t="s">
        <v>18</v>
      </c>
      <c r="H16" s="3">
        <v>2</v>
      </c>
      <c r="I16" s="3">
        <v>2</v>
      </c>
      <c r="J16" s="3" t="s">
        <v>2</v>
      </c>
      <c r="K16" s="3"/>
      <c r="L16" s="90">
        <f>COUNT(N16:AO16)</f>
        <v>13</v>
      </c>
      <c r="M16" s="30"/>
      <c r="N16" s="8">
        <v>1</v>
      </c>
      <c r="O16" s="86">
        <f t="shared" si="3"/>
        <v>2</v>
      </c>
      <c r="P16" s="86">
        <f t="shared" si="3"/>
        <v>3</v>
      </c>
      <c r="Q16" s="86">
        <f t="shared" si="3"/>
        <v>4</v>
      </c>
      <c r="R16" s="86">
        <f t="shared" si="3"/>
        <v>5</v>
      </c>
      <c r="S16" s="86">
        <f t="shared" si="3"/>
        <v>6</v>
      </c>
      <c r="T16" s="86">
        <f t="shared" si="3"/>
        <v>7</v>
      </c>
      <c r="U16" s="285">
        <f t="shared" si="3"/>
        <v>8</v>
      </c>
      <c r="V16" s="86">
        <f t="shared" si="3"/>
        <v>9</v>
      </c>
      <c r="W16" s="86">
        <f t="shared" si="3"/>
        <v>10</v>
      </c>
      <c r="X16" s="86">
        <f t="shared" si="3"/>
        <v>11</v>
      </c>
      <c r="Y16" s="86">
        <f t="shared" si="3"/>
        <v>12</v>
      </c>
      <c r="Z16" s="86">
        <f>Y16+1</f>
        <v>13</v>
      </c>
      <c r="AA16" s="21"/>
      <c r="AB16" s="93"/>
      <c r="AC16" s="86"/>
      <c r="AD16" s="86"/>
      <c r="AE16" s="3"/>
      <c r="AF16" s="3"/>
      <c r="AG16" s="3"/>
      <c r="AH16" s="3"/>
      <c r="AI16" s="280"/>
      <c r="AJ16" s="86"/>
      <c r="AK16" s="3"/>
      <c r="AL16" s="3"/>
      <c r="AM16" s="3"/>
      <c r="AN16" s="3"/>
      <c r="AO16" s="3"/>
      <c r="AP16" s="86"/>
      <c r="AQ16" s="86"/>
      <c r="AR16" s="86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1"/>
      <c r="BD16" s="8"/>
      <c r="BE16" s="86"/>
      <c r="BF16" s="86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1"/>
      <c r="BR16" s="8"/>
      <c r="BS16" s="86"/>
      <c r="BT16" s="86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1"/>
    </row>
    <row r="17" spans="1:83" ht="15" hidden="1" customHeight="1" x14ac:dyDescent="0.25">
      <c r="B17" s="265">
        <f>B15</f>
        <v>2</v>
      </c>
      <c r="C17" s="265">
        <v>6</v>
      </c>
      <c r="D17" s="265" t="str">
        <f t="shared" si="0"/>
        <v>COUNTDOWN_EAST_A_2_14</v>
      </c>
      <c r="E17" s="265"/>
      <c r="F17" s="34" t="s">
        <v>33</v>
      </c>
      <c r="G17" s="3" t="s">
        <v>18</v>
      </c>
      <c r="H17" s="3">
        <v>2</v>
      </c>
      <c r="I17" s="3">
        <v>2</v>
      </c>
      <c r="J17" s="3" t="s">
        <v>2</v>
      </c>
      <c r="K17" s="32"/>
      <c r="L17" s="32"/>
      <c r="M17" s="30"/>
      <c r="N17" s="8">
        <v>1</v>
      </c>
      <c r="O17" s="86">
        <v>14</v>
      </c>
      <c r="P17" s="86">
        <v>13</v>
      </c>
      <c r="Q17" s="3">
        <v>12</v>
      </c>
      <c r="R17" s="3">
        <v>11</v>
      </c>
      <c r="S17" s="3">
        <v>10</v>
      </c>
      <c r="T17" s="3">
        <v>9</v>
      </c>
      <c r="U17" s="280">
        <v>8</v>
      </c>
      <c r="V17" s="86">
        <v>7</v>
      </c>
      <c r="W17" s="3">
        <v>6</v>
      </c>
      <c r="X17" s="3">
        <v>5</v>
      </c>
      <c r="Y17" s="3">
        <v>4</v>
      </c>
      <c r="Z17" s="3">
        <v>3</v>
      </c>
      <c r="AA17" s="31">
        <v>2</v>
      </c>
      <c r="AB17" s="86">
        <v>1</v>
      </c>
      <c r="AC17" s="86">
        <v>14</v>
      </c>
      <c r="AD17" s="86">
        <v>13</v>
      </c>
      <c r="AE17" s="3">
        <v>12</v>
      </c>
      <c r="AF17" s="3">
        <v>11</v>
      </c>
      <c r="AG17" s="3">
        <v>10</v>
      </c>
      <c r="AH17" s="3">
        <v>9</v>
      </c>
      <c r="AI17" s="280">
        <v>8</v>
      </c>
      <c r="AJ17" s="86">
        <v>7</v>
      </c>
      <c r="AK17" s="3">
        <v>6</v>
      </c>
      <c r="AL17" s="3">
        <v>5</v>
      </c>
      <c r="AM17" s="3">
        <v>4</v>
      </c>
      <c r="AN17" s="3">
        <v>3</v>
      </c>
      <c r="AO17" s="3">
        <v>2</v>
      </c>
      <c r="AP17" s="86">
        <v>1</v>
      </c>
      <c r="AQ17" s="86">
        <v>14</v>
      </c>
      <c r="AR17" s="86">
        <v>13</v>
      </c>
      <c r="AS17" s="3">
        <v>12</v>
      </c>
      <c r="AT17" s="3">
        <v>11</v>
      </c>
      <c r="AU17" s="3">
        <v>10</v>
      </c>
      <c r="AV17" s="3">
        <v>9</v>
      </c>
      <c r="AW17" s="3">
        <v>8</v>
      </c>
      <c r="AX17" s="3">
        <v>7</v>
      </c>
      <c r="AY17" s="3">
        <v>6</v>
      </c>
      <c r="AZ17" s="3">
        <v>5</v>
      </c>
      <c r="BA17" s="3">
        <v>4</v>
      </c>
      <c r="BB17" s="3">
        <v>3</v>
      </c>
      <c r="BC17" s="31">
        <v>2</v>
      </c>
      <c r="BD17" s="8">
        <v>1</v>
      </c>
      <c r="BE17" s="86">
        <v>14</v>
      </c>
      <c r="BF17" s="86">
        <v>13</v>
      </c>
      <c r="BG17" s="3">
        <v>12</v>
      </c>
      <c r="BH17" s="3">
        <v>11</v>
      </c>
      <c r="BI17" s="3">
        <v>10</v>
      </c>
      <c r="BJ17" s="3">
        <v>9</v>
      </c>
      <c r="BK17" s="3">
        <v>8</v>
      </c>
      <c r="BL17" s="3">
        <v>7</v>
      </c>
      <c r="BM17" s="3">
        <v>6</v>
      </c>
      <c r="BN17" s="3">
        <v>5</v>
      </c>
      <c r="BO17" s="3">
        <v>4</v>
      </c>
      <c r="BP17" s="3">
        <v>3</v>
      </c>
      <c r="BQ17" s="31">
        <v>2</v>
      </c>
      <c r="BR17" s="8">
        <v>1</v>
      </c>
      <c r="BS17" s="86">
        <v>14</v>
      </c>
      <c r="BT17" s="86">
        <v>13</v>
      </c>
      <c r="BU17" s="3">
        <v>12</v>
      </c>
      <c r="BV17" s="3">
        <v>11</v>
      </c>
      <c r="BW17" s="3">
        <v>10</v>
      </c>
      <c r="BX17" s="3">
        <v>9</v>
      </c>
      <c r="BY17" s="3">
        <v>8</v>
      </c>
      <c r="BZ17" s="3">
        <v>7</v>
      </c>
      <c r="CA17" s="3">
        <v>6</v>
      </c>
      <c r="CB17" s="3">
        <v>5</v>
      </c>
      <c r="CC17" s="3">
        <v>4</v>
      </c>
      <c r="CD17" s="3">
        <v>3</v>
      </c>
      <c r="CE17" s="31">
        <v>2</v>
      </c>
    </row>
    <row r="18" spans="1:83" ht="15" hidden="1" customHeight="1" x14ac:dyDescent="0.25">
      <c r="B18" s="265"/>
      <c r="C18" s="265">
        <v>1</v>
      </c>
      <c r="D18" s="265" t="str">
        <f t="shared" si="0"/>
        <v>SORTING_EAST_C/U_1_14</v>
      </c>
      <c r="E18" s="265" t="s">
        <v>35</v>
      </c>
      <c r="F18" s="49" t="s">
        <v>45</v>
      </c>
      <c r="G18" s="3" t="s">
        <v>18</v>
      </c>
      <c r="H18" s="3">
        <v>1</v>
      </c>
      <c r="I18" s="3">
        <v>1</v>
      </c>
      <c r="J18" s="3" t="s">
        <v>67</v>
      </c>
      <c r="K18" s="3"/>
      <c r="L18" s="90">
        <f>COUNT(V18:AO18)</f>
        <v>2</v>
      </c>
      <c r="M18" s="30"/>
      <c r="N18" s="8"/>
      <c r="O18" s="86"/>
      <c r="P18" s="86"/>
      <c r="Q18" s="3"/>
      <c r="R18" s="3"/>
      <c r="S18" s="3"/>
      <c r="T18" s="3"/>
      <c r="U18" s="280"/>
      <c r="V18" s="279">
        <v>1</v>
      </c>
      <c r="W18" s="33">
        <f>V18+1</f>
        <v>2</v>
      </c>
      <c r="X18" s="61"/>
      <c r="Y18" s="33"/>
      <c r="Z18" s="33"/>
      <c r="AA18" s="35"/>
      <c r="AB18" s="279"/>
      <c r="AC18" s="279"/>
      <c r="AD18" s="279"/>
      <c r="AE18" s="33"/>
      <c r="AF18" s="33"/>
      <c r="AG18" s="33"/>
      <c r="AH18" s="33"/>
      <c r="AI18" s="282"/>
      <c r="AJ18" s="86"/>
      <c r="AK18" s="3"/>
      <c r="AL18" s="3"/>
      <c r="AM18" s="3"/>
      <c r="AN18" s="3"/>
      <c r="AO18" s="3"/>
      <c r="AP18" s="86"/>
      <c r="AQ18" s="86"/>
      <c r="AR18" s="86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1"/>
      <c r="BD18" s="8"/>
      <c r="BE18" s="86"/>
      <c r="BF18" s="86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1"/>
      <c r="BR18" s="8"/>
      <c r="BS18" s="86"/>
      <c r="BT18" s="86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1"/>
    </row>
    <row r="19" spans="1:83" ht="15" hidden="1" customHeight="1" x14ac:dyDescent="0.25">
      <c r="B19" s="265"/>
      <c r="C19" s="265">
        <v>2</v>
      </c>
      <c r="D19" s="265" t="str">
        <f t="shared" si="0"/>
        <v>TRANSFER_EAST_C/U_1_14</v>
      </c>
      <c r="E19" s="265" t="s">
        <v>21</v>
      </c>
      <c r="F19" s="49" t="s">
        <v>21</v>
      </c>
      <c r="G19" s="3" t="s">
        <v>18</v>
      </c>
      <c r="H19" s="3">
        <v>1</v>
      </c>
      <c r="I19" s="3">
        <v>1</v>
      </c>
      <c r="J19" s="3" t="s">
        <v>67</v>
      </c>
      <c r="K19" s="3"/>
      <c r="L19" s="90">
        <f>COUNT(V19:AO19)</f>
        <v>3</v>
      </c>
      <c r="M19" s="30"/>
      <c r="N19" s="8"/>
      <c r="O19" s="86"/>
      <c r="P19" s="86"/>
      <c r="Q19" s="3"/>
      <c r="R19" s="3"/>
      <c r="S19" s="3"/>
      <c r="T19" s="3"/>
      <c r="U19" s="280"/>
      <c r="V19" s="86">
        <v>1</v>
      </c>
      <c r="W19" s="3">
        <f>V19+1</f>
        <v>2</v>
      </c>
      <c r="X19" s="3">
        <f t="shared" ref="X19" si="4">W19+1</f>
        <v>3</v>
      </c>
      <c r="Y19" s="61"/>
      <c r="Z19" s="3"/>
      <c r="AA19" s="31"/>
      <c r="AB19" s="86"/>
      <c r="AC19" s="86"/>
      <c r="AD19" s="86"/>
      <c r="AE19" s="3"/>
      <c r="AF19" s="3"/>
      <c r="AG19" s="3"/>
      <c r="AH19" s="3"/>
      <c r="AI19" s="280"/>
      <c r="AJ19" s="86"/>
      <c r="AK19" s="3"/>
      <c r="AL19" s="3"/>
      <c r="AM19" s="3"/>
      <c r="AN19" s="3"/>
      <c r="AO19" s="3"/>
      <c r="AP19" s="86"/>
      <c r="AQ19" s="86"/>
      <c r="AR19" s="86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1"/>
      <c r="BD19" s="8"/>
      <c r="BE19" s="86"/>
      <c r="BF19" s="86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1"/>
      <c r="BR19" s="8"/>
      <c r="BS19" s="86"/>
      <c r="BT19" s="86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1"/>
    </row>
    <row r="20" spans="1:83" ht="15" hidden="1" customHeight="1" x14ac:dyDescent="0.25">
      <c r="B20" s="265"/>
      <c r="C20" s="265">
        <v>3</v>
      </c>
      <c r="D20" s="265" t="str">
        <f t="shared" si="0"/>
        <v>SUPPLY_EAST_C/U_1_14</v>
      </c>
      <c r="E20" s="265" t="s">
        <v>0</v>
      </c>
      <c r="F20" s="34" t="s">
        <v>0</v>
      </c>
      <c r="G20" s="3" t="s">
        <v>18</v>
      </c>
      <c r="H20" s="3">
        <v>1</v>
      </c>
      <c r="I20" s="3">
        <v>1</v>
      </c>
      <c r="J20" s="3" t="s">
        <v>67</v>
      </c>
      <c r="K20" s="30"/>
      <c r="L20" s="90">
        <f>COUNT(AB20:BC20)</f>
        <v>2</v>
      </c>
      <c r="M20" s="30"/>
      <c r="N20" s="8"/>
      <c r="O20" s="86"/>
      <c r="P20" s="86"/>
      <c r="Q20" s="3"/>
      <c r="R20" s="3"/>
      <c r="S20" s="3"/>
      <c r="T20" s="3"/>
      <c r="U20" s="280"/>
      <c r="V20" s="86"/>
      <c r="W20" s="3"/>
      <c r="X20" s="3"/>
      <c r="Y20" s="3"/>
      <c r="Z20" s="3"/>
      <c r="AA20" s="31"/>
      <c r="AB20" s="86">
        <v>1</v>
      </c>
      <c r="AC20" s="86">
        <f>AB20+1</f>
        <v>2</v>
      </c>
      <c r="AD20" s="93"/>
      <c r="AE20" s="4"/>
      <c r="AF20" s="4"/>
      <c r="AG20" s="4"/>
      <c r="AH20" s="4"/>
      <c r="AI20" s="283"/>
      <c r="AJ20" s="93"/>
      <c r="AK20" s="4"/>
      <c r="AL20" s="258"/>
      <c r="AM20" s="258"/>
      <c r="AN20" s="3"/>
      <c r="AO20" s="3"/>
      <c r="AP20" s="86"/>
      <c r="AQ20" s="86"/>
      <c r="AR20" s="86"/>
      <c r="AS20" s="3"/>
      <c r="AT20" s="3"/>
      <c r="AU20" s="3"/>
      <c r="AV20" s="3"/>
      <c r="AW20" s="3"/>
      <c r="AX20" s="3"/>
      <c r="AY20" s="3"/>
      <c r="AZ20" s="3"/>
      <c r="BA20" s="3"/>
      <c r="BC20" s="31"/>
      <c r="BD20" s="8"/>
      <c r="BE20" s="86"/>
      <c r="BF20" s="86"/>
      <c r="BG20" s="3"/>
      <c r="BH20" s="3"/>
      <c r="BI20" s="3"/>
      <c r="BJ20" s="3"/>
      <c r="BK20" s="3"/>
      <c r="BL20" s="3"/>
      <c r="BM20" s="3"/>
      <c r="BN20" s="3"/>
      <c r="BO20" s="3"/>
      <c r="BQ20" s="31"/>
      <c r="BR20" s="8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1"/>
    </row>
    <row r="21" spans="1:83" ht="15" customHeight="1" x14ac:dyDescent="0.25">
      <c r="B21" s="265"/>
      <c r="C21" s="265">
        <v>4</v>
      </c>
      <c r="D21" s="265" t="str">
        <f t="shared" si="0"/>
        <v>EMPTY_EAST_C/U_1_14</v>
      </c>
      <c r="E21" s="265" t="s">
        <v>0</v>
      </c>
      <c r="F21" s="34" t="s">
        <v>32</v>
      </c>
      <c r="G21" s="3" t="s">
        <v>18</v>
      </c>
      <c r="H21" s="3">
        <v>1</v>
      </c>
      <c r="I21" s="3">
        <v>1</v>
      </c>
      <c r="J21" s="3" t="s">
        <v>67</v>
      </c>
      <c r="K21" s="30"/>
      <c r="L21" s="90">
        <f>COUNT(N21:AO21)</f>
        <v>13</v>
      </c>
      <c r="M21" s="30"/>
      <c r="N21" s="8">
        <v>1</v>
      </c>
      <c r="O21" s="86">
        <f t="shared" ref="O21:O22" si="5">N21+1</f>
        <v>2</v>
      </c>
      <c r="P21" s="86">
        <f t="shared" ref="P21:P22" si="6">O21+1</f>
        <v>3</v>
      </c>
      <c r="Q21" s="86">
        <f t="shared" ref="Q21:Q22" si="7">P21+1</f>
        <v>4</v>
      </c>
      <c r="R21" s="86">
        <f t="shared" ref="R21:R22" si="8">Q21+1</f>
        <v>5</v>
      </c>
      <c r="S21" s="86">
        <f t="shared" ref="S21:S22" si="9">R21+1</f>
        <v>6</v>
      </c>
      <c r="T21" s="86">
        <f t="shared" ref="T21:T22" si="10">S21+1</f>
        <v>7</v>
      </c>
      <c r="U21" s="285">
        <f t="shared" ref="U21:U22" si="11">T21+1</f>
        <v>8</v>
      </c>
      <c r="V21" s="319">
        <f t="shared" ref="V21:V22" si="12">U21+1</f>
        <v>9</v>
      </c>
      <c r="W21" s="3">
        <f t="shared" ref="W21:W22" si="13">V21+1</f>
        <v>10</v>
      </c>
      <c r="X21" s="3">
        <f>W21+1</f>
        <v>11</v>
      </c>
      <c r="Y21" s="3">
        <f>X21+1</f>
        <v>12</v>
      </c>
      <c r="Z21" s="3">
        <f>Y21+1</f>
        <v>13</v>
      </c>
      <c r="AA21" s="46"/>
      <c r="AB21" s="319"/>
      <c r="AC21" s="3"/>
      <c r="AD21" s="3"/>
      <c r="AE21" s="3"/>
      <c r="AF21" s="3"/>
      <c r="AG21" s="3"/>
      <c r="AH21" s="3"/>
      <c r="AI21" s="280"/>
      <c r="AJ21" s="86"/>
      <c r="AK21" s="3"/>
      <c r="AL21" s="33"/>
      <c r="AM21" s="3"/>
      <c r="AN21" s="3"/>
      <c r="AO21" s="3"/>
      <c r="AP21" s="86"/>
      <c r="AQ21" s="86"/>
      <c r="AR21" s="86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1"/>
      <c r="BD21" s="8"/>
      <c r="BE21" s="86"/>
      <c r="BF21" s="86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1"/>
      <c r="BR21" s="8"/>
      <c r="BS21" s="86"/>
      <c r="BT21" s="86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1"/>
    </row>
    <row r="22" spans="1:83" ht="15" hidden="1" customHeight="1" x14ac:dyDescent="0.25">
      <c r="B22" s="265"/>
      <c r="C22" s="265">
        <v>5</v>
      </c>
      <c r="D22" s="265" t="str">
        <f t="shared" si="0"/>
        <v>PREPARE_EAST_C/U_1_14</v>
      </c>
      <c r="E22" s="265" t="s">
        <v>0</v>
      </c>
      <c r="F22" s="49" t="s">
        <v>46</v>
      </c>
      <c r="G22" s="3" t="s">
        <v>18</v>
      </c>
      <c r="H22" s="3">
        <v>1</v>
      </c>
      <c r="I22" s="3">
        <v>1</v>
      </c>
      <c r="J22" s="3" t="s">
        <v>67</v>
      </c>
      <c r="K22" s="3"/>
      <c r="L22" s="90">
        <f>COUNT(N22:AO22)</f>
        <v>14</v>
      </c>
      <c r="M22" s="30"/>
      <c r="N22" s="8">
        <v>1</v>
      </c>
      <c r="O22" s="86">
        <f t="shared" si="5"/>
        <v>2</v>
      </c>
      <c r="P22" s="86">
        <f t="shared" si="6"/>
        <v>3</v>
      </c>
      <c r="Q22" s="86">
        <f t="shared" si="7"/>
        <v>4</v>
      </c>
      <c r="R22" s="86">
        <f t="shared" si="8"/>
        <v>5</v>
      </c>
      <c r="S22" s="86">
        <f t="shared" si="9"/>
        <v>6</v>
      </c>
      <c r="T22" s="86">
        <f t="shared" si="10"/>
        <v>7</v>
      </c>
      <c r="U22" s="285">
        <f t="shared" si="11"/>
        <v>8</v>
      </c>
      <c r="V22" s="86">
        <f t="shared" si="12"/>
        <v>9</v>
      </c>
      <c r="W22" s="86">
        <f t="shared" si="13"/>
        <v>10</v>
      </c>
      <c r="X22" s="86">
        <f t="shared" ref="X22" si="14">W22+1</f>
        <v>11</v>
      </c>
      <c r="Y22" s="86">
        <f t="shared" ref="Y22" si="15">X22+1</f>
        <v>12</v>
      </c>
      <c r="Z22" s="86">
        <f>Y22+1</f>
        <v>13</v>
      </c>
      <c r="AA22" s="86">
        <f>Z22+1</f>
        <v>14</v>
      </c>
      <c r="AB22" s="93"/>
      <c r="AC22" s="93"/>
      <c r="AD22" s="86"/>
      <c r="AE22" s="3"/>
      <c r="AF22" s="3"/>
      <c r="AG22" s="3"/>
      <c r="AH22" s="3"/>
      <c r="AI22" s="280"/>
      <c r="AJ22" s="86"/>
      <c r="AK22" s="3"/>
      <c r="AL22" s="3"/>
      <c r="AM22" s="3"/>
      <c r="AN22" s="3"/>
      <c r="AO22" s="3"/>
      <c r="AP22" s="86"/>
      <c r="AQ22" s="86"/>
      <c r="AR22" s="86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1"/>
      <c r="BD22" s="8"/>
      <c r="BE22" s="86"/>
      <c r="BF22" s="86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1"/>
      <c r="BR22" s="8"/>
      <c r="BS22" s="86"/>
      <c r="BT22" s="86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1"/>
    </row>
    <row r="23" spans="1:83" ht="15" hidden="1" customHeight="1" x14ac:dyDescent="0.25">
      <c r="B23" s="265"/>
      <c r="C23" s="265">
        <v>6</v>
      </c>
      <c r="D23" s="265" t="str">
        <f t="shared" si="0"/>
        <v>COUNTDOWN_EAST_C/U_1_14</v>
      </c>
      <c r="E23" s="265"/>
      <c r="F23" s="34" t="s">
        <v>33</v>
      </c>
      <c r="G23" s="3" t="s">
        <v>18</v>
      </c>
      <c r="H23" s="3">
        <v>1</v>
      </c>
      <c r="I23" s="3">
        <v>1</v>
      </c>
      <c r="J23" s="3" t="s">
        <v>67</v>
      </c>
      <c r="K23" s="32"/>
      <c r="L23" s="32"/>
      <c r="M23" s="30"/>
      <c r="N23" s="8">
        <v>1</v>
      </c>
      <c r="O23" s="86">
        <v>14</v>
      </c>
      <c r="P23" s="86">
        <v>13</v>
      </c>
      <c r="Q23" s="3">
        <v>12</v>
      </c>
      <c r="R23" s="3">
        <v>11</v>
      </c>
      <c r="S23" s="3">
        <v>10</v>
      </c>
      <c r="T23" s="3">
        <v>9</v>
      </c>
      <c r="U23" s="280">
        <v>8</v>
      </c>
      <c r="V23" s="86">
        <v>7</v>
      </c>
      <c r="W23" s="3">
        <v>6</v>
      </c>
      <c r="X23" s="3">
        <v>5</v>
      </c>
      <c r="Y23" s="3">
        <v>4</v>
      </c>
      <c r="Z23" s="3">
        <v>3</v>
      </c>
      <c r="AA23" s="31">
        <v>2</v>
      </c>
      <c r="AB23" s="86">
        <v>1</v>
      </c>
      <c r="AC23" s="86">
        <v>14</v>
      </c>
      <c r="AD23" s="86">
        <v>13</v>
      </c>
      <c r="AE23" s="3">
        <v>12</v>
      </c>
      <c r="AF23" s="3">
        <v>11</v>
      </c>
      <c r="AG23" s="3">
        <v>10</v>
      </c>
      <c r="AH23" s="3">
        <v>9</v>
      </c>
      <c r="AI23" s="280">
        <v>8</v>
      </c>
      <c r="AJ23" s="86">
        <v>7</v>
      </c>
      <c r="AK23" s="3">
        <v>6</v>
      </c>
      <c r="AL23" s="3">
        <v>5</v>
      </c>
      <c r="AM23" s="3">
        <v>4</v>
      </c>
      <c r="AN23" s="3">
        <v>3</v>
      </c>
      <c r="AO23" s="3">
        <v>2</v>
      </c>
      <c r="AP23" s="86">
        <v>1</v>
      </c>
      <c r="AQ23" s="86">
        <v>14</v>
      </c>
      <c r="AR23" s="86">
        <v>13</v>
      </c>
      <c r="AS23" s="3">
        <v>12</v>
      </c>
      <c r="AT23" s="3">
        <v>11</v>
      </c>
      <c r="AU23" s="3">
        <v>10</v>
      </c>
      <c r="AV23" s="3">
        <v>9</v>
      </c>
      <c r="AW23" s="3">
        <v>8</v>
      </c>
      <c r="AX23" s="3">
        <v>7</v>
      </c>
      <c r="AY23" s="3">
        <v>6</v>
      </c>
      <c r="AZ23" s="3">
        <v>5</v>
      </c>
      <c r="BA23" s="3">
        <v>4</v>
      </c>
      <c r="BB23" s="3">
        <v>3</v>
      </c>
      <c r="BC23" s="31">
        <v>2</v>
      </c>
      <c r="BD23" s="8">
        <v>1</v>
      </c>
      <c r="BE23" s="86">
        <v>14</v>
      </c>
      <c r="BF23" s="86">
        <v>13</v>
      </c>
      <c r="BG23" s="3">
        <v>12</v>
      </c>
      <c r="BH23" s="3">
        <v>11</v>
      </c>
      <c r="BI23" s="3">
        <v>10</v>
      </c>
      <c r="BJ23" s="3">
        <v>9</v>
      </c>
      <c r="BK23" s="3">
        <v>8</v>
      </c>
      <c r="BL23" s="3">
        <v>7</v>
      </c>
      <c r="BM23" s="3">
        <v>6</v>
      </c>
      <c r="BN23" s="3">
        <v>5</v>
      </c>
      <c r="BO23" s="3">
        <v>4</v>
      </c>
      <c r="BP23" s="3">
        <v>3</v>
      </c>
      <c r="BQ23" s="31">
        <v>2</v>
      </c>
      <c r="BR23" s="8">
        <v>1</v>
      </c>
      <c r="BS23" s="86">
        <v>14</v>
      </c>
      <c r="BT23" s="86">
        <v>13</v>
      </c>
      <c r="BU23" s="3">
        <v>12</v>
      </c>
      <c r="BV23" s="3">
        <v>11</v>
      </c>
      <c r="BW23" s="3">
        <v>10</v>
      </c>
      <c r="BX23" s="3">
        <v>9</v>
      </c>
      <c r="BY23" s="3">
        <v>8</v>
      </c>
      <c r="BZ23" s="3">
        <v>7</v>
      </c>
      <c r="CA23" s="3">
        <v>6</v>
      </c>
      <c r="CB23" s="3">
        <v>5</v>
      </c>
      <c r="CC23" s="3">
        <v>4</v>
      </c>
      <c r="CD23" s="3">
        <v>3</v>
      </c>
      <c r="CE23" s="31">
        <v>2</v>
      </c>
    </row>
    <row r="24" spans="1:83" ht="15" hidden="1" customHeight="1" x14ac:dyDescent="0.25">
      <c r="A24" s="2" t="s">
        <v>6</v>
      </c>
      <c r="B24" s="265">
        <v>5</v>
      </c>
      <c r="C24" s="265">
        <v>1</v>
      </c>
      <c r="D24" s="265" t="str">
        <f t="shared" si="0"/>
        <v>SORTING_EAST_C_2_14</v>
      </c>
      <c r="E24" s="265" t="s">
        <v>35</v>
      </c>
      <c r="F24" s="49" t="s">
        <v>45</v>
      </c>
      <c r="G24" s="3" t="s">
        <v>18</v>
      </c>
      <c r="H24" s="3">
        <v>2</v>
      </c>
      <c r="I24" s="3">
        <v>2</v>
      </c>
      <c r="J24" s="3" t="s">
        <v>4</v>
      </c>
      <c r="K24" s="3"/>
      <c r="L24" s="90">
        <f>COUNT(V24:AO24)</f>
        <v>3</v>
      </c>
      <c r="M24" s="30"/>
      <c r="N24" s="8"/>
      <c r="O24" s="86"/>
      <c r="P24" s="86"/>
      <c r="Q24" s="3"/>
      <c r="R24" s="3"/>
      <c r="S24" s="3"/>
      <c r="T24" s="3"/>
      <c r="U24" s="280"/>
      <c r="V24" s="279">
        <v>1</v>
      </c>
      <c r="W24" s="33">
        <f>V24+1</f>
        <v>2</v>
      </c>
      <c r="X24" s="33">
        <f t="shared" ref="X24:X25" si="16">W24+1</f>
        <v>3</v>
      </c>
      <c r="Y24" s="61"/>
      <c r="Z24" s="33"/>
      <c r="AA24" s="35"/>
      <c r="AB24" s="279"/>
      <c r="AC24" s="279"/>
      <c r="AD24" s="279"/>
      <c r="AE24" s="33"/>
      <c r="AF24" s="33"/>
      <c r="AG24" s="33"/>
      <c r="AH24" s="33"/>
      <c r="AI24" s="282"/>
      <c r="AJ24" s="86"/>
      <c r="AK24" s="3"/>
      <c r="AL24" s="3"/>
      <c r="AM24" s="3"/>
      <c r="AN24" s="3"/>
      <c r="AO24" s="3"/>
      <c r="AP24" s="86"/>
      <c r="AQ24" s="86"/>
      <c r="AR24" s="86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1"/>
      <c r="BD24" s="8"/>
      <c r="BE24" s="86"/>
      <c r="BF24" s="86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1"/>
      <c r="BR24" s="8"/>
      <c r="BS24" s="86"/>
      <c r="BT24" s="86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1"/>
    </row>
    <row r="25" spans="1:83" ht="15" hidden="1" customHeight="1" x14ac:dyDescent="0.25">
      <c r="A25" s="2" t="s">
        <v>6</v>
      </c>
      <c r="B25" s="265">
        <v>5</v>
      </c>
      <c r="C25" s="265">
        <v>2</v>
      </c>
      <c r="D25" s="265" t="str">
        <f t="shared" si="0"/>
        <v>TRANSFER_EAST_C_2_14</v>
      </c>
      <c r="E25" s="265" t="s">
        <v>21</v>
      </c>
      <c r="F25" s="49" t="s">
        <v>21</v>
      </c>
      <c r="G25" s="3" t="s">
        <v>18</v>
      </c>
      <c r="H25" s="3">
        <v>2</v>
      </c>
      <c r="I25" s="3">
        <v>2</v>
      </c>
      <c r="J25" s="3" t="s">
        <v>4</v>
      </c>
      <c r="K25" s="3"/>
      <c r="L25" s="90">
        <f>COUNT(V25:AO25)</f>
        <v>4</v>
      </c>
      <c r="M25" s="30"/>
      <c r="N25" s="8"/>
      <c r="O25" s="86"/>
      <c r="P25" s="86"/>
      <c r="Q25" s="3"/>
      <c r="R25" s="3"/>
      <c r="S25" s="3"/>
      <c r="T25" s="3"/>
      <c r="U25" s="280"/>
      <c r="V25" s="86">
        <v>1</v>
      </c>
      <c r="W25" s="3">
        <f t="shared" ref="W25" si="17">V25+1</f>
        <v>2</v>
      </c>
      <c r="X25" s="3">
        <f t="shared" si="16"/>
        <v>3</v>
      </c>
      <c r="Y25" s="3">
        <f>X25+1</f>
        <v>4</v>
      </c>
      <c r="Z25" s="4"/>
      <c r="AA25" s="31"/>
      <c r="AB25" s="86"/>
      <c r="AC25" s="86"/>
      <c r="AD25" s="86"/>
      <c r="AE25" s="3"/>
      <c r="AF25" s="3"/>
      <c r="AG25" s="3"/>
      <c r="AH25" s="3"/>
      <c r="AI25" s="280"/>
      <c r="AJ25" s="86"/>
      <c r="AK25" s="3"/>
      <c r="AL25" s="3"/>
      <c r="AM25" s="3"/>
      <c r="AN25" s="3"/>
      <c r="AO25" s="3"/>
      <c r="AP25" s="86"/>
      <c r="AQ25" s="86"/>
      <c r="AR25" s="86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1"/>
      <c r="BD25" s="8"/>
      <c r="BE25" s="86"/>
      <c r="BF25" s="86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1"/>
      <c r="BR25" s="8"/>
      <c r="BS25" s="86"/>
      <c r="BT25" s="86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1"/>
    </row>
    <row r="26" spans="1:83" ht="15" hidden="1" customHeight="1" x14ac:dyDescent="0.25">
      <c r="A26" s="2" t="s">
        <v>6</v>
      </c>
      <c r="B26" s="265">
        <v>5</v>
      </c>
      <c r="C26" s="265">
        <v>3</v>
      </c>
      <c r="D26" s="265" t="str">
        <f t="shared" si="0"/>
        <v>SUPPLY_EAST_C_2_14</v>
      </c>
      <c r="E26" s="265" t="s">
        <v>0</v>
      </c>
      <c r="F26" s="34" t="s">
        <v>0</v>
      </c>
      <c r="G26" s="3" t="s">
        <v>18</v>
      </c>
      <c r="H26" s="3">
        <v>2</v>
      </c>
      <c r="I26" s="3">
        <v>2</v>
      </c>
      <c r="J26" s="3" t="s">
        <v>4</v>
      </c>
      <c r="K26" s="30"/>
      <c r="L26" s="90">
        <f>COUNT(AB26:BC26)</f>
        <v>3</v>
      </c>
      <c r="M26" s="30"/>
      <c r="N26" s="8"/>
      <c r="O26" s="86"/>
      <c r="P26" s="86"/>
      <c r="Q26" s="3"/>
      <c r="R26" s="3"/>
      <c r="S26" s="3"/>
      <c r="T26" s="3"/>
      <c r="U26" s="280"/>
      <c r="V26" s="86"/>
      <c r="W26" s="3"/>
      <c r="X26" s="3"/>
      <c r="Y26" s="3"/>
      <c r="Z26" s="3"/>
      <c r="AA26" s="31"/>
      <c r="AB26" s="86">
        <v>1</v>
      </c>
      <c r="AC26" s="86">
        <f>AB26+1</f>
        <v>2</v>
      </c>
      <c r="AD26" s="86">
        <f>AC26+1</f>
        <v>3</v>
      </c>
      <c r="AE26" s="4"/>
      <c r="AF26" s="4"/>
      <c r="AG26" s="4"/>
      <c r="AH26" s="4"/>
      <c r="AI26" s="283"/>
      <c r="AJ26" s="93"/>
      <c r="AK26" s="4"/>
      <c r="AL26" s="258"/>
      <c r="AM26" s="4"/>
      <c r="AN26" s="4"/>
      <c r="AO26" s="4"/>
      <c r="AP26" s="86"/>
      <c r="AQ26" s="86"/>
      <c r="AR26" s="86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1"/>
      <c r="BD26" s="8"/>
      <c r="BE26" s="86"/>
      <c r="BF26" s="86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1"/>
      <c r="BR26" s="8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1"/>
    </row>
    <row r="27" spans="1:83" ht="15" customHeight="1" x14ac:dyDescent="0.25">
      <c r="A27" s="286" t="s">
        <v>6</v>
      </c>
      <c r="B27" s="265">
        <v>5</v>
      </c>
      <c r="C27" s="265">
        <v>4</v>
      </c>
      <c r="D27" s="265" t="str">
        <f t="shared" si="0"/>
        <v>EMPTY_EAST_C_2_14</v>
      </c>
      <c r="E27" s="265" t="s">
        <v>0</v>
      </c>
      <c r="F27" s="34" t="s">
        <v>32</v>
      </c>
      <c r="G27" s="3" t="s">
        <v>18</v>
      </c>
      <c r="H27" s="3">
        <v>2</v>
      </c>
      <c r="I27" s="3">
        <v>2</v>
      </c>
      <c r="J27" s="3" t="s">
        <v>4</v>
      </c>
      <c r="K27" s="30">
        <v>-2</v>
      </c>
      <c r="L27" s="90">
        <f>COUNT(N27:AO27)</f>
        <v>14</v>
      </c>
      <c r="M27" s="30"/>
      <c r="N27" s="8">
        <v>1</v>
      </c>
      <c r="O27" s="86">
        <f t="shared" ref="O27:Y28" si="18">N27+1</f>
        <v>2</v>
      </c>
      <c r="P27" s="86">
        <f t="shared" si="18"/>
        <v>3</v>
      </c>
      <c r="Q27" s="86">
        <f t="shared" si="18"/>
        <v>4</v>
      </c>
      <c r="R27" s="86">
        <f t="shared" si="18"/>
        <v>5</v>
      </c>
      <c r="S27" s="86">
        <f t="shared" si="18"/>
        <v>6</v>
      </c>
      <c r="T27" s="86">
        <f t="shared" si="18"/>
        <v>7</v>
      </c>
      <c r="U27" s="285">
        <f t="shared" si="18"/>
        <v>8</v>
      </c>
      <c r="V27" s="319">
        <f t="shared" si="18"/>
        <v>9</v>
      </c>
      <c r="W27" s="3">
        <f t="shared" si="18"/>
        <v>10</v>
      </c>
      <c r="X27" s="3">
        <f>W27+1</f>
        <v>11</v>
      </c>
      <c r="Y27" s="3">
        <f>X27+1</f>
        <v>12</v>
      </c>
      <c r="Z27" s="3">
        <f>Y27+1</f>
        <v>13</v>
      </c>
      <c r="AA27" s="280">
        <f>Z27+1</f>
        <v>14</v>
      </c>
      <c r="AB27" s="320"/>
      <c r="AC27" s="3"/>
      <c r="AD27" s="3"/>
      <c r="AE27" s="3"/>
      <c r="AF27" s="3"/>
      <c r="AG27" s="3"/>
      <c r="AH27" s="3"/>
      <c r="AI27" s="280"/>
      <c r="AJ27" s="86"/>
      <c r="AK27" s="3"/>
      <c r="AL27" s="33"/>
      <c r="AM27" s="3"/>
      <c r="AN27" s="3"/>
      <c r="AO27" s="3"/>
      <c r="AP27" s="86"/>
      <c r="AQ27" s="86"/>
      <c r="AR27" s="86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1"/>
      <c r="BD27" s="8"/>
      <c r="BE27" s="86"/>
      <c r="BF27" s="86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1"/>
      <c r="BR27" s="8"/>
      <c r="BS27" s="86"/>
      <c r="BT27" s="86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1"/>
    </row>
    <row r="28" spans="1:83" ht="15" hidden="1" customHeight="1" x14ac:dyDescent="0.25">
      <c r="A28" s="286" t="s">
        <v>6</v>
      </c>
      <c r="B28" s="265">
        <v>5</v>
      </c>
      <c r="C28" s="265">
        <v>5</v>
      </c>
      <c r="D28" s="265" t="str">
        <f t="shared" si="0"/>
        <v>PREPARE_EAST_C_2_14</v>
      </c>
      <c r="E28" s="265" t="s">
        <v>0</v>
      </c>
      <c r="F28" s="49" t="s">
        <v>46</v>
      </c>
      <c r="G28" s="3" t="s">
        <v>18</v>
      </c>
      <c r="H28" s="3">
        <v>2</v>
      </c>
      <c r="I28" s="3">
        <v>2</v>
      </c>
      <c r="J28" s="3" t="s">
        <v>4</v>
      </c>
      <c r="K28" s="3"/>
      <c r="L28" s="90">
        <f>COUNT(N28:AO28)</f>
        <v>15</v>
      </c>
      <c r="M28" s="30"/>
      <c r="N28" s="8">
        <v>1</v>
      </c>
      <c r="O28" s="86">
        <f t="shared" si="18"/>
        <v>2</v>
      </c>
      <c r="P28" s="86">
        <f t="shared" si="18"/>
        <v>3</v>
      </c>
      <c r="Q28" s="86">
        <f t="shared" si="18"/>
        <v>4</v>
      </c>
      <c r="R28" s="86">
        <f t="shared" si="18"/>
        <v>5</v>
      </c>
      <c r="S28" s="86">
        <f t="shared" si="18"/>
        <v>6</v>
      </c>
      <c r="T28" s="86">
        <f t="shared" si="18"/>
        <v>7</v>
      </c>
      <c r="U28" s="285">
        <f t="shared" si="18"/>
        <v>8</v>
      </c>
      <c r="V28" s="86">
        <f t="shared" si="18"/>
        <v>9</v>
      </c>
      <c r="W28" s="86">
        <f t="shared" si="18"/>
        <v>10</v>
      </c>
      <c r="X28" s="86">
        <f t="shared" si="18"/>
        <v>11</v>
      </c>
      <c r="Y28" s="86">
        <f t="shared" si="18"/>
        <v>12</v>
      </c>
      <c r="Z28" s="86">
        <f>Y28+1</f>
        <v>13</v>
      </c>
      <c r="AA28" s="287">
        <f>Z28+1</f>
        <v>14</v>
      </c>
      <c r="AB28" s="287">
        <f>AA28+1</f>
        <v>15</v>
      </c>
      <c r="AC28" s="93"/>
      <c r="AD28" s="93"/>
      <c r="AE28" s="3"/>
      <c r="AF28" s="3"/>
      <c r="AG28" s="3"/>
      <c r="AH28" s="3"/>
      <c r="AI28" s="280"/>
      <c r="AJ28" s="86"/>
      <c r="AK28" s="3"/>
      <c r="AL28" s="3"/>
      <c r="AM28" s="3"/>
      <c r="AN28" s="3"/>
      <c r="AO28" s="3"/>
      <c r="AP28" s="86"/>
      <c r="AQ28" s="86"/>
      <c r="AR28" s="86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1"/>
      <c r="BD28" s="8"/>
      <c r="BE28" s="86"/>
      <c r="BF28" s="86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1"/>
      <c r="BR28" s="8"/>
      <c r="BS28" s="86"/>
      <c r="BT28" s="86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1"/>
    </row>
    <row r="29" spans="1:83" ht="15" hidden="1" customHeight="1" x14ac:dyDescent="0.25">
      <c r="A29" s="286" t="s">
        <v>6</v>
      </c>
      <c r="B29" s="265">
        <f>B27</f>
        <v>5</v>
      </c>
      <c r="C29" s="265">
        <v>6</v>
      </c>
      <c r="D29" s="265" t="str">
        <f>F29&amp;"_"&amp;G29&amp;"_"&amp;J29&amp;"_"&amp;I29&amp;"_"&amp;$D$1</f>
        <v>COUNTDOWN_EAST_C_2_14</v>
      </c>
      <c r="E29" s="265"/>
      <c r="F29" s="34" t="s">
        <v>33</v>
      </c>
      <c r="G29" s="3" t="s">
        <v>18</v>
      </c>
      <c r="H29" s="3">
        <v>2</v>
      </c>
      <c r="I29" s="3">
        <v>2</v>
      </c>
      <c r="J29" s="3" t="s">
        <v>4</v>
      </c>
      <c r="K29" s="32"/>
      <c r="L29" s="32"/>
      <c r="M29" s="30"/>
      <c r="N29" s="8">
        <v>2</v>
      </c>
      <c r="O29" s="86">
        <v>1</v>
      </c>
      <c r="P29" s="86">
        <v>14</v>
      </c>
      <c r="Q29" s="3">
        <v>13</v>
      </c>
      <c r="R29" s="3">
        <v>12</v>
      </c>
      <c r="S29" s="3">
        <v>11</v>
      </c>
      <c r="T29" s="3">
        <v>10</v>
      </c>
      <c r="U29" s="280">
        <v>9</v>
      </c>
      <c r="V29" s="86">
        <v>8</v>
      </c>
      <c r="W29" s="3">
        <v>7</v>
      </c>
      <c r="X29" s="3">
        <v>6</v>
      </c>
      <c r="Y29" s="3">
        <v>5</v>
      </c>
      <c r="Z29" s="3">
        <v>4</v>
      </c>
      <c r="AA29" s="31">
        <v>3</v>
      </c>
      <c r="AB29" s="86">
        <v>2</v>
      </c>
      <c r="AC29" s="86">
        <v>1</v>
      </c>
      <c r="AD29" s="86">
        <v>14</v>
      </c>
      <c r="AE29" s="3">
        <v>13</v>
      </c>
      <c r="AF29" s="3">
        <v>12</v>
      </c>
      <c r="AG29" s="3">
        <v>11</v>
      </c>
      <c r="AH29" s="3">
        <v>10</v>
      </c>
      <c r="AI29" s="280">
        <v>9</v>
      </c>
      <c r="AJ29" s="86">
        <v>8</v>
      </c>
      <c r="AK29" s="3">
        <v>7</v>
      </c>
      <c r="AL29" s="3">
        <v>6</v>
      </c>
      <c r="AM29" s="3">
        <v>5</v>
      </c>
      <c r="AN29" s="3">
        <v>4</v>
      </c>
      <c r="AO29" s="3">
        <v>3</v>
      </c>
      <c r="AP29" s="86">
        <v>2</v>
      </c>
      <c r="AQ29" s="86">
        <v>1</v>
      </c>
      <c r="AR29" s="86">
        <v>14</v>
      </c>
      <c r="AS29" s="3">
        <v>13</v>
      </c>
      <c r="AT29" s="3">
        <v>12</v>
      </c>
      <c r="AU29" s="3">
        <v>11</v>
      </c>
      <c r="AV29" s="3">
        <v>10</v>
      </c>
      <c r="AW29" s="3">
        <v>9</v>
      </c>
      <c r="AX29" s="3">
        <v>8</v>
      </c>
      <c r="AY29" s="3">
        <v>7</v>
      </c>
      <c r="AZ29" s="3">
        <v>6</v>
      </c>
      <c r="BA29" s="3">
        <v>5</v>
      </c>
      <c r="BB29" s="3">
        <v>4</v>
      </c>
      <c r="BC29" s="31">
        <v>3</v>
      </c>
      <c r="BD29" s="8">
        <v>2</v>
      </c>
      <c r="BE29" s="86">
        <v>1</v>
      </c>
      <c r="BF29" s="86">
        <v>14</v>
      </c>
      <c r="BG29" s="3">
        <v>13</v>
      </c>
      <c r="BH29" s="3">
        <v>12</v>
      </c>
      <c r="BI29" s="3">
        <v>11</v>
      </c>
      <c r="BJ29" s="3">
        <v>10</v>
      </c>
      <c r="BK29" s="3">
        <v>9</v>
      </c>
      <c r="BL29" s="3">
        <v>8</v>
      </c>
      <c r="BM29" s="3">
        <v>7</v>
      </c>
      <c r="BN29" s="3">
        <v>6</v>
      </c>
      <c r="BO29" s="3">
        <v>5</v>
      </c>
      <c r="BP29" s="3">
        <v>4</v>
      </c>
      <c r="BQ29" s="31">
        <v>3</v>
      </c>
      <c r="BR29" s="8">
        <v>2</v>
      </c>
      <c r="BS29" s="86">
        <v>1</v>
      </c>
      <c r="BT29" s="86">
        <v>14</v>
      </c>
      <c r="BU29" s="3">
        <v>13</v>
      </c>
      <c r="BV29" s="3">
        <v>12</v>
      </c>
      <c r="BW29" s="3">
        <v>11</v>
      </c>
      <c r="BX29" s="3">
        <v>10</v>
      </c>
      <c r="BY29" s="3">
        <v>9</v>
      </c>
      <c r="BZ29" s="3">
        <v>8</v>
      </c>
      <c r="CA29" s="3">
        <v>7</v>
      </c>
      <c r="CB29" s="3">
        <v>6</v>
      </c>
      <c r="CC29" s="3">
        <v>5</v>
      </c>
      <c r="CD29" s="3">
        <v>4</v>
      </c>
      <c r="CE29" s="31">
        <v>3</v>
      </c>
    </row>
    <row r="30" spans="1:83" ht="15" hidden="1" customHeight="1" x14ac:dyDescent="0.25">
      <c r="B30" s="265">
        <v>6</v>
      </c>
      <c r="C30" s="265">
        <v>6</v>
      </c>
      <c r="D30" s="265" t="str">
        <f t="shared" si="0"/>
        <v>SORTING_EAST_I_1_14</v>
      </c>
      <c r="E30" s="265" t="s">
        <v>35</v>
      </c>
      <c r="F30" s="49" t="s">
        <v>45</v>
      </c>
      <c r="G30" s="3" t="s">
        <v>18</v>
      </c>
      <c r="H30" s="3">
        <v>1</v>
      </c>
      <c r="I30" s="3">
        <v>1</v>
      </c>
      <c r="J30" s="3" t="s">
        <v>10</v>
      </c>
      <c r="K30" s="3"/>
      <c r="L30" s="90">
        <f>COUNT(V30:AO30)</f>
        <v>4</v>
      </c>
      <c r="M30" s="30"/>
      <c r="N30" s="8"/>
      <c r="O30" s="86"/>
      <c r="P30" s="86"/>
      <c r="Q30" s="3"/>
      <c r="R30" s="3"/>
      <c r="S30" s="3"/>
      <c r="T30" s="3"/>
      <c r="U30" s="280"/>
      <c r="V30" s="279">
        <v>1</v>
      </c>
      <c r="W30" s="33">
        <f t="shared" ref="W30:X31" si="19">V30+1</f>
        <v>2</v>
      </c>
      <c r="X30" s="33">
        <f t="shared" si="19"/>
        <v>3</v>
      </c>
      <c r="Y30" s="33">
        <f>X30+1</f>
        <v>4</v>
      </c>
      <c r="Z30" s="61"/>
      <c r="AA30" s="35"/>
      <c r="AB30" s="279"/>
      <c r="AC30" s="279"/>
      <c r="AD30" s="279"/>
      <c r="AE30" s="33"/>
      <c r="AF30" s="33"/>
      <c r="AG30" s="33"/>
      <c r="AH30" s="33"/>
      <c r="AI30" s="282"/>
      <c r="AJ30" s="86"/>
      <c r="AK30" s="3"/>
      <c r="AL30" s="3"/>
      <c r="AM30" s="3"/>
      <c r="AN30" s="3"/>
      <c r="AO30" s="3"/>
      <c r="AP30" s="86"/>
      <c r="AQ30" s="86"/>
      <c r="AR30" s="86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1"/>
      <c r="BD30" s="8"/>
      <c r="BE30" s="86"/>
      <c r="BF30" s="86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1"/>
      <c r="BR30" s="8"/>
      <c r="BS30" s="86"/>
      <c r="BT30" s="86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1"/>
    </row>
    <row r="31" spans="1:83" ht="15" hidden="1" customHeight="1" x14ac:dyDescent="0.25">
      <c r="B31" s="265">
        <v>6</v>
      </c>
      <c r="C31" s="265">
        <v>1</v>
      </c>
      <c r="D31" s="265" t="str">
        <f t="shared" si="0"/>
        <v>TRANSFER_EAST_I_1_14</v>
      </c>
      <c r="E31" s="265" t="s">
        <v>21</v>
      </c>
      <c r="F31" s="49" t="s">
        <v>21</v>
      </c>
      <c r="G31" s="3" t="s">
        <v>18</v>
      </c>
      <c r="H31" s="3">
        <v>1</v>
      </c>
      <c r="I31" s="3">
        <v>1</v>
      </c>
      <c r="J31" s="3" t="s">
        <v>10</v>
      </c>
      <c r="K31" s="3"/>
      <c r="L31" s="90">
        <f>COUNT(V31:AO31)</f>
        <v>5</v>
      </c>
      <c r="M31" s="30"/>
      <c r="N31" s="8"/>
      <c r="O31" s="86"/>
      <c r="P31" s="86"/>
      <c r="Q31" s="3"/>
      <c r="R31" s="3"/>
      <c r="S31" s="3"/>
      <c r="T31" s="3"/>
      <c r="U31" s="280"/>
      <c r="V31" s="86">
        <v>1</v>
      </c>
      <c r="W31" s="3">
        <f t="shared" si="19"/>
        <v>2</v>
      </c>
      <c r="X31" s="3">
        <f t="shared" si="19"/>
        <v>3</v>
      </c>
      <c r="Y31" s="3">
        <f>X31+1</f>
        <v>4</v>
      </c>
      <c r="Z31" s="3">
        <f>Y31+1</f>
        <v>5</v>
      </c>
      <c r="AA31" s="21"/>
      <c r="AB31" s="93"/>
      <c r="AC31" s="86"/>
      <c r="AD31" s="86"/>
      <c r="AE31" s="3"/>
      <c r="AF31" s="3"/>
      <c r="AG31" s="3"/>
      <c r="AH31" s="3"/>
      <c r="AI31" s="280"/>
      <c r="AJ31" s="86"/>
      <c r="AK31" s="3"/>
      <c r="AL31" s="3"/>
      <c r="AM31" s="3"/>
      <c r="AN31" s="3"/>
      <c r="AO31" s="3"/>
      <c r="AP31" s="86"/>
      <c r="AQ31" s="86"/>
      <c r="AR31" s="86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1"/>
      <c r="BD31" s="8"/>
      <c r="BE31" s="86"/>
      <c r="BF31" s="86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1"/>
      <c r="BR31" s="8"/>
      <c r="BS31" s="86"/>
      <c r="BT31" s="86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1"/>
    </row>
    <row r="32" spans="1:83" ht="15" hidden="1" customHeight="1" x14ac:dyDescent="0.25">
      <c r="B32" s="265">
        <v>6</v>
      </c>
      <c r="C32" s="265">
        <v>3</v>
      </c>
      <c r="D32" s="265" t="str">
        <f t="shared" si="0"/>
        <v>SUPPLY_EAST_I_1_14</v>
      </c>
      <c r="E32" s="265" t="s">
        <v>0</v>
      </c>
      <c r="F32" s="34" t="s">
        <v>0</v>
      </c>
      <c r="G32" s="3" t="s">
        <v>18</v>
      </c>
      <c r="H32" s="3">
        <v>1</v>
      </c>
      <c r="I32" s="3">
        <v>1</v>
      </c>
      <c r="J32" s="3" t="s">
        <v>10</v>
      </c>
      <c r="K32" s="30"/>
      <c r="L32" s="90">
        <f>COUNT(AB32:BC32)</f>
        <v>4</v>
      </c>
      <c r="M32" s="30"/>
      <c r="N32" s="8"/>
      <c r="O32" s="86"/>
      <c r="P32" s="86"/>
      <c r="Q32" s="3"/>
      <c r="R32" s="3"/>
      <c r="S32" s="3"/>
      <c r="T32" s="3"/>
      <c r="U32" s="280"/>
      <c r="V32" s="86"/>
      <c r="W32" s="3"/>
      <c r="X32" s="3"/>
      <c r="Y32" s="3"/>
      <c r="Z32" s="3"/>
      <c r="AA32" s="31"/>
      <c r="AB32" s="86">
        <v>1</v>
      </c>
      <c r="AC32" s="86">
        <f t="shared" ref="AC32:AE34" si="20">AB32+1</f>
        <v>2</v>
      </c>
      <c r="AD32" s="86">
        <f t="shared" si="20"/>
        <v>3</v>
      </c>
      <c r="AE32" s="86">
        <f t="shared" si="20"/>
        <v>4</v>
      </c>
      <c r="AF32" s="4"/>
      <c r="AG32" s="4"/>
      <c r="AH32" s="4"/>
      <c r="AI32" s="283"/>
      <c r="AJ32" s="93"/>
      <c r="AK32" s="4"/>
      <c r="AL32" s="258"/>
      <c r="AM32" s="4"/>
      <c r="AN32" s="4"/>
      <c r="AO32" s="4"/>
      <c r="AP32" s="4"/>
      <c r="AQ32" s="4"/>
      <c r="AR32" s="86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1"/>
      <c r="BD32" s="288"/>
      <c r="BE32" s="3"/>
      <c r="BF32" s="3"/>
      <c r="BG32" s="3"/>
      <c r="BH32" s="3"/>
      <c r="BI32" s="3"/>
      <c r="BJ32" s="3"/>
      <c r="BK32" s="3"/>
      <c r="BL32" s="284"/>
      <c r="BM32" s="3"/>
      <c r="BN32" s="3"/>
      <c r="BO32" s="3"/>
      <c r="BP32" s="3"/>
      <c r="BQ32" s="31"/>
      <c r="BR32" s="8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1"/>
    </row>
    <row r="33" spans="1:83" ht="15" customHeight="1" x14ac:dyDescent="0.25">
      <c r="B33" s="265">
        <v>6</v>
      </c>
      <c r="C33" s="265">
        <v>4</v>
      </c>
      <c r="D33" s="265" t="str">
        <f t="shared" si="0"/>
        <v>EMPTY_EAST_I_1_14</v>
      </c>
      <c r="E33" s="265" t="s">
        <v>0</v>
      </c>
      <c r="F33" s="34" t="s">
        <v>32</v>
      </c>
      <c r="G33" s="3" t="s">
        <v>18</v>
      </c>
      <c r="H33" s="3">
        <v>1</v>
      </c>
      <c r="I33" s="3">
        <v>1</v>
      </c>
      <c r="J33" s="3" t="s">
        <v>10</v>
      </c>
      <c r="K33" s="289">
        <v>-1</v>
      </c>
      <c r="L33" s="90">
        <f>COUNT(N33:AO33)</f>
        <v>16</v>
      </c>
      <c r="M33" s="30"/>
      <c r="N33" s="8">
        <v>1</v>
      </c>
      <c r="O33" s="86">
        <f t="shared" ref="O33:Y34" si="21">N33+1</f>
        <v>2</v>
      </c>
      <c r="P33" s="86">
        <f t="shared" si="21"/>
        <v>3</v>
      </c>
      <c r="Q33" s="86">
        <f t="shared" si="21"/>
        <v>4</v>
      </c>
      <c r="R33" s="86">
        <f t="shared" si="21"/>
        <v>5</v>
      </c>
      <c r="S33" s="86">
        <f t="shared" si="21"/>
        <v>6</v>
      </c>
      <c r="T33" s="86">
        <f t="shared" si="21"/>
        <v>7</v>
      </c>
      <c r="U33" s="285">
        <f t="shared" si="21"/>
        <v>8</v>
      </c>
      <c r="V33" s="319">
        <f t="shared" si="21"/>
        <v>9</v>
      </c>
      <c r="W33" s="3">
        <f t="shared" si="21"/>
        <v>10</v>
      </c>
      <c r="X33" s="3">
        <f>W33+1</f>
        <v>11</v>
      </c>
      <c r="Y33" s="3">
        <f>X33+1</f>
        <v>12</v>
      </c>
      <c r="Z33" s="3">
        <f>Y33+1</f>
        <v>13</v>
      </c>
      <c r="AA33" s="280">
        <f>Z33+1</f>
        <v>14</v>
      </c>
      <c r="AB33" s="319">
        <f t="shared" ref="AB33" si="22">AA33+1</f>
        <v>15</v>
      </c>
      <c r="AC33" s="3">
        <f t="shared" si="20"/>
        <v>16</v>
      </c>
      <c r="AD33" s="46"/>
      <c r="AE33" s="3"/>
      <c r="AF33" s="3"/>
      <c r="AG33" s="3"/>
      <c r="AH33" s="3"/>
      <c r="AI33" s="280"/>
      <c r="AJ33" s="86"/>
      <c r="AK33" s="3"/>
      <c r="AL33" s="33"/>
      <c r="AM33" s="3"/>
      <c r="AN33" s="3"/>
      <c r="AO33" s="3"/>
      <c r="AP33" s="290"/>
      <c r="AQ33" s="284"/>
      <c r="AR33" s="284"/>
      <c r="AS33" s="284"/>
      <c r="AT33" s="284"/>
      <c r="AU33" s="284"/>
      <c r="AV33" s="284"/>
      <c r="AW33" s="284"/>
      <c r="AX33" s="3"/>
      <c r="AY33" s="3"/>
      <c r="AZ33" s="3"/>
      <c r="BA33" s="3"/>
      <c r="BB33" s="3"/>
      <c r="BC33" s="31"/>
      <c r="BL33" s="3"/>
      <c r="BM33" s="3"/>
      <c r="BN33" s="3"/>
      <c r="BO33" s="3"/>
      <c r="BP33" s="3"/>
      <c r="BQ33" s="31"/>
      <c r="BZ33" s="3"/>
      <c r="CA33" s="3"/>
      <c r="CB33" s="3"/>
      <c r="CC33" s="3"/>
      <c r="CD33" s="3"/>
      <c r="CE33" s="31"/>
    </row>
    <row r="34" spans="1:83" ht="15" hidden="1" customHeight="1" x14ac:dyDescent="0.25">
      <c r="B34" s="265">
        <v>6</v>
      </c>
      <c r="C34" s="265">
        <v>2</v>
      </c>
      <c r="D34" s="265" t="str">
        <f t="shared" si="0"/>
        <v>PREPARE_EAST_I_1_14</v>
      </c>
      <c r="E34" s="265" t="s">
        <v>0</v>
      </c>
      <c r="F34" s="49" t="s">
        <v>46</v>
      </c>
      <c r="G34" s="3" t="s">
        <v>18</v>
      </c>
      <c r="H34" s="3">
        <v>1</v>
      </c>
      <c r="I34" s="3">
        <v>1</v>
      </c>
      <c r="J34" s="3" t="s">
        <v>10</v>
      </c>
      <c r="K34" s="3"/>
      <c r="L34" s="90">
        <f>COUNT(N34:AO34)</f>
        <v>17</v>
      </c>
      <c r="M34" s="30"/>
      <c r="N34" s="8">
        <v>1</v>
      </c>
      <c r="O34" s="86">
        <f t="shared" si="21"/>
        <v>2</v>
      </c>
      <c r="P34" s="86">
        <f t="shared" si="21"/>
        <v>3</v>
      </c>
      <c r="Q34" s="86">
        <f t="shared" si="21"/>
        <v>4</v>
      </c>
      <c r="R34" s="86">
        <f t="shared" si="21"/>
        <v>5</v>
      </c>
      <c r="S34" s="86">
        <f t="shared" si="21"/>
        <v>6</v>
      </c>
      <c r="T34" s="86">
        <f t="shared" si="21"/>
        <v>7</v>
      </c>
      <c r="U34" s="285">
        <f t="shared" si="21"/>
        <v>8</v>
      </c>
      <c r="V34" s="86">
        <f t="shared" si="21"/>
        <v>9</v>
      </c>
      <c r="W34" s="86">
        <f t="shared" si="21"/>
        <v>10</v>
      </c>
      <c r="X34" s="86">
        <f t="shared" si="21"/>
        <v>11</v>
      </c>
      <c r="Y34" s="86">
        <f t="shared" si="21"/>
        <v>12</v>
      </c>
      <c r="Z34" s="86">
        <f>Y34+1</f>
        <v>13</v>
      </c>
      <c r="AA34" s="287">
        <f>Z34+1</f>
        <v>14</v>
      </c>
      <c r="AB34" s="86">
        <f>AA34+1</f>
        <v>15</v>
      </c>
      <c r="AC34" s="86">
        <f t="shared" si="20"/>
        <v>16</v>
      </c>
      <c r="AD34" s="86">
        <f t="shared" ref="AD34" si="23">AC34+1</f>
        <v>17</v>
      </c>
      <c r="AE34" s="93"/>
      <c r="AF34" s="3"/>
      <c r="AG34" s="3"/>
      <c r="AH34" s="3"/>
      <c r="AI34" s="280"/>
      <c r="AJ34" s="86"/>
      <c r="AK34" s="3"/>
      <c r="AL34" s="3"/>
      <c r="AM34" s="3"/>
      <c r="AN34" s="3"/>
      <c r="AO34" s="3"/>
      <c r="AP34" s="86"/>
      <c r="AQ34" s="86"/>
      <c r="AR34" s="86"/>
      <c r="AS34" s="3"/>
      <c r="AT34" s="3"/>
      <c r="AU34" s="86"/>
      <c r="AV34" s="3"/>
      <c r="AW34" s="3"/>
      <c r="AY34" s="3"/>
      <c r="AZ34" s="3"/>
      <c r="BA34" s="3"/>
      <c r="BB34" s="3"/>
      <c r="BC34" s="31"/>
      <c r="BD34" s="8"/>
      <c r="BE34" s="86"/>
      <c r="BF34" s="86"/>
      <c r="BG34" s="3"/>
      <c r="BH34" s="3"/>
      <c r="BI34" s="3"/>
      <c r="BJ34" s="3"/>
      <c r="BK34" s="3"/>
      <c r="BM34" s="3"/>
      <c r="BN34" s="3"/>
      <c r="BO34" s="3"/>
      <c r="BP34" s="3"/>
      <c r="BQ34" s="31"/>
      <c r="BR34" s="8"/>
      <c r="BS34" s="86"/>
      <c r="BT34" s="86"/>
      <c r="BU34" s="3"/>
      <c r="BV34" s="3"/>
      <c r="BW34" s="3"/>
      <c r="BX34" s="3"/>
      <c r="BY34" s="3"/>
      <c r="CA34" s="3"/>
      <c r="CB34" s="3"/>
      <c r="CC34" s="3"/>
      <c r="CD34" s="3"/>
      <c r="CE34" s="31"/>
    </row>
    <row r="35" spans="1:83" ht="15" hidden="1" customHeight="1" x14ac:dyDescent="0.25">
      <c r="B35" s="265">
        <f>B33</f>
        <v>6</v>
      </c>
      <c r="C35" s="265">
        <v>6</v>
      </c>
      <c r="D35" s="265" t="str">
        <f t="shared" si="0"/>
        <v>COUNTDOWN_EAST_I_1_14</v>
      </c>
      <c r="E35" s="265"/>
      <c r="F35" s="34" t="s">
        <v>33</v>
      </c>
      <c r="G35" s="3" t="s">
        <v>18</v>
      </c>
      <c r="H35" s="3">
        <v>1</v>
      </c>
      <c r="I35" s="3">
        <v>1</v>
      </c>
      <c r="J35" s="3" t="s">
        <v>10</v>
      </c>
      <c r="K35" s="32"/>
      <c r="L35" s="32"/>
      <c r="M35" s="30"/>
      <c r="N35" s="8">
        <v>3</v>
      </c>
      <c r="O35" s="86">
        <v>2</v>
      </c>
      <c r="P35" s="86">
        <v>1</v>
      </c>
      <c r="Q35" s="3">
        <v>14</v>
      </c>
      <c r="R35" s="3">
        <v>13</v>
      </c>
      <c r="S35" s="3">
        <v>12</v>
      </c>
      <c r="T35" s="3">
        <v>11</v>
      </c>
      <c r="U35" s="280">
        <v>10</v>
      </c>
      <c r="V35" s="86">
        <v>9</v>
      </c>
      <c r="W35" s="3">
        <v>8</v>
      </c>
      <c r="X35" s="3">
        <v>7</v>
      </c>
      <c r="Y35" s="3">
        <v>6</v>
      </c>
      <c r="Z35" s="3">
        <v>5</v>
      </c>
      <c r="AA35" s="31">
        <v>4</v>
      </c>
      <c r="AB35" s="86">
        <v>3</v>
      </c>
      <c r="AC35" s="86">
        <v>2</v>
      </c>
      <c r="AD35" s="86">
        <v>1</v>
      </c>
      <c r="AE35" s="3">
        <v>14</v>
      </c>
      <c r="AF35" s="3">
        <v>13</v>
      </c>
      <c r="AG35" s="3">
        <v>12</v>
      </c>
      <c r="AH35" s="3">
        <v>11</v>
      </c>
      <c r="AI35" s="280">
        <v>10</v>
      </c>
      <c r="AJ35" s="86">
        <v>9</v>
      </c>
      <c r="AK35" s="3">
        <v>8</v>
      </c>
      <c r="AL35" s="3">
        <v>7</v>
      </c>
      <c r="AM35" s="3">
        <v>6</v>
      </c>
      <c r="AN35" s="3">
        <v>5</v>
      </c>
      <c r="AO35" s="3">
        <v>4</v>
      </c>
      <c r="AP35" s="86">
        <v>3</v>
      </c>
      <c r="AQ35" s="86">
        <v>2</v>
      </c>
      <c r="AR35" s="86">
        <v>1</v>
      </c>
      <c r="AS35" s="3">
        <v>14</v>
      </c>
      <c r="AT35" s="3">
        <v>13</v>
      </c>
      <c r="AU35" s="3">
        <v>12</v>
      </c>
      <c r="AV35" s="3">
        <v>11</v>
      </c>
      <c r="AW35" s="3">
        <v>10</v>
      </c>
      <c r="AX35" s="3">
        <v>9</v>
      </c>
      <c r="AY35" s="3">
        <v>8</v>
      </c>
      <c r="AZ35" s="3">
        <v>7</v>
      </c>
      <c r="BA35" s="3">
        <v>6</v>
      </c>
      <c r="BB35" s="3">
        <v>5</v>
      </c>
      <c r="BC35" s="31">
        <v>4</v>
      </c>
      <c r="BD35" s="8">
        <v>3</v>
      </c>
      <c r="BE35" s="86">
        <v>2</v>
      </c>
      <c r="BF35" s="86">
        <v>1</v>
      </c>
      <c r="BG35" s="3">
        <v>14</v>
      </c>
      <c r="BH35" s="3">
        <v>13</v>
      </c>
      <c r="BI35" s="3">
        <v>12</v>
      </c>
      <c r="BJ35" s="3">
        <v>11</v>
      </c>
      <c r="BK35" s="3">
        <v>10</v>
      </c>
      <c r="BL35" s="3">
        <v>9</v>
      </c>
      <c r="BM35" s="3">
        <v>8</v>
      </c>
      <c r="BN35" s="3">
        <v>7</v>
      </c>
      <c r="BO35" s="3">
        <v>6</v>
      </c>
      <c r="BP35" s="3">
        <v>5</v>
      </c>
      <c r="BQ35" s="31">
        <v>4</v>
      </c>
      <c r="BR35" s="8">
        <v>3</v>
      </c>
      <c r="BS35" s="86">
        <v>2</v>
      </c>
      <c r="BT35" s="86">
        <v>1</v>
      </c>
      <c r="BU35" s="3">
        <v>14</v>
      </c>
      <c r="BV35" s="3">
        <v>13</v>
      </c>
      <c r="BW35" s="3">
        <v>12</v>
      </c>
      <c r="BX35" s="3">
        <v>11</v>
      </c>
      <c r="BY35" s="3">
        <v>10</v>
      </c>
      <c r="BZ35" s="3">
        <v>9</v>
      </c>
      <c r="CA35" s="3">
        <v>8</v>
      </c>
      <c r="CB35" s="3">
        <v>7</v>
      </c>
      <c r="CC35" s="3">
        <v>6</v>
      </c>
      <c r="CD35" s="3">
        <v>5</v>
      </c>
      <c r="CE35" s="31">
        <v>4</v>
      </c>
    </row>
    <row r="36" spans="1:83" ht="15" hidden="1" customHeight="1" x14ac:dyDescent="0.25">
      <c r="A36" s="2" t="s">
        <v>15</v>
      </c>
      <c r="B36" s="265">
        <v>4</v>
      </c>
      <c r="C36" s="265">
        <v>1</v>
      </c>
      <c r="D36" s="265" t="str">
        <f t="shared" si="0"/>
        <v>SORTING_EAST_G_2_14</v>
      </c>
      <c r="E36" s="265" t="s">
        <v>35</v>
      </c>
      <c r="F36" s="49" t="s">
        <v>45</v>
      </c>
      <c r="G36" s="3" t="s">
        <v>18</v>
      </c>
      <c r="H36" s="3">
        <v>2</v>
      </c>
      <c r="I36" s="3">
        <v>2</v>
      </c>
      <c r="J36" s="3" t="s">
        <v>8</v>
      </c>
      <c r="K36" s="3"/>
      <c r="L36" s="90">
        <f>COUNT(V36:AO36)</f>
        <v>5</v>
      </c>
      <c r="M36" s="30"/>
      <c r="N36" s="8"/>
      <c r="O36" s="86"/>
      <c r="P36" s="86"/>
      <c r="Q36" s="3"/>
      <c r="R36" s="3"/>
      <c r="S36" s="3"/>
      <c r="T36" s="3"/>
      <c r="U36" s="280"/>
      <c r="V36" s="279">
        <v>1</v>
      </c>
      <c r="W36" s="33">
        <f t="shared" ref="W36:X37" si="24">V36+1</f>
        <v>2</v>
      </c>
      <c r="X36" s="33">
        <f t="shared" si="24"/>
        <v>3</v>
      </c>
      <c r="Y36" s="33">
        <f>X36+1</f>
        <v>4</v>
      </c>
      <c r="Z36" s="33">
        <f>Y36+1</f>
        <v>5</v>
      </c>
      <c r="AA36" s="291"/>
      <c r="AB36" s="281"/>
      <c r="AC36" s="279"/>
      <c r="AD36" s="279"/>
      <c r="AE36" s="33"/>
      <c r="AF36" s="33"/>
      <c r="AG36" s="33"/>
      <c r="AH36" s="33"/>
      <c r="AI36" s="282"/>
      <c r="AJ36" s="86"/>
      <c r="AK36" s="3"/>
      <c r="AL36" s="3"/>
      <c r="AM36" s="3"/>
      <c r="AN36" s="3"/>
      <c r="AO36" s="3"/>
      <c r="AP36" s="86"/>
      <c r="AQ36" s="86"/>
      <c r="AR36" s="86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1"/>
      <c r="BD36" s="8"/>
      <c r="BE36" s="86"/>
      <c r="BF36" s="86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1"/>
      <c r="BR36" s="8"/>
      <c r="BS36" s="86"/>
      <c r="BT36" s="86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1"/>
    </row>
    <row r="37" spans="1:83" ht="15" hidden="1" customHeight="1" x14ac:dyDescent="0.25">
      <c r="A37" s="2" t="s">
        <v>15</v>
      </c>
      <c r="B37" s="265">
        <v>4</v>
      </c>
      <c r="C37" s="265">
        <v>2</v>
      </c>
      <c r="D37" s="265" t="str">
        <f t="shared" si="0"/>
        <v>TRANSFER_EAST_G_2_14</v>
      </c>
      <c r="E37" s="265" t="s">
        <v>21</v>
      </c>
      <c r="F37" s="49" t="s">
        <v>21</v>
      </c>
      <c r="G37" s="3" t="s">
        <v>18</v>
      </c>
      <c r="H37" s="3">
        <v>2</v>
      </c>
      <c r="I37" s="3">
        <v>2</v>
      </c>
      <c r="J37" s="3" t="s">
        <v>8</v>
      </c>
      <c r="K37" s="3"/>
      <c r="L37" s="90">
        <f>COUNT(V37:AO37)</f>
        <v>7</v>
      </c>
      <c r="M37" s="30"/>
      <c r="N37" s="8"/>
      <c r="O37" s="86"/>
      <c r="P37" s="86"/>
      <c r="Q37" s="3"/>
      <c r="R37" s="3"/>
      <c r="S37" s="3"/>
      <c r="T37" s="3"/>
      <c r="U37" s="280"/>
      <c r="V37" s="86">
        <v>1</v>
      </c>
      <c r="W37" s="3">
        <f t="shared" si="24"/>
        <v>2</v>
      </c>
      <c r="X37" s="3">
        <f t="shared" si="24"/>
        <v>3</v>
      </c>
      <c r="Y37" s="3">
        <f>X37+1</f>
        <v>4</v>
      </c>
      <c r="Z37" s="3">
        <f>Y37+1</f>
        <v>5</v>
      </c>
      <c r="AA37" s="31">
        <f t="shared" ref="AA37:AB37" si="25">Z37+1</f>
        <v>6</v>
      </c>
      <c r="AB37" s="86">
        <f t="shared" si="25"/>
        <v>7</v>
      </c>
      <c r="AC37" s="93"/>
      <c r="AD37" s="93"/>
      <c r="AE37" s="3"/>
      <c r="AF37" s="3"/>
      <c r="AG37" s="3"/>
      <c r="AH37" s="3"/>
      <c r="AI37" s="280"/>
      <c r="AJ37" s="86"/>
      <c r="AK37" s="3"/>
      <c r="AL37" s="3"/>
      <c r="AM37" s="3"/>
      <c r="AN37" s="3"/>
      <c r="AO37" s="3"/>
      <c r="AP37" s="86"/>
      <c r="AQ37" s="86"/>
      <c r="AR37" s="86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1"/>
      <c r="BD37" s="8"/>
      <c r="BE37" s="86"/>
      <c r="BF37" s="86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1"/>
      <c r="BR37" s="8"/>
      <c r="BS37" s="86"/>
      <c r="BT37" s="86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1"/>
    </row>
    <row r="38" spans="1:83" ht="15" hidden="1" customHeight="1" x14ac:dyDescent="0.25">
      <c r="A38" s="2" t="s">
        <v>15</v>
      </c>
      <c r="B38" s="265">
        <v>4</v>
      </c>
      <c r="C38" s="265">
        <v>3</v>
      </c>
      <c r="D38" s="265" t="str">
        <f t="shared" si="0"/>
        <v>SUPPLY_EAST_G_2_14</v>
      </c>
      <c r="E38" s="265" t="s">
        <v>0</v>
      </c>
      <c r="F38" s="34" t="s">
        <v>0</v>
      </c>
      <c r="G38" s="3" t="s">
        <v>18</v>
      </c>
      <c r="H38" s="3">
        <v>2</v>
      </c>
      <c r="I38" s="3">
        <v>2</v>
      </c>
      <c r="J38" s="3" t="s">
        <v>8</v>
      </c>
      <c r="K38" s="30"/>
      <c r="L38" s="90">
        <f>COUNT(AB38:BC38)</f>
        <v>6</v>
      </c>
      <c r="M38" s="30"/>
      <c r="N38" s="8"/>
      <c r="O38" s="86"/>
      <c r="P38" s="86"/>
      <c r="Q38" s="3"/>
      <c r="R38" s="3"/>
      <c r="S38" s="3"/>
      <c r="T38" s="3"/>
      <c r="U38" s="280"/>
      <c r="V38" s="86"/>
      <c r="W38" s="3"/>
      <c r="X38" s="3"/>
      <c r="Y38" s="3"/>
      <c r="Z38" s="3"/>
      <c r="AA38" s="31"/>
      <c r="AB38" s="86">
        <v>1</v>
      </c>
      <c r="AC38" s="86">
        <f t="shared" ref="AC38:AG40" si="26">AB38+1</f>
        <v>2</v>
      </c>
      <c r="AD38" s="86">
        <f t="shared" si="26"/>
        <v>3</v>
      </c>
      <c r="AE38" s="86">
        <f t="shared" si="26"/>
        <v>4</v>
      </c>
      <c r="AF38" s="86">
        <f t="shared" si="26"/>
        <v>5</v>
      </c>
      <c r="AG38" s="86">
        <f t="shared" si="26"/>
        <v>6</v>
      </c>
      <c r="AH38" s="4"/>
      <c r="AI38" s="283"/>
      <c r="AJ38" s="93"/>
      <c r="AK38" s="4"/>
      <c r="AL38" s="258"/>
      <c r="AM38" s="4"/>
      <c r="AN38" s="4"/>
      <c r="AO38" s="4"/>
      <c r="AP38" s="93"/>
      <c r="AQ38" s="93"/>
      <c r="AR38" s="93"/>
      <c r="AS38" s="93"/>
      <c r="AT38" s="3"/>
      <c r="AU38" s="3"/>
      <c r="AV38" s="3"/>
      <c r="AW38" s="3"/>
      <c r="AX38" s="3"/>
      <c r="AY38" s="3"/>
      <c r="AZ38" s="3"/>
      <c r="BA38" s="3"/>
      <c r="BB38" s="3"/>
      <c r="BC38" s="31"/>
      <c r="BD38" s="288"/>
      <c r="BE38" s="3"/>
      <c r="BF38" s="3"/>
      <c r="BG38" s="284"/>
      <c r="BH38" s="3"/>
      <c r="BI38" s="3"/>
      <c r="BJ38" s="3"/>
      <c r="BK38" s="3"/>
      <c r="BL38" s="3"/>
      <c r="BM38" s="3"/>
      <c r="BN38" s="3"/>
      <c r="BO38" s="3"/>
      <c r="BP38" s="3"/>
      <c r="BQ38" s="31"/>
      <c r="BR38" s="8"/>
      <c r="BS38" s="3"/>
      <c r="BT38" s="3"/>
      <c r="BU38" s="284"/>
      <c r="BV38" s="3"/>
      <c r="BW38" s="3"/>
      <c r="BX38" s="3"/>
      <c r="BY38" s="3"/>
      <c r="BZ38" s="3"/>
      <c r="CA38" s="3"/>
      <c r="CB38" s="3"/>
      <c r="CC38" s="3"/>
      <c r="CD38" s="3"/>
      <c r="CE38" s="31"/>
    </row>
    <row r="39" spans="1:83" ht="15" customHeight="1" x14ac:dyDescent="0.25">
      <c r="A39" s="286" t="s">
        <v>15</v>
      </c>
      <c r="B39" s="265">
        <v>4</v>
      </c>
      <c r="C39" s="265">
        <v>4</v>
      </c>
      <c r="D39" s="265" t="str">
        <f t="shared" si="0"/>
        <v>EMPTY_EAST_G_2_14</v>
      </c>
      <c r="E39" s="265" t="s">
        <v>0</v>
      </c>
      <c r="F39" s="34" t="s">
        <v>32</v>
      </c>
      <c r="G39" s="3" t="s">
        <v>18</v>
      </c>
      <c r="H39" s="3">
        <v>2</v>
      </c>
      <c r="I39" s="3">
        <v>2</v>
      </c>
      <c r="J39" s="3" t="s">
        <v>8</v>
      </c>
      <c r="K39" s="30">
        <v>1</v>
      </c>
      <c r="L39" s="90">
        <f>COUNT(N39:AO39)</f>
        <v>18</v>
      </c>
      <c r="M39" s="30"/>
      <c r="N39" s="8">
        <v>1</v>
      </c>
      <c r="O39" s="86">
        <f t="shared" ref="O39:Y40" si="27">N39+1</f>
        <v>2</v>
      </c>
      <c r="P39" s="86">
        <f t="shared" si="27"/>
        <v>3</v>
      </c>
      <c r="Q39" s="86">
        <f t="shared" si="27"/>
        <v>4</v>
      </c>
      <c r="R39" s="86">
        <f t="shared" si="27"/>
        <v>5</v>
      </c>
      <c r="S39" s="86">
        <f t="shared" si="27"/>
        <v>6</v>
      </c>
      <c r="T39" s="86">
        <f t="shared" si="27"/>
        <v>7</v>
      </c>
      <c r="U39" s="285">
        <f t="shared" si="27"/>
        <v>8</v>
      </c>
      <c r="V39" s="319">
        <f t="shared" si="27"/>
        <v>9</v>
      </c>
      <c r="W39" s="3">
        <f t="shared" si="27"/>
        <v>10</v>
      </c>
      <c r="X39" s="3">
        <f>W39+1</f>
        <v>11</v>
      </c>
      <c r="Y39" s="3">
        <f>X39+1</f>
        <v>12</v>
      </c>
      <c r="Z39" s="3">
        <f>Y39+1</f>
        <v>13</v>
      </c>
      <c r="AA39" s="280">
        <f>Z39+1</f>
        <v>14</v>
      </c>
      <c r="AB39" s="319">
        <f>AA39+1</f>
        <v>15</v>
      </c>
      <c r="AC39" s="3">
        <f t="shared" si="26"/>
        <v>16</v>
      </c>
      <c r="AD39" s="3">
        <f t="shared" si="26"/>
        <v>17</v>
      </c>
      <c r="AE39" s="3">
        <f t="shared" si="26"/>
        <v>18</v>
      </c>
      <c r="AF39" s="46"/>
      <c r="AG39" s="3"/>
      <c r="AH39" s="3"/>
      <c r="AI39" s="280"/>
      <c r="AJ39" s="86"/>
      <c r="AK39" s="3"/>
      <c r="AL39" s="33"/>
      <c r="AM39" s="3"/>
      <c r="AN39" s="3"/>
      <c r="AO39" s="3"/>
      <c r="AP39" s="86"/>
      <c r="AQ39" s="86"/>
      <c r="AR39" s="86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1"/>
      <c r="BD39" s="8"/>
      <c r="BE39" s="86"/>
      <c r="BF39" s="86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1"/>
      <c r="BR39" s="8"/>
      <c r="BS39" s="86"/>
      <c r="BT39" s="86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1"/>
    </row>
    <row r="40" spans="1:83" ht="15" hidden="1" customHeight="1" x14ac:dyDescent="0.25">
      <c r="A40" s="286" t="s">
        <v>15</v>
      </c>
      <c r="B40" s="265">
        <v>4</v>
      </c>
      <c r="C40" s="265">
        <v>5</v>
      </c>
      <c r="D40" s="265" t="str">
        <f t="shared" si="0"/>
        <v>PREPARE_EAST_G_2_14</v>
      </c>
      <c r="E40" s="265" t="s">
        <v>0</v>
      </c>
      <c r="F40" s="49" t="s">
        <v>46</v>
      </c>
      <c r="G40" s="3" t="s">
        <v>18</v>
      </c>
      <c r="H40" s="3">
        <v>2</v>
      </c>
      <c r="I40" s="3">
        <v>2</v>
      </c>
      <c r="J40" s="3" t="s">
        <v>8</v>
      </c>
      <c r="K40" s="3"/>
      <c r="L40" s="90">
        <f>COUNT(N40:AO40)</f>
        <v>19</v>
      </c>
      <c r="M40" s="30"/>
      <c r="N40" s="8">
        <v>1</v>
      </c>
      <c r="O40" s="86">
        <f t="shared" si="27"/>
        <v>2</v>
      </c>
      <c r="P40" s="86">
        <f t="shared" si="27"/>
        <v>3</v>
      </c>
      <c r="Q40" s="86">
        <f t="shared" si="27"/>
        <v>4</v>
      </c>
      <c r="R40" s="86">
        <f t="shared" si="27"/>
        <v>5</v>
      </c>
      <c r="S40" s="86">
        <f t="shared" si="27"/>
        <v>6</v>
      </c>
      <c r="T40" s="86">
        <f t="shared" si="27"/>
        <v>7</v>
      </c>
      <c r="U40" s="285">
        <f t="shared" si="27"/>
        <v>8</v>
      </c>
      <c r="V40" s="86">
        <f t="shared" si="27"/>
        <v>9</v>
      </c>
      <c r="W40" s="86">
        <f t="shared" si="27"/>
        <v>10</v>
      </c>
      <c r="X40" s="86">
        <f t="shared" si="27"/>
        <v>11</v>
      </c>
      <c r="Y40" s="86">
        <f t="shared" si="27"/>
        <v>12</v>
      </c>
      <c r="Z40" s="86">
        <f>Y40+1</f>
        <v>13</v>
      </c>
      <c r="AA40" s="287">
        <f>Z40+1</f>
        <v>14</v>
      </c>
      <c r="AB40" s="86">
        <f>AA40+1</f>
        <v>15</v>
      </c>
      <c r="AC40" s="86">
        <f t="shared" ref="AC40:AD40" si="28">AB40+1</f>
        <v>16</v>
      </c>
      <c r="AD40" s="86">
        <f t="shared" si="28"/>
        <v>17</v>
      </c>
      <c r="AE40" s="86">
        <f t="shared" si="26"/>
        <v>18</v>
      </c>
      <c r="AF40" s="86">
        <f t="shared" ref="AF40" si="29">AE40+1</f>
        <v>19</v>
      </c>
      <c r="AG40" s="4"/>
      <c r="AH40" s="3"/>
      <c r="AI40" s="280"/>
      <c r="AJ40" s="86"/>
      <c r="AK40" s="3"/>
      <c r="AL40" s="3"/>
      <c r="AM40" s="3"/>
      <c r="AN40" s="3"/>
      <c r="AO40" s="3"/>
      <c r="AP40" s="86"/>
      <c r="AQ40" s="86"/>
      <c r="AR40" s="86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1"/>
      <c r="BD40" s="8"/>
      <c r="BE40" s="86"/>
      <c r="BF40" s="86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1"/>
      <c r="BR40" s="8"/>
      <c r="BS40" s="86"/>
      <c r="BT40" s="86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1"/>
    </row>
    <row r="41" spans="1:83" ht="15" hidden="1" customHeight="1" x14ac:dyDescent="0.25">
      <c r="A41" s="286" t="s">
        <v>15</v>
      </c>
      <c r="B41" s="265">
        <f>B39</f>
        <v>4</v>
      </c>
      <c r="C41" s="265">
        <v>6</v>
      </c>
      <c r="D41" s="265" t="str">
        <f t="shared" si="0"/>
        <v>COUNTDOWN_EAST_G_2_14</v>
      </c>
      <c r="E41" s="265"/>
      <c r="F41" s="34" t="s">
        <v>33</v>
      </c>
      <c r="G41" s="3" t="s">
        <v>18</v>
      </c>
      <c r="H41" s="3">
        <v>2</v>
      </c>
      <c r="I41" s="3">
        <v>2</v>
      </c>
      <c r="J41" s="3" t="s">
        <v>8</v>
      </c>
      <c r="K41" s="32"/>
      <c r="L41" s="32"/>
      <c r="M41" s="30"/>
      <c r="N41" s="8">
        <v>5</v>
      </c>
      <c r="O41" s="86">
        <v>4</v>
      </c>
      <c r="P41" s="86">
        <v>3</v>
      </c>
      <c r="Q41" s="3">
        <v>2</v>
      </c>
      <c r="R41" s="3">
        <v>1</v>
      </c>
      <c r="S41" s="3">
        <v>14</v>
      </c>
      <c r="T41" s="3">
        <v>13</v>
      </c>
      <c r="U41" s="280">
        <v>12</v>
      </c>
      <c r="V41" s="86">
        <v>11</v>
      </c>
      <c r="W41" s="3">
        <v>10</v>
      </c>
      <c r="X41" s="3">
        <v>9</v>
      </c>
      <c r="Y41" s="3">
        <v>8</v>
      </c>
      <c r="Z41" s="3">
        <v>7</v>
      </c>
      <c r="AA41" s="31">
        <v>6</v>
      </c>
      <c r="AB41" s="86">
        <v>5</v>
      </c>
      <c r="AC41" s="86">
        <v>4</v>
      </c>
      <c r="AD41" s="86">
        <v>3</v>
      </c>
      <c r="AE41" s="3">
        <v>2</v>
      </c>
      <c r="AF41" s="3">
        <v>1</v>
      </c>
      <c r="AG41" s="3">
        <v>14</v>
      </c>
      <c r="AH41" s="3">
        <v>13</v>
      </c>
      <c r="AI41" s="280">
        <v>12</v>
      </c>
      <c r="AJ41" s="86">
        <v>11</v>
      </c>
      <c r="AK41" s="3">
        <v>10</v>
      </c>
      <c r="AL41" s="3">
        <v>9</v>
      </c>
      <c r="AM41" s="3">
        <v>8</v>
      </c>
      <c r="AN41" s="3">
        <v>7</v>
      </c>
      <c r="AO41" s="3">
        <v>6</v>
      </c>
      <c r="AP41" s="86">
        <v>5</v>
      </c>
      <c r="AQ41" s="86">
        <v>4</v>
      </c>
      <c r="AR41" s="86">
        <v>3</v>
      </c>
      <c r="AS41" s="3">
        <v>2</v>
      </c>
      <c r="AT41" s="3">
        <v>1</v>
      </c>
      <c r="AU41" s="3">
        <v>14</v>
      </c>
      <c r="AV41" s="3">
        <v>13</v>
      </c>
      <c r="AW41" s="3">
        <v>12</v>
      </c>
      <c r="AX41" s="3">
        <v>11</v>
      </c>
      <c r="AY41" s="3">
        <v>10</v>
      </c>
      <c r="AZ41" s="3">
        <v>9</v>
      </c>
      <c r="BA41" s="3">
        <v>8</v>
      </c>
      <c r="BB41" s="3">
        <v>7</v>
      </c>
      <c r="BC41" s="31">
        <v>6</v>
      </c>
      <c r="BD41" s="8">
        <v>5</v>
      </c>
      <c r="BE41" s="86">
        <v>4</v>
      </c>
      <c r="BF41" s="86">
        <v>3</v>
      </c>
      <c r="BG41" s="3">
        <v>2</v>
      </c>
      <c r="BH41" s="3">
        <v>1</v>
      </c>
      <c r="BI41" s="3">
        <v>14</v>
      </c>
      <c r="BJ41" s="3">
        <v>13</v>
      </c>
      <c r="BK41" s="3">
        <v>12</v>
      </c>
      <c r="BL41" s="3">
        <v>11</v>
      </c>
      <c r="BM41" s="3">
        <v>10</v>
      </c>
      <c r="BN41" s="3">
        <v>9</v>
      </c>
      <c r="BO41" s="3">
        <v>8</v>
      </c>
      <c r="BP41" s="3">
        <v>7</v>
      </c>
      <c r="BQ41" s="31">
        <v>6</v>
      </c>
      <c r="BR41" s="8">
        <v>5</v>
      </c>
      <c r="BS41" s="86">
        <v>4</v>
      </c>
      <c r="BT41" s="86">
        <v>3</v>
      </c>
      <c r="BU41" s="3">
        <v>2</v>
      </c>
      <c r="BV41" s="3">
        <v>1</v>
      </c>
      <c r="BW41" s="3">
        <v>14</v>
      </c>
      <c r="BX41" s="3">
        <v>13</v>
      </c>
      <c r="BY41" s="3">
        <v>12</v>
      </c>
      <c r="BZ41" s="3">
        <v>11</v>
      </c>
      <c r="CA41" s="3">
        <v>10</v>
      </c>
      <c r="CB41" s="3">
        <v>9</v>
      </c>
      <c r="CC41" s="3">
        <v>8</v>
      </c>
      <c r="CD41" s="3">
        <v>7</v>
      </c>
      <c r="CE41" s="31">
        <v>6</v>
      </c>
    </row>
    <row r="42" spans="1:83" ht="15" hidden="1" customHeight="1" x14ac:dyDescent="0.25">
      <c r="B42" s="265">
        <v>3</v>
      </c>
      <c r="C42" s="265">
        <v>1</v>
      </c>
      <c r="D42" s="265" t="str">
        <f t="shared" si="0"/>
        <v>SORTING_EAST_B_1_14</v>
      </c>
      <c r="E42" s="265" t="s">
        <v>35</v>
      </c>
      <c r="F42" s="49" t="s">
        <v>45</v>
      </c>
      <c r="G42" s="3" t="s">
        <v>18</v>
      </c>
      <c r="H42" s="3">
        <v>1</v>
      </c>
      <c r="I42" s="3">
        <v>1</v>
      </c>
      <c r="J42" s="3" t="s">
        <v>3</v>
      </c>
      <c r="K42" s="3"/>
      <c r="L42" s="90">
        <f>COUNT(V42:AO42)</f>
        <v>7</v>
      </c>
      <c r="M42" s="30"/>
      <c r="N42" s="8"/>
      <c r="O42" s="86"/>
      <c r="P42" s="86"/>
      <c r="Q42" s="3"/>
      <c r="R42" s="3"/>
      <c r="S42" s="3"/>
      <c r="T42" s="3"/>
      <c r="U42" s="280"/>
      <c r="V42" s="279">
        <v>1</v>
      </c>
      <c r="W42" s="33">
        <f t="shared" ref="W42:X43" si="30">V42+1</f>
        <v>2</v>
      </c>
      <c r="X42" s="33">
        <f t="shared" si="30"/>
        <v>3</v>
      </c>
      <c r="Y42" s="33">
        <f>X42+1</f>
        <v>4</v>
      </c>
      <c r="Z42" s="33">
        <f>Y42+1</f>
        <v>5</v>
      </c>
      <c r="AA42" s="35">
        <f t="shared" ref="AA42:AH46" si="31">Z42+1</f>
        <v>6</v>
      </c>
      <c r="AB42" s="279">
        <f t="shared" si="31"/>
        <v>7</v>
      </c>
      <c r="AC42" s="281"/>
      <c r="AD42" s="281"/>
      <c r="AE42" s="33"/>
      <c r="AF42" s="33"/>
      <c r="AG42" s="33"/>
      <c r="AH42" s="33"/>
      <c r="AI42" s="282"/>
      <c r="AJ42" s="86"/>
      <c r="AK42" s="3"/>
      <c r="AL42" s="3"/>
      <c r="AM42" s="3"/>
      <c r="AN42" s="3"/>
      <c r="AO42" s="3"/>
      <c r="AP42" s="86"/>
      <c r="AQ42" s="86"/>
      <c r="AR42" s="86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1"/>
      <c r="BD42" s="8"/>
      <c r="BE42" s="86"/>
      <c r="BF42" s="86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1"/>
      <c r="BR42" s="8"/>
      <c r="BS42" s="86"/>
      <c r="BT42" s="86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1"/>
    </row>
    <row r="43" spans="1:83" ht="15" hidden="1" customHeight="1" x14ac:dyDescent="0.25">
      <c r="B43" s="265">
        <v>3</v>
      </c>
      <c r="C43" s="265">
        <v>2</v>
      </c>
      <c r="D43" s="265" t="str">
        <f t="shared" si="0"/>
        <v>TRANSFER_EAST_B_1_14</v>
      </c>
      <c r="E43" s="265" t="s">
        <v>21</v>
      </c>
      <c r="F43" s="49" t="s">
        <v>21</v>
      </c>
      <c r="G43" s="3" t="s">
        <v>18</v>
      </c>
      <c r="H43" s="3">
        <v>1</v>
      </c>
      <c r="I43" s="3">
        <v>1</v>
      </c>
      <c r="J43" s="3" t="s">
        <v>3</v>
      </c>
      <c r="K43" s="3"/>
      <c r="L43" s="90">
        <f>COUNT(V43:AO43)</f>
        <v>9</v>
      </c>
      <c r="M43" s="30"/>
      <c r="N43" s="8"/>
      <c r="O43" s="86"/>
      <c r="P43" s="86"/>
      <c r="Q43" s="3"/>
      <c r="R43" s="3"/>
      <c r="S43" s="3"/>
      <c r="T43" s="3"/>
      <c r="U43" s="280"/>
      <c r="V43" s="86">
        <v>1</v>
      </c>
      <c r="W43" s="3">
        <f t="shared" si="30"/>
        <v>2</v>
      </c>
      <c r="X43" s="3">
        <f t="shared" si="30"/>
        <v>3</v>
      </c>
      <c r="Y43" s="3">
        <f>X43+1</f>
        <v>4</v>
      </c>
      <c r="Z43" s="3">
        <f>Y43+1</f>
        <v>5</v>
      </c>
      <c r="AA43" s="31">
        <f t="shared" si="31"/>
        <v>6</v>
      </c>
      <c r="AB43" s="86">
        <f t="shared" si="31"/>
        <v>7</v>
      </c>
      <c r="AC43" s="3">
        <f t="shared" si="31"/>
        <v>8</v>
      </c>
      <c r="AD43" s="3">
        <f t="shared" si="31"/>
        <v>9</v>
      </c>
      <c r="AE43" s="4"/>
      <c r="AF43" s="4"/>
      <c r="AG43" s="3"/>
      <c r="AH43" s="3"/>
      <c r="AI43" s="280"/>
      <c r="AJ43" s="86"/>
      <c r="AK43" s="3"/>
      <c r="AL43" s="3"/>
      <c r="AM43" s="3"/>
      <c r="AN43" s="3"/>
      <c r="AO43" s="3"/>
      <c r="AP43" s="86"/>
      <c r="AQ43" s="86"/>
      <c r="AR43" s="86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1"/>
      <c r="BD43" s="8"/>
      <c r="BE43" s="86"/>
      <c r="BF43" s="86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1"/>
      <c r="BR43" s="8"/>
      <c r="BS43" s="86"/>
      <c r="BT43" s="86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1"/>
    </row>
    <row r="44" spans="1:83" ht="15" hidden="1" customHeight="1" x14ac:dyDescent="0.25">
      <c r="B44" s="265">
        <v>3</v>
      </c>
      <c r="C44" s="265">
        <v>3</v>
      </c>
      <c r="D44" s="265" t="str">
        <f t="shared" si="0"/>
        <v>SUPPLY_EAST_B_1_14</v>
      </c>
      <c r="E44" s="265" t="s">
        <v>0</v>
      </c>
      <c r="F44" s="34" t="s">
        <v>0</v>
      </c>
      <c r="G44" s="3" t="s">
        <v>18</v>
      </c>
      <c r="H44" s="3">
        <v>1</v>
      </c>
      <c r="I44" s="3">
        <v>1</v>
      </c>
      <c r="J44" s="3" t="s">
        <v>3</v>
      </c>
      <c r="K44" s="30"/>
      <c r="L44" s="90">
        <f>COUNT(AB44:BC44)</f>
        <v>8</v>
      </c>
      <c r="M44" s="30"/>
      <c r="N44" s="8"/>
      <c r="O44" s="86"/>
      <c r="P44" s="86"/>
      <c r="Q44" s="3"/>
      <c r="R44" s="3"/>
      <c r="S44" s="3"/>
      <c r="T44" s="3"/>
      <c r="U44" s="280"/>
      <c r="V44" s="86"/>
      <c r="W44" s="3"/>
      <c r="X44" s="3"/>
      <c r="Y44" s="3"/>
      <c r="Z44" s="3"/>
      <c r="AA44" s="31"/>
      <c r="AB44" s="86">
        <v>1</v>
      </c>
      <c r="AC44" s="86">
        <f t="shared" si="31"/>
        <v>2</v>
      </c>
      <c r="AD44" s="86">
        <f t="shared" si="31"/>
        <v>3</v>
      </c>
      <c r="AE44" s="86">
        <f t="shared" si="31"/>
        <v>4</v>
      </c>
      <c r="AF44" s="86">
        <f t="shared" si="31"/>
        <v>5</v>
      </c>
      <c r="AG44" s="86">
        <f t="shared" si="31"/>
        <v>6</v>
      </c>
      <c r="AH44" s="86">
        <f t="shared" si="31"/>
        <v>7</v>
      </c>
      <c r="AI44" s="86">
        <f t="shared" ref="AI44" si="32">AH44+1</f>
        <v>8</v>
      </c>
      <c r="AJ44" s="4"/>
      <c r="AK44" s="4"/>
      <c r="AL44" s="258"/>
      <c r="AM44" s="4"/>
      <c r="AN44" s="4"/>
      <c r="AO44" s="4"/>
      <c r="AP44" s="93"/>
      <c r="AQ44" s="93"/>
      <c r="AR44" s="93"/>
      <c r="AS44" s="93"/>
      <c r="AT44" s="93"/>
      <c r="AU44" s="93"/>
      <c r="AV44" s="3"/>
      <c r="AW44" s="3"/>
      <c r="AX44" s="3"/>
      <c r="AY44" s="3"/>
      <c r="AZ44" s="3"/>
      <c r="BA44" s="3"/>
      <c r="BB44" s="3"/>
      <c r="BC44" s="31"/>
      <c r="BD44" s="288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1"/>
      <c r="BR44" s="8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1"/>
    </row>
    <row r="45" spans="1:83" ht="15" customHeight="1" x14ac:dyDescent="0.25">
      <c r="B45" s="265">
        <v>3</v>
      </c>
      <c r="C45" s="265">
        <v>4</v>
      </c>
      <c r="D45" s="265" t="str">
        <f t="shared" si="0"/>
        <v>EMPTY_EAST_B_1_14</v>
      </c>
      <c r="E45" s="265" t="s">
        <v>0</v>
      </c>
      <c r="F45" s="34" t="s">
        <v>32</v>
      </c>
      <c r="G45" s="3" t="s">
        <v>18</v>
      </c>
      <c r="H45" s="3">
        <v>1</v>
      </c>
      <c r="I45" s="3">
        <v>1</v>
      </c>
      <c r="J45" s="3" t="s">
        <v>3</v>
      </c>
      <c r="K45" s="289">
        <v>3</v>
      </c>
      <c r="L45" s="90">
        <f>COUNT(N45:AO45)</f>
        <v>20</v>
      </c>
      <c r="M45" s="30"/>
      <c r="N45" s="8">
        <v>1</v>
      </c>
      <c r="O45" s="86">
        <f t="shared" ref="O45:Y46" si="33">N45+1</f>
        <v>2</v>
      </c>
      <c r="P45" s="86">
        <f t="shared" si="33"/>
        <v>3</v>
      </c>
      <c r="Q45" s="86">
        <f t="shared" si="33"/>
        <v>4</v>
      </c>
      <c r="R45" s="86">
        <f t="shared" si="33"/>
        <v>5</v>
      </c>
      <c r="S45" s="86">
        <f t="shared" si="33"/>
        <v>6</v>
      </c>
      <c r="T45" s="86">
        <f t="shared" si="33"/>
        <v>7</v>
      </c>
      <c r="U45" s="285">
        <f t="shared" si="33"/>
        <v>8</v>
      </c>
      <c r="V45" s="319">
        <f t="shared" si="33"/>
        <v>9</v>
      </c>
      <c r="W45" s="3">
        <f t="shared" si="33"/>
        <v>10</v>
      </c>
      <c r="X45" s="3">
        <f>W45+1</f>
        <v>11</v>
      </c>
      <c r="Y45" s="3">
        <f>X45+1</f>
        <v>12</v>
      </c>
      <c r="Z45" s="3">
        <f>Y45+1</f>
        <v>13</v>
      </c>
      <c r="AA45" s="280">
        <f>Z45+1</f>
        <v>14</v>
      </c>
      <c r="AB45" s="319">
        <f>AA45+1</f>
        <v>15</v>
      </c>
      <c r="AC45" s="3">
        <f t="shared" si="31"/>
        <v>16</v>
      </c>
      <c r="AD45" s="3">
        <f t="shared" si="31"/>
        <v>17</v>
      </c>
      <c r="AE45" s="3">
        <f t="shared" si="31"/>
        <v>18</v>
      </c>
      <c r="AF45" s="3">
        <f t="shared" si="31"/>
        <v>19</v>
      </c>
      <c r="AG45" s="3">
        <f t="shared" si="31"/>
        <v>20</v>
      </c>
      <c r="AH45" s="46"/>
      <c r="AI45" s="280"/>
      <c r="AJ45" s="86"/>
      <c r="AK45" s="284"/>
      <c r="AL45" s="284"/>
      <c r="AM45" s="284"/>
      <c r="AN45" s="284"/>
      <c r="AO45" s="284"/>
      <c r="AP45" s="290"/>
      <c r="AQ45" s="290"/>
      <c r="AR45" s="284"/>
      <c r="AS45" s="3"/>
      <c r="AT45" s="3"/>
      <c r="AU45" s="3"/>
      <c r="AV45" s="3"/>
      <c r="AW45" s="3"/>
      <c r="AX45" s="3"/>
      <c r="AY45" s="284"/>
      <c r="AZ45" s="284"/>
      <c r="BA45" s="284"/>
      <c r="BB45" s="284"/>
      <c r="BC45" s="284"/>
      <c r="BD45" s="284"/>
      <c r="BE45" s="284"/>
      <c r="BF45" s="284"/>
      <c r="BG45" s="3"/>
      <c r="BH45" s="3"/>
      <c r="BI45" s="3"/>
      <c r="BJ45" s="3"/>
      <c r="BK45" s="3"/>
      <c r="BL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1"/>
    </row>
    <row r="46" spans="1:83" ht="15" hidden="1" customHeight="1" x14ac:dyDescent="0.25">
      <c r="B46" s="265">
        <v>3</v>
      </c>
      <c r="C46" s="265">
        <v>5</v>
      </c>
      <c r="D46" s="265" t="str">
        <f>F46&amp;"_"&amp;G46&amp;"_"&amp;J46&amp;"_"&amp;I46&amp;"_"&amp;$D$1</f>
        <v>PREPARE_EAST_B_1_14</v>
      </c>
      <c r="E46" s="265" t="s">
        <v>0</v>
      </c>
      <c r="F46" s="49" t="s">
        <v>46</v>
      </c>
      <c r="G46" s="3" t="s">
        <v>18</v>
      </c>
      <c r="H46" s="3">
        <v>1</v>
      </c>
      <c r="I46" s="3">
        <v>1</v>
      </c>
      <c r="J46" s="3" t="s">
        <v>3</v>
      </c>
      <c r="K46" s="3"/>
      <c r="L46" s="90">
        <f>COUNT(N46:AO46)</f>
        <v>21</v>
      </c>
      <c r="M46" s="30"/>
      <c r="N46" s="8">
        <v>1</v>
      </c>
      <c r="O46" s="86">
        <f t="shared" si="33"/>
        <v>2</v>
      </c>
      <c r="P46" s="86">
        <f t="shared" si="33"/>
        <v>3</v>
      </c>
      <c r="Q46" s="86">
        <f t="shared" si="33"/>
        <v>4</v>
      </c>
      <c r="R46" s="86">
        <f t="shared" si="33"/>
        <v>5</v>
      </c>
      <c r="S46" s="86">
        <f t="shared" si="33"/>
        <v>6</v>
      </c>
      <c r="T46" s="86">
        <f t="shared" si="33"/>
        <v>7</v>
      </c>
      <c r="U46" s="285">
        <f t="shared" si="33"/>
        <v>8</v>
      </c>
      <c r="V46" s="86">
        <f t="shared" si="33"/>
        <v>9</v>
      </c>
      <c r="W46" s="86">
        <f t="shared" si="33"/>
        <v>10</v>
      </c>
      <c r="X46" s="86">
        <f t="shared" si="33"/>
        <v>11</v>
      </c>
      <c r="Y46" s="86">
        <f t="shared" si="33"/>
        <v>12</v>
      </c>
      <c r="Z46" s="86">
        <f>Y46+1</f>
        <v>13</v>
      </c>
      <c r="AA46" s="287">
        <f>Z46+1</f>
        <v>14</v>
      </c>
      <c r="AB46" s="86">
        <f>AA46+1</f>
        <v>15</v>
      </c>
      <c r="AC46" s="86">
        <f t="shared" si="31"/>
        <v>16</v>
      </c>
      <c r="AD46" s="86">
        <f t="shared" si="31"/>
        <v>17</v>
      </c>
      <c r="AE46" s="86">
        <f t="shared" si="31"/>
        <v>18</v>
      </c>
      <c r="AF46" s="86">
        <f t="shared" si="31"/>
        <v>19</v>
      </c>
      <c r="AG46" s="86">
        <f t="shared" ref="AG46" si="34">AF46+1</f>
        <v>20</v>
      </c>
      <c r="AH46" s="86">
        <f t="shared" ref="AH46" si="35">AG46+1</f>
        <v>21</v>
      </c>
      <c r="AI46" s="4"/>
      <c r="AJ46" s="86"/>
      <c r="AK46" s="3"/>
      <c r="AL46" s="3"/>
      <c r="AM46" s="3"/>
      <c r="AN46" s="3"/>
      <c r="AO46" s="3"/>
      <c r="AP46" s="86"/>
      <c r="AQ46" s="86"/>
      <c r="AR46" s="86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1"/>
      <c r="BD46" s="8"/>
      <c r="BE46" s="86"/>
      <c r="BF46" s="86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1"/>
      <c r="BR46" s="8"/>
      <c r="BS46" s="86"/>
      <c r="BT46" s="86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1"/>
    </row>
    <row r="47" spans="1:83" ht="15" hidden="1" customHeight="1" x14ac:dyDescent="0.25">
      <c r="B47" s="265">
        <f>B45</f>
        <v>3</v>
      </c>
      <c r="C47" s="265">
        <v>6</v>
      </c>
      <c r="D47" s="265" t="str">
        <f t="shared" si="0"/>
        <v>COUNTDOWN_EAST_B_1_14</v>
      </c>
      <c r="E47" s="265"/>
      <c r="F47" s="34" t="s">
        <v>33</v>
      </c>
      <c r="G47" s="3" t="s">
        <v>18</v>
      </c>
      <c r="H47" s="3">
        <v>1</v>
      </c>
      <c r="I47" s="3">
        <v>1</v>
      </c>
      <c r="J47" s="3" t="s">
        <v>3</v>
      </c>
      <c r="K47" s="32"/>
      <c r="L47" s="32"/>
      <c r="M47" s="30"/>
      <c r="N47" s="8">
        <v>7</v>
      </c>
      <c r="O47" s="86">
        <v>6</v>
      </c>
      <c r="P47" s="86">
        <v>5</v>
      </c>
      <c r="Q47" s="3">
        <v>4</v>
      </c>
      <c r="R47" s="3">
        <v>3</v>
      </c>
      <c r="S47" s="3">
        <v>2</v>
      </c>
      <c r="T47" s="3">
        <v>1</v>
      </c>
      <c r="U47" s="280">
        <v>14</v>
      </c>
      <c r="V47" s="86">
        <v>13</v>
      </c>
      <c r="W47" s="3">
        <v>12</v>
      </c>
      <c r="X47" s="3">
        <v>11</v>
      </c>
      <c r="Y47" s="3">
        <v>10</v>
      </c>
      <c r="Z47" s="3">
        <v>9</v>
      </c>
      <c r="AA47" s="31">
        <v>8</v>
      </c>
      <c r="AB47" s="86">
        <v>7</v>
      </c>
      <c r="AC47" s="86">
        <v>6</v>
      </c>
      <c r="AD47" s="86">
        <v>5</v>
      </c>
      <c r="AE47" s="3">
        <v>4</v>
      </c>
      <c r="AF47" s="3">
        <v>3</v>
      </c>
      <c r="AG47" s="3">
        <v>2</v>
      </c>
      <c r="AH47" s="3">
        <v>1</v>
      </c>
      <c r="AI47" s="280">
        <v>14</v>
      </c>
      <c r="AJ47" s="86">
        <v>13</v>
      </c>
      <c r="AK47" s="3">
        <v>12</v>
      </c>
      <c r="AL47" s="3">
        <v>11</v>
      </c>
      <c r="AM47" s="3">
        <v>10</v>
      </c>
      <c r="AN47" s="3">
        <v>9</v>
      </c>
      <c r="AO47" s="3">
        <v>8</v>
      </c>
      <c r="AP47" s="86">
        <v>7</v>
      </c>
      <c r="AQ47" s="86">
        <v>6</v>
      </c>
      <c r="AR47" s="86">
        <v>5</v>
      </c>
      <c r="AS47" s="3">
        <v>4</v>
      </c>
      <c r="AT47" s="3">
        <v>3</v>
      </c>
      <c r="AU47" s="3">
        <v>2</v>
      </c>
      <c r="AV47" s="3">
        <v>1</v>
      </c>
      <c r="AW47" s="3">
        <v>14</v>
      </c>
      <c r="AX47" s="3">
        <v>13</v>
      </c>
      <c r="AY47" s="3">
        <v>12</v>
      </c>
      <c r="AZ47" s="3">
        <v>11</v>
      </c>
      <c r="BA47" s="3">
        <v>10</v>
      </c>
      <c r="BB47" s="3">
        <v>9</v>
      </c>
      <c r="BC47" s="31">
        <v>8</v>
      </c>
      <c r="BD47" s="8">
        <v>7</v>
      </c>
      <c r="BE47" s="86">
        <v>6</v>
      </c>
      <c r="BF47" s="86">
        <v>5</v>
      </c>
      <c r="BG47" s="3">
        <v>4</v>
      </c>
      <c r="BH47" s="3">
        <v>3</v>
      </c>
      <c r="BI47" s="3">
        <v>2</v>
      </c>
      <c r="BJ47" s="3">
        <v>1</v>
      </c>
      <c r="BK47" s="3">
        <v>14</v>
      </c>
      <c r="BL47" s="3">
        <v>13</v>
      </c>
      <c r="BM47" s="3">
        <v>12</v>
      </c>
      <c r="BN47" s="3">
        <v>11</v>
      </c>
      <c r="BO47" s="3">
        <v>10</v>
      </c>
      <c r="BP47" s="3">
        <v>9</v>
      </c>
      <c r="BQ47" s="31">
        <v>8</v>
      </c>
      <c r="BR47" s="8">
        <v>7</v>
      </c>
      <c r="BS47" s="86">
        <v>6</v>
      </c>
      <c r="BT47" s="86">
        <v>5</v>
      </c>
      <c r="BU47" s="3">
        <v>4</v>
      </c>
      <c r="BV47" s="3">
        <v>3</v>
      </c>
      <c r="BW47" s="3">
        <v>2</v>
      </c>
      <c r="BX47" s="3">
        <v>1</v>
      </c>
      <c r="BY47" s="3">
        <v>14</v>
      </c>
      <c r="BZ47" s="3">
        <v>13</v>
      </c>
      <c r="CA47" s="3">
        <v>12</v>
      </c>
      <c r="CB47" s="3">
        <v>11</v>
      </c>
      <c r="CC47" s="3">
        <v>10</v>
      </c>
      <c r="CD47" s="3">
        <v>9</v>
      </c>
      <c r="CE47" s="31">
        <v>8</v>
      </c>
    </row>
    <row r="48" spans="1:83" ht="15" hidden="1" customHeight="1" x14ac:dyDescent="0.25">
      <c r="B48" s="265">
        <v>7</v>
      </c>
      <c r="C48" s="265">
        <v>1</v>
      </c>
      <c r="D48" s="265" t="str">
        <f t="shared" si="0"/>
        <v>SORTING_EAST_E_2_14</v>
      </c>
      <c r="E48" s="265" t="s">
        <v>35</v>
      </c>
      <c r="F48" s="49" t="s">
        <v>45</v>
      </c>
      <c r="G48" s="3" t="s">
        <v>18</v>
      </c>
      <c r="H48" s="3">
        <v>2</v>
      </c>
      <c r="I48" s="3">
        <v>2</v>
      </c>
      <c r="J48" s="3" t="s">
        <v>6</v>
      </c>
      <c r="K48" s="3"/>
      <c r="L48" s="90">
        <f>COUNT(V48:AO48)</f>
        <v>9</v>
      </c>
      <c r="M48" s="30"/>
      <c r="N48" s="8"/>
      <c r="O48" s="86"/>
      <c r="P48" s="86"/>
      <c r="Q48" s="3"/>
      <c r="R48" s="3"/>
      <c r="S48" s="3"/>
      <c r="T48" s="3"/>
      <c r="U48" s="280"/>
      <c r="V48" s="279">
        <v>1</v>
      </c>
      <c r="W48" s="33">
        <f t="shared" ref="W48:X49" si="36">V48+1</f>
        <v>2</v>
      </c>
      <c r="X48" s="33">
        <f t="shared" si="36"/>
        <v>3</v>
      </c>
      <c r="Y48" s="33">
        <f>X48+1</f>
        <v>4</v>
      </c>
      <c r="Z48" s="33">
        <f>Y48+1</f>
        <v>5</v>
      </c>
      <c r="AA48" s="35">
        <f t="shared" ref="AA48:AJ52" si="37">Z48+1</f>
        <v>6</v>
      </c>
      <c r="AB48" s="279">
        <f t="shared" si="37"/>
        <v>7</v>
      </c>
      <c r="AC48" s="33">
        <f t="shared" si="37"/>
        <v>8</v>
      </c>
      <c r="AD48" s="33">
        <f t="shared" si="37"/>
        <v>9</v>
      </c>
      <c r="AE48" s="61"/>
      <c r="AF48" s="61"/>
      <c r="AG48" s="33"/>
      <c r="AH48" s="33"/>
      <c r="AI48" s="282"/>
      <c r="AJ48" s="86"/>
      <c r="AK48" s="3"/>
      <c r="AL48" s="3"/>
      <c r="AM48" s="3"/>
      <c r="AN48" s="3"/>
      <c r="AO48" s="3"/>
      <c r="AP48" s="86"/>
      <c r="AQ48" s="86"/>
      <c r="AR48" s="86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1"/>
      <c r="BD48" s="8"/>
      <c r="BE48" s="86"/>
      <c r="BF48" s="86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1"/>
      <c r="BR48" s="8"/>
      <c r="BS48" s="86"/>
      <c r="BT48" s="86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1"/>
    </row>
    <row r="49" spans="2:83" ht="15" hidden="1" customHeight="1" x14ac:dyDescent="0.25">
      <c r="B49" s="265">
        <v>7</v>
      </c>
      <c r="C49" s="265">
        <v>2</v>
      </c>
      <c r="D49" s="265" t="str">
        <f t="shared" si="0"/>
        <v>TRANSFER_EAST_E_2_14</v>
      </c>
      <c r="E49" s="265" t="s">
        <v>21</v>
      </c>
      <c r="F49" s="49" t="s">
        <v>21</v>
      </c>
      <c r="G49" s="3" t="s">
        <v>18</v>
      </c>
      <c r="H49" s="3">
        <v>2</v>
      </c>
      <c r="I49" s="3">
        <v>2</v>
      </c>
      <c r="J49" s="3" t="s">
        <v>6</v>
      </c>
      <c r="K49" s="3"/>
      <c r="L49" s="90">
        <f>COUNT(V49:AO49)</f>
        <v>11</v>
      </c>
      <c r="M49" s="30"/>
      <c r="N49" s="8"/>
      <c r="O49" s="86"/>
      <c r="P49" s="86"/>
      <c r="Q49" s="3"/>
      <c r="R49" s="3"/>
      <c r="S49" s="3"/>
      <c r="T49" s="3"/>
      <c r="U49" s="280"/>
      <c r="V49" s="86">
        <v>1</v>
      </c>
      <c r="W49" s="3">
        <f t="shared" si="36"/>
        <v>2</v>
      </c>
      <c r="X49" s="3">
        <f t="shared" si="36"/>
        <v>3</v>
      </c>
      <c r="Y49" s="3">
        <f>X49+1</f>
        <v>4</v>
      </c>
      <c r="Z49" s="3">
        <f>Y49+1</f>
        <v>5</v>
      </c>
      <c r="AA49" s="31">
        <f t="shared" si="37"/>
        <v>6</v>
      </c>
      <c r="AB49" s="86">
        <f t="shared" si="37"/>
        <v>7</v>
      </c>
      <c r="AC49" s="3">
        <f t="shared" si="37"/>
        <v>8</v>
      </c>
      <c r="AD49" s="3">
        <f t="shared" si="37"/>
        <v>9</v>
      </c>
      <c r="AE49" s="3">
        <f t="shared" si="37"/>
        <v>10</v>
      </c>
      <c r="AF49" s="3">
        <f t="shared" si="37"/>
        <v>11</v>
      </c>
      <c r="AG49" s="4"/>
      <c r="AH49" s="3"/>
      <c r="AI49" s="280"/>
      <c r="AJ49" s="86"/>
      <c r="AK49" s="3"/>
      <c r="AL49" s="3"/>
      <c r="AM49" s="3"/>
      <c r="AN49" s="3"/>
      <c r="AO49" s="3"/>
      <c r="AP49" s="86"/>
      <c r="AQ49" s="86"/>
      <c r="AR49" s="86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1"/>
      <c r="BD49" s="8"/>
      <c r="BE49" s="86"/>
      <c r="BF49" s="86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1"/>
      <c r="BR49" s="8"/>
      <c r="BS49" s="86"/>
      <c r="BT49" s="86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1"/>
    </row>
    <row r="50" spans="2:83" ht="15" hidden="1" customHeight="1" x14ac:dyDescent="0.25">
      <c r="B50" s="265">
        <v>7</v>
      </c>
      <c r="C50" s="265">
        <v>3</v>
      </c>
      <c r="D50" s="265" t="str">
        <f t="shared" si="0"/>
        <v>SUPPLY_EAST_E_2_14</v>
      </c>
      <c r="E50" s="265" t="s">
        <v>0</v>
      </c>
      <c r="F50" s="34" t="s">
        <v>0</v>
      </c>
      <c r="G50" s="3" t="s">
        <v>18</v>
      </c>
      <c r="H50" s="3">
        <v>2</v>
      </c>
      <c r="I50" s="3">
        <v>2</v>
      </c>
      <c r="J50" s="3" t="s">
        <v>6</v>
      </c>
      <c r="K50" s="30"/>
      <c r="L50" s="90">
        <f>COUNT(AB50:BC50)</f>
        <v>9</v>
      </c>
      <c r="M50" s="30"/>
      <c r="N50" s="8"/>
      <c r="O50" s="86"/>
      <c r="P50" s="86"/>
      <c r="Q50" s="3"/>
      <c r="R50" s="3"/>
      <c r="S50" s="3"/>
      <c r="T50" s="3"/>
      <c r="U50" s="280"/>
      <c r="V50" s="86"/>
      <c r="W50" s="3"/>
      <c r="X50" s="3"/>
      <c r="Y50" s="3"/>
      <c r="Z50" s="3"/>
      <c r="AA50" s="31"/>
      <c r="AB50" s="86">
        <v>1</v>
      </c>
      <c r="AC50" s="86">
        <f t="shared" si="37"/>
        <v>2</v>
      </c>
      <c r="AD50" s="86">
        <f t="shared" si="37"/>
        <v>3</v>
      </c>
      <c r="AE50" s="86">
        <f t="shared" si="37"/>
        <v>4</v>
      </c>
      <c r="AF50" s="86">
        <f t="shared" si="37"/>
        <v>5</v>
      </c>
      <c r="AG50" s="86">
        <f t="shared" si="37"/>
        <v>6</v>
      </c>
      <c r="AH50" s="86">
        <f t="shared" si="37"/>
        <v>7</v>
      </c>
      <c r="AI50" s="285">
        <f t="shared" si="37"/>
        <v>8</v>
      </c>
      <c r="AJ50" s="86">
        <f t="shared" si="37"/>
        <v>9</v>
      </c>
      <c r="AK50" s="258"/>
      <c r="AL50" s="258"/>
      <c r="AM50" s="4"/>
      <c r="AN50" s="4"/>
      <c r="AO50" s="4"/>
      <c r="AP50" s="93"/>
      <c r="AQ50" s="93"/>
      <c r="AR50" s="93"/>
      <c r="AS50" s="4"/>
      <c r="AT50" s="4"/>
      <c r="AU50" s="4"/>
      <c r="AV50" s="4"/>
      <c r="AW50" s="3"/>
      <c r="AY50" s="3"/>
      <c r="AZ50" s="3"/>
      <c r="BA50" s="3"/>
      <c r="BB50" s="3"/>
      <c r="BC50" s="31"/>
      <c r="BD50" s="288"/>
      <c r="BE50" s="3"/>
      <c r="BF50" s="3"/>
      <c r="BG50" s="3"/>
      <c r="BH50" s="3"/>
      <c r="BI50" s="3"/>
      <c r="BJ50" s="3"/>
      <c r="BK50" s="3"/>
      <c r="BL50" s="284"/>
      <c r="BM50" s="3"/>
      <c r="BN50" s="3"/>
      <c r="BO50" s="3"/>
      <c r="BP50" s="3"/>
      <c r="BQ50" s="31"/>
      <c r="BR50" s="8"/>
      <c r="BS50" s="3"/>
      <c r="BT50" s="3"/>
      <c r="BU50" s="3"/>
      <c r="BV50" s="3"/>
      <c r="BW50" s="3"/>
      <c r="BX50" s="3"/>
      <c r="BY50" s="3"/>
      <c r="BZ50" s="284"/>
      <c r="CA50" s="3"/>
      <c r="CB50" s="3"/>
      <c r="CC50" s="3"/>
      <c r="CD50" s="3"/>
      <c r="CE50" s="31"/>
    </row>
    <row r="51" spans="2:83" ht="15" customHeight="1" x14ac:dyDescent="0.25">
      <c r="B51" s="265">
        <f t="shared" ref="B51" si="38">B50</f>
        <v>7</v>
      </c>
      <c r="C51" s="265">
        <v>4</v>
      </c>
      <c r="D51" s="265" t="str">
        <f t="shared" si="0"/>
        <v>EMPTY_EAST_E_2_14</v>
      </c>
      <c r="E51" s="265" t="s">
        <v>0</v>
      </c>
      <c r="F51" s="34" t="s">
        <v>32</v>
      </c>
      <c r="G51" s="3" t="s">
        <v>18</v>
      </c>
      <c r="H51" s="3">
        <v>2</v>
      </c>
      <c r="I51" s="3">
        <v>2</v>
      </c>
      <c r="J51" s="3" t="s">
        <v>6</v>
      </c>
      <c r="K51" s="30">
        <v>5</v>
      </c>
      <c r="L51" s="90">
        <f>COUNT(N51:AO51)</f>
        <v>21</v>
      </c>
      <c r="M51" s="30"/>
      <c r="N51" s="8">
        <v>1</v>
      </c>
      <c r="O51" s="86">
        <f t="shared" ref="O51:Y52" si="39">N51+1</f>
        <v>2</v>
      </c>
      <c r="P51" s="86">
        <f t="shared" si="39"/>
        <v>3</v>
      </c>
      <c r="Q51" s="86">
        <f t="shared" si="39"/>
        <v>4</v>
      </c>
      <c r="R51" s="86">
        <f t="shared" si="39"/>
        <v>5</v>
      </c>
      <c r="S51" s="86">
        <f t="shared" si="39"/>
        <v>6</v>
      </c>
      <c r="T51" s="86">
        <f t="shared" si="39"/>
        <v>7</v>
      </c>
      <c r="U51" s="285">
        <f t="shared" si="39"/>
        <v>8</v>
      </c>
      <c r="V51" s="319">
        <f t="shared" si="39"/>
        <v>9</v>
      </c>
      <c r="W51" s="3">
        <f t="shared" si="39"/>
        <v>10</v>
      </c>
      <c r="X51" s="3">
        <f>W51+1</f>
        <v>11</v>
      </c>
      <c r="Y51" s="3">
        <f>X51+1</f>
        <v>12</v>
      </c>
      <c r="Z51" s="3">
        <f>Y51+1</f>
        <v>13</v>
      </c>
      <c r="AA51" s="280">
        <f>Z51+1</f>
        <v>14</v>
      </c>
      <c r="AB51" s="319">
        <f>AA51+1</f>
        <v>15</v>
      </c>
      <c r="AC51" s="3">
        <f t="shared" si="37"/>
        <v>16</v>
      </c>
      <c r="AD51" s="3">
        <f t="shared" si="37"/>
        <v>17</v>
      </c>
      <c r="AE51" s="3">
        <f t="shared" si="37"/>
        <v>18</v>
      </c>
      <c r="AF51" s="3">
        <f t="shared" si="37"/>
        <v>19</v>
      </c>
      <c r="AG51" s="3">
        <f t="shared" ref="AG51" si="40">AF51+1</f>
        <v>20</v>
      </c>
      <c r="AH51" s="3">
        <f t="shared" ref="AH51" si="41">AG51+1</f>
        <v>21</v>
      </c>
      <c r="AI51" s="340"/>
      <c r="AJ51" s="86"/>
      <c r="AK51" s="3"/>
      <c r="AL51" s="33"/>
      <c r="AM51" s="3"/>
      <c r="AN51" s="3"/>
      <c r="AO51" s="3"/>
      <c r="AP51" s="86"/>
      <c r="AQ51" s="86"/>
      <c r="AR51" s="86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1"/>
      <c r="BD51" s="8"/>
      <c r="BE51" s="86"/>
      <c r="BF51" s="86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1"/>
      <c r="BR51" s="8"/>
      <c r="BS51" s="86"/>
      <c r="BT51" s="86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1"/>
    </row>
    <row r="52" spans="2:83" ht="15" hidden="1" customHeight="1" x14ac:dyDescent="0.25">
      <c r="B52" s="265">
        <v>7</v>
      </c>
      <c r="C52" s="265">
        <v>5</v>
      </c>
      <c r="D52" s="265" t="str">
        <f t="shared" si="0"/>
        <v>PREPARE_EAST_E_2_14</v>
      </c>
      <c r="E52" s="265" t="s">
        <v>0</v>
      </c>
      <c r="F52" s="49" t="s">
        <v>46</v>
      </c>
      <c r="G52" s="3" t="s">
        <v>18</v>
      </c>
      <c r="H52" s="3">
        <v>2</v>
      </c>
      <c r="I52" s="3">
        <v>2</v>
      </c>
      <c r="J52" s="3" t="s">
        <v>6</v>
      </c>
      <c r="K52" s="3"/>
      <c r="L52" s="90">
        <f>COUNT(N52:AO52)</f>
        <v>22</v>
      </c>
      <c r="M52" s="30"/>
      <c r="N52" s="8">
        <v>1</v>
      </c>
      <c r="O52" s="86">
        <f t="shared" si="39"/>
        <v>2</v>
      </c>
      <c r="P52" s="86">
        <f t="shared" si="39"/>
        <v>3</v>
      </c>
      <c r="Q52" s="86">
        <f t="shared" si="39"/>
        <v>4</v>
      </c>
      <c r="R52" s="86">
        <f t="shared" si="39"/>
        <v>5</v>
      </c>
      <c r="S52" s="86">
        <f t="shared" si="39"/>
        <v>6</v>
      </c>
      <c r="T52" s="86">
        <f t="shared" si="39"/>
        <v>7</v>
      </c>
      <c r="U52" s="285">
        <f t="shared" si="39"/>
        <v>8</v>
      </c>
      <c r="V52" s="86">
        <f t="shared" si="39"/>
        <v>9</v>
      </c>
      <c r="W52" s="86">
        <f t="shared" si="39"/>
        <v>10</v>
      </c>
      <c r="X52" s="86">
        <f t="shared" si="39"/>
        <v>11</v>
      </c>
      <c r="Y52" s="86">
        <f t="shared" si="39"/>
        <v>12</v>
      </c>
      <c r="Z52" s="86">
        <f>Y52+1</f>
        <v>13</v>
      </c>
      <c r="AA52" s="287">
        <f>Z52+1</f>
        <v>14</v>
      </c>
      <c r="AB52" s="86">
        <f>AA52+1</f>
        <v>15</v>
      </c>
      <c r="AC52" s="86">
        <f t="shared" si="37"/>
        <v>16</v>
      </c>
      <c r="AD52" s="86">
        <f t="shared" si="37"/>
        <v>17</v>
      </c>
      <c r="AE52" s="86">
        <f t="shared" si="37"/>
        <v>18</v>
      </c>
      <c r="AF52" s="86">
        <f t="shared" si="37"/>
        <v>19</v>
      </c>
      <c r="AG52" s="86">
        <f t="shared" si="37"/>
        <v>20</v>
      </c>
      <c r="AH52" s="86">
        <f t="shared" si="37"/>
        <v>21</v>
      </c>
      <c r="AI52" s="86">
        <f t="shared" si="37"/>
        <v>22</v>
      </c>
      <c r="AJ52" s="93"/>
      <c r="AK52" s="3"/>
      <c r="AL52" s="3"/>
      <c r="AM52" s="3"/>
      <c r="AN52" s="3"/>
      <c r="AO52" s="3"/>
      <c r="AP52" s="86"/>
      <c r="AQ52" s="86"/>
      <c r="AR52" s="86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1"/>
      <c r="BD52" s="8"/>
      <c r="BE52" s="86"/>
      <c r="BF52" s="86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1"/>
      <c r="BR52" s="8"/>
      <c r="BS52" s="86"/>
      <c r="BT52" s="86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1"/>
    </row>
    <row r="53" spans="2:83" ht="15" hidden="1" customHeight="1" x14ac:dyDescent="0.25">
      <c r="B53" s="265">
        <f>B51</f>
        <v>7</v>
      </c>
      <c r="C53" s="265">
        <v>6</v>
      </c>
      <c r="D53" s="265" t="str">
        <f t="shared" si="0"/>
        <v>COUNTDOWN_EAST_E_2_14</v>
      </c>
      <c r="E53" s="265"/>
      <c r="F53" s="34" t="s">
        <v>33</v>
      </c>
      <c r="G53" s="3" t="s">
        <v>18</v>
      </c>
      <c r="H53" s="3">
        <v>2</v>
      </c>
      <c r="I53" s="3">
        <v>2</v>
      </c>
      <c r="J53" s="3" t="s">
        <v>6</v>
      </c>
      <c r="K53" s="32"/>
      <c r="L53" s="32"/>
      <c r="M53" s="30"/>
      <c r="N53" s="8">
        <v>9</v>
      </c>
      <c r="O53" s="86">
        <v>8</v>
      </c>
      <c r="P53" s="86">
        <v>7</v>
      </c>
      <c r="Q53" s="3">
        <v>6</v>
      </c>
      <c r="R53" s="3">
        <v>5</v>
      </c>
      <c r="S53" s="3">
        <v>4</v>
      </c>
      <c r="T53" s="3">
        <v>3</v>
      </c>
      <c r="U53" s="280">
        <v>2</v>
      </c>
      <c r="V53" s="86">
        <v>1</v>
      </c>
      <c r="W53" s="3">
        <v>14</v>
      </c>
      <c r="X53" s="3">
        <v>13</v>
      </c>
      <c r="Y53" s="3">
        <v>12</v>
      </c>
      <c r="Z53" s="3">
        <v>11</v>
      </c>
      <c r="AA53" s="31">
        <v>10</v>
      </c>
      <c r="AB53" s="86">
        <v>9</v>
      </c>
      <c r="AC53" s="86">
        <v>8</v>
      </c>
      <c r="AD53" s="86">
        <v>7</v>
      </c>
      <c r="AE53" s="3">
        <v>6</v>
      </c>
      <c r="AF53" s="3">
        <v>5</v>
      </c>
      <c r="AG53" s="3">
        <v>4</v>
      </c>
      <c r="AH53" s="3">
        <v>3</v>
      </c>
      <c r="AI53" s="280">
        <v>2</v>
      </c>
      <c r="AJ53" s="86">
        <v>1</v>
      </c>
      <c r="AK53" s="3">
        <v>14</v>
      </c>
      <c r="AL53" s="3">
        <v>13</v>
      </c>
      <c r="AM53" s="3">
        <v>12</v>
      </c>
      <c r="AN53" s="3">
        <v>11</v>
      </c>
      <c r="AO53" s="3">
        <v>10</v>
      </c>
      <c r="AP53" s="86">
        <v>9</v>
      </c>
      <c r="AQ53" s="86">
        <v>8</v>
      </c>
      <c r="AR53" s="86">
        <v>7</v>
      </c>
      <c r="AS53" s="3">
        <v>6</v>
      </c>
      <c r="AT53" s="3">
        <v>5</v>
      </c>
      <c r="AU53" s="3">
        <v>4</v>
      </c>
      <c r="AV53" s="3">
        <v>3</v>
      </c>
      <c r="AW53" s="3">
        <v>2</v>
      </c>
      <c r="AX53" s="3">
        <v>1</v>
      </c>
      <c r="AY53" s="3">
        <v>14</v>
      </c>
      <c r="AZ53" s="3">
        <v>13</v>
      </c>
      <c r="BA53" s="3">
        <v>12</v>
      </c>
      <c r="BB53" s="3">
        <v>11</v>
      </c>
      <c r="BC53" s="31">
        <v>10</v>
      </c>
      <c r="BD53" s="8">
        <v>9</v>
      </c>
      <c r="BE53" s="86">
        <v>8</v>
      </c>
      <c r="BF53" s="86">
        <v>7</v>
      </c>
      <c r="BG53" s="3">
        <v>6</v>
      </c>
      <c r="BH53" s="3">
        <v>5</v>
      </c>
      <c r="BI53" s="3">
        <v>4</v>
      </c>
      <c r="BJ53" s="3">
        <v>3</v>
      </c>
      <c r="BK53" s="3">
        <v>2</v>
      </c>
      <c r="BL53" s="3">
        <v>1</v>
      </c>
      <c r="BM53" s="3">
        <v>14</v>
      </c>
      <c r="BN53" s="3">
        <v>13</v>
      </c>
      <c r="BO53" s="3">
        <v>12</v>
      </c>
      <c r="BP53" s="3">
        <v>11</v>
      </c>
      <c r="BQ53" s="31">
        <v>10</v>
      </c>
      <c r="BR53" s="8">
        <v>9</v>
      </c>
      <c r="BS53" s="86">
        <v>8</v>
      </c>
      <c r="BT53" s="86">
        <v>7</v>
      </c>
      <c r="BU53" s="3">
        <v>6</v>
      </c>
      <c r="BV53" s="3">
        <v>5</v>
      </c>
      <c r="BW53" s="3">
        <v>4</v>
      </c>
      <c r="BX53" s="3">
        <v>3</v>
      </c>
      <c r="BY53" s="3">
        <v>2</v>
      </c>
      <c r="BZ53" s="3">
        <v>1</v>
      </c>
      <c r="CA53" s="3">
        <v>14</v>
      </c>
      <c r="CB53" s="3">
        <v>13</v>
      </c>
      <c r="CC53" s="3">
        <v>12</v>
      </c>
      <c r="CD53" s="3">
        <v>11</v>
      </c>
      <c r="CE53" s="31">
        <v>10</v>
      </c>
    </row>
    <row r="54" spans="2:83" ht="15" hidden="1" customHeight="1" x14ac:dyDescent="0.25">
      <c r="B54" s="284"/>
      <c r="C54" s="265">
        <v>1</v>
      </c>
      <c r="D54" s="265" t="str">
        <f t="shared" si="0"/>
        <v>SORTING_EAST_D_1_14</v>
      </c>
      <c r="E54" s="265" t="s">
        <v>35</v>
      </c>
      <c r="F54" s="49" t="s">
        <v>45</v>
      </c>
      <c r="G54" s="3" t="s">
        <v>18</v>
      </c>
      <c r="H54" s="3">
        <v>1</v>
      </c>
      <c r="I54" s="3">
        <v>1</v>
      </c>
      <c r="J54" s="3" t="s">
        <v>47</v>
      </c>
      <c r="K54" s="30"/>
      <c r="L54" s="90">
        <f>COUNT(V54:AO54)</f>
        <v>11</v>
      </c>
      <c r="M54" s="30"/>
      <c r="N54" s="8"/>
      <c r="O54" s="86"/>
      <c r="P54" s="86"/>
      <c r="Q54" s="3"/>
      <c r="R54" s="3"/>
      <c r="S54" s="3"/>
      <c r="T54" s="3"/>
      <c r="U54" s="280"/>
      <c r="V54" s="279">
        <v>1</v>
      </c>
      <c r="W54" s="33">
        <f t="shared" ref="W54:X55" si="42">V54+1</f>
        <v>2</v>
      </c>
      <c r="X54" s="33">
        <f t="shared" si="42"/>
        <v>3</v>
      </c>
      <c r="Y54" s="33">
        <f>X54+1</f>
        <v>4</v>
      </c>
      <c r="Z54" s="33">
        <f>Y54+1</f>
        <v>5</v>
      </c>
      <c r="AA54" s="35">
        <f t="shared" ref="AA54:AL58" si="43">Z54+1</f>
        <v>6</v>
      </c>
      <c r="AB54" s="279">
        <f t="shared" si="43"/>
        <v>7</v>
      </c>
      <c r="AC54" s="33">
        <f t="shared" si="43"/>
        <v>8</v>
      </c>
      <c r="AD54" s="33">
        <f t="shared" si="43"/>
        <v>9</v>
      </c>
      <c r="AE54" s="33">
        <f t="shared" si="43"/>
        <v>10</v>
      </c>
      <c r="AF54" s="33">
        <f t="shared" si="43"/>
        <v>11</v>
      </c>
      <c r="AG54" s="61"/>
      <c r="AH54" s="33"/>
      <c r="AI54" s="282"/>
      <c r="AJ54" s="86"/>
      <c r="AK54" s="3"/>
      <c r="AL54" s="3"/>
      <c r="AM54" s="3"/>
      <c r="AN54" s="3"/>
      <c r="AO54" s="3"/>
      <c r="AP54" s="86"/>
      <c r="AQ54" s="86"/>
      <c r="AR54" s="86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1"/>
      <c r="BD54" s="8"/>
      <c r="BE54" s="86"/>
      <c r="BF54" s="86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1"/>
      <c r="BR54" s="8"/>
      <c r="BS54" s="86"/>
      <c r="BT54" s="86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1"/>
    </row>
    <row r="55" spans="2:83" ht="15" hidden="1" customHeight="1" x14ac:dyDescent="0.25">
      <c r="B55" s="284"/>
      <c r="C55" s="265">
        <v>2</v>
      </c>
      <c r="D55" s="265" t="str">
        <f t="shared" si="0"/>
        <v>TRANSFER_EAST_D_1_14</v>
      </c>
      <c r="E55" s="265" t="s">
        <v>21</v>
      </c>
      <c r="F55" s="49" t="s">
        <v>21</v>
      </c>
      <c r="G55" s="3" t="s">
        <v>18</v>
      </c>
      <c r="H55" s="3">
        <v>1</v>
      </c>
      <c r="I55" s="3">
        <v>1</v>
      </c>
      <c r="J55" s="3" t="s">
        <v>47</v>
      </c>
      <c r="K55" s="30"/>
      <c r="L55" s="90">
        <f>COUNT(V55:AO55)</f>
        <v>12</v>
      </c>
      <c r="M55" s="30"/>
      <c r="N55" s="8"/>
      <c r="O55" s="86"/>
      <c r="P55" s="86"/>
      <c r="Q55" s="3"/>
      <c r="R55" s="3"/>
      <c r="S55" s="3"/>
      <c r="T55" s="3"/>
      <c r="U55" s="280"/>
      <c r="V55" s="86">
        <v>1</v>
      </c>
      <c r="W55" s="3">
        <f t="shared" si="42"/>
        <v>2</v>
      </c>
      <c r="X55" s="3">
        <f t="shared" si="42"/>
        <v>3</v>
      </c>
      <c r="Y55" s="3">
        <f>X55+1</f>
        <v>4</v>
      </c>
      <c r="Z55" s="3">
        <f>Y55+1</f>
        <v>5</v>
      </c>
      <c r="AA55" s="31">
        <f t="shared" si="43"/>
        <v>6</v>
      </c>
      <c r="AB55" s="86">
        <f t="shared" si="43"/>
        <v>7</v>
      </c>
      <c r="AC55" s="3">
        <f t="shared" si="43"/>
        <v>8</v>
      </c>
      <c r="AD55" s="3">
        <f t="shared" si="43"/>
        <v>9</v>
      </c>
      <c r="AE55" s="3">
        <f t="shared" si="43"/>
        <v>10</v>
      </c>
      <c r="AF55" s="3">
        <f t="shared" si="43"/>
        <v>11</v>
      </c>
      <c r="AG55" s="3">
        <f t="shared" si="43"/>
        <v>12</v>
      </c>
      <c r="AH55" s="4"/>
      <c r="AI55" s="283"/>
      <c r="AJ55" s="86"/>
      <c r="AK55" s="3"/>
      <c r="AL55" s="3"/>
      <c r="AM55" s="3"/>
      <c r="AN55" s="3"/>
      <c r="AO55" s="3"/>
      <c r="AP55" s="86"/>
      <c r="AQ55" s="86"/>
      <c r="AR55" s="86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1"/>
      <c r="BD55" s="8"/>
      <c r="BE55" s="86"/>
      <c r="BF55" s="86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1"/>
      <c r="BR55" s="8"/>
      <c r="BS55" s="86"/>
      <c r="BT55" s="86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1"/>
    </row>
    <row r="56" spans="2:83" ht="15" hidden="1" customHeight="1" x14ac:dyDescent="0.25">
      <c r="B56" s="284"/>
      <c r="C56" s="265">
        <v>3</v>
      </c>
      <c r="D56" s="265" t="str">
        <f t="shared" si="0"/>
        <v>SUPPLY_EAST_D_1_14</v>
      </c>
      <c r="E56" s="265" t="s">
        <v>0</v>
      </c>
      <c r="F56" s="34" t="s">
        <v>0</v>
      </c>
      <c r="G56" s="3" t="s">
        <v>18</v>
      </c>
      <c r="H56" s="3">
        <v>1</v>
      </c>
      <c r="I56" s="3">
        <v>1</v>
      </c>
      <c r="J56" s="3" t="s">
        <v>47</v>
      </c>
      <c r="K56" s="30"/>
      <c r="L56" s="90">
        <f>COUNT(AB56:BC56)</f>
        <v>11</v>
      </c>
      <c r="M56" s="30"/>
      <c r="N56" s="8"/>
      <c r="O56" s="86"/>
      <c r="P56" s="86"/>
      <c r="Q56" s="3"/>
      <c r="R56" s="3"/>
      <c r="S56" s="3"/>
      <c r="T56" s="3"/>
      <c r="U56" s="280"/>
      <c r="V56" s="86"/>
      <c r="W56" s="3"/>
      <c r="X56" s="3"/>
      <c r="Y56" s="3"/>
      <c r="Z56" s="3"/>
      <c r="AA56" s="31"/>
      <c r="AB56" s="86">
        <v>1</v>
      </c>
      <c r="AC56" s="86">
        <f t="shared" si="43"/>
        <v>2</v>
      </c>
      <c r="AD56" s="86">
        <f t="shared" si="43"/>
        <v>3</v>
      </c>
      <c r="AE56" s="86">
        <f t="shared" si="43"/>
        <v>4</v>
      </c>
      <c r="AF56" s="86">
        <f t="shared" si="43"/>
        <v>5</v>
      </c>
      <c r="AG56" s="86">
        <f t="shared" si="43"/>
        <v>6</v>
      </c>
      <c r="AH56" s="86">
        <f t="shared" si="43"/>
        <v>7</v>
      </c>
      <c r="AI56" s="285">
        <f t="shared" si="43"/>
        <v>8</v>
      </c>
      <c r="AJ56" s="86">
        <f t="shared" si="43"/>
        <v>9</v>
      </c>
      <c r="AK56" s="86">
        <f t="shared" si="43"/>
        <v>10</v>
      </c>
      <c r="AL56" s="86">
        <f t="shared" si="43"/>
        <v>11</v>
      </c>
      <c r="AM56" s="4"/>
      <c r="AN56" s="4"/>
      <c r="AO56" s="4"/>
      <c r="AP56" s="93"/>
      <c r="AQ56" s="93"/>
      <c r="AR56" s="93"/>
      <c r="AS56" s="4"/>
      <c r="AT56" s="4"/>
      <c r="AU56" s="4"/>
      <c r="AV56" s="4"/>
      <c r="AW56" s="4"/>
      <c r="AX56" s="3"/>
      <c r="AY56" s="3"/>
      <c r="AZ56" s="3"/>
      <c r="BA56" s="3"/>
      <c r="BB56" s="3"/>
      <c r="BC56" s="31"/>
      <c r="BD56" s="288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1"/>
      <c r="BR56" s="8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1"/>
    </row>
    <row r="57" spans="2:83" ht="15" customHeight="1" x14ac:dyDescent="0.25">
      <c r="B57" s="284"/>
      <c r="C57" s="265">
        <v>4</v>
      </c>
      <c r="D57" s="265" t="str">
        <f t="shared" si="0"/>
        <v>EMPTY_EAST_D_1_14</v>
      </c>
      <c r="E57" s="265" t="s">
        <v>0</v>
      </c>
      <c r="F57" s="34" t="s">
        <v>32</v>
      </c>
      <c r="G57" s="3" t="s">
        <v>18</v>
      </c>
      <c r="H57" s="3">
        <v>1</v>
      </c>
      <c r="I57" s="3">
        <v>1</v>
      </c>
      <c r="J57" s="3" t="s">
        <v>47</v>
      </c>
      <c r="K57" s="30">
        <v>7</v>
      </c>
      <c r="L57" s="90">
        <f>COUNT(N57:AO57)</f>
        <v>22</v>
      </c>
      <c r="M57" s="30"/>
      <c r="N57" s="8">
        <v>1</v>
      </c>
      <c r="O57" s="86">
        <f t="shared" ref="O57:Y58" si="44">N57+1</f>
        <v>2</v>
      </c>
      <c r="P57" s="86">
        <f t="shared" si="44"/>
        <v>3</v>
      </c>
      <c r="Q57" s="86">
        <f t="shared" si="44"/>
        <v>4</v>
      </c>
      <c r="R57" s="86">
        <f t="shared" si="44"/>
        <v>5</v>
      </c>
      <c r="S57" s="86">
        <f t="shared" si="44"/>
        <v>6</v>
      </c>
      <c r="T57" s="86">
        <f t="shared" si="44"/>
        <v>7</v>
      </c>
      <c r="U57" s="285">
        <f t="shared" si="44"/>
        <v>8</v>
      </c>
      <c r="V57" s="319">
        <f t="shared" si="44"/>
        <v>9</v>
      </c>
      <c r="W57" s="3">
        <f t="shared" si="44"/>
        <v>10</v>
      </c>
      <c r="X57" s="3">
        <f>W57+1</f>
        <v>11</v>
      </c>
      <c r="Y57" s="3">
        <f>X57+1</f>
        <v>12</v>
      </c>
      <c r="Z57" s="3">
        <f>Y57+1</f>
        <v>13</v>
      </c>
      <c r="AA57" s="280">
        <f>Z57+1</f>
        <v>14</v>
      </c>
      <c r="AB57" s="319">
        <f>AA57+1</f>
        <v>15</v>
      </c>
      <c r="AC57" s="3">
        <f t="shared" si="43"/>
        <v>16</v>
      </c>
      <c r="AD57" s="3">
        <f t="shared" si="43"/>
        <v>17</v>
      </c>
      <c r="AE57" s="3">
        <f t="shared" si="43"/>
        <v>18</v>
      </c>
      <c r="AF57" s="3">
        <f t="shared" si="43"/>
        <v>19</v>
      </c>
      <c r="AG57" s="3">
        <f t="shared" si="43"/>
        <v>20</v>
      </c>
      <c r="AH57" s="3">
        <f t="shared" si="43"/>
        <v>21</v>
      </c>
      <c r="AI57" s="280">
        <f t="shared" si="43"/>
        <v>22</v>
      </c>
      <c r="AJ57" s="133"/>
      <c r="AK57" s="3"/>
      <c r="AL57" s="33"/>
      <c r="AM57" s="3"/>
      <c r="AN57" s="3"/>
      <c r="AO57" s="3"/>
      <c r="AP57" s="86"/>
      <c r="AQ57" s="86"/>
      <c r="AR57" s="86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1"/>
      <c r="BD57" s="8"/>
      <c r="BE57" s="86"/>
      <c r="BF57" s="86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1"/>
      <c r="BR57" s="8"/>
      <c r="BS57" s="86"/>
      <c r="BT57" s="86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1"/>
    </row>
    <row r="58" spans="2:83" ht="15" hidden="1" customHeight="1" x14ac:dyDescent="0.25">
      <c r="B58" s="284"/>
      <c r="C58" s="265">
        <v>5</v>
      </c>
      <c r="D58" s="265" t="str">
        <f t="shared" si="0"/>
        <v>PREPARE_EAST_D_1_14</v>
      </c>
      <c r="E58" s="265" t="s">
        <v>0</v>
      </c>
      <c r="F58" s="49" t="s">
        <v>46</v>
      </c>
      <c r="G58" s="3" t="s">
        <v>18</v>
      </c>
      <c r="H58" s="3">
        <v>1</v>
      </c>
      <c r="I58" s="3">
        <v>1</v>
      </c>
      <c r="J58" s="3" t="s">
        <v>47</v>
      </c>
      <c r="K58" s="30"/>
      <c r="L58" s="90">
        <f>COUNT(N58:AO58)</f>
        <v>23</v>
      </c>
      <c r="M58" s="30"/>
      <c r="N58" s="8">
        <v>1</v>
      </c>
      <c r="O58" s="86">
        <f t="shared" si="44"/>
        <v>2</v>
      </c>
      <c r="P58" s="86">
        <f t="shared" si="44"/>
        <v>3</v>
      </c>
      <c r="Q58" s="86">
        <f t="shared" si="44"/>
        <v>4</v>
      </c>
      <c r="R58" s="86">
        <f t="shared" si="44"/>
        <v>5</v>
      </c>
      <c r="S58" s="86">
        <f t="shared" si="44"/>
        <v>6</v>
      </c>
      <c r="T58" s="86">
        <f t="shared" si="44"/>
        <v>7</v>
      </c>
      <c r="U58" s="285">
        <f t="shared" si="44"/>
        <v>8</v>
      </c>
      <c r="V58" s="86">
        <f t="shared" si="44"/>
        <v>9</v>
      </c>
      <c r="W58" s="86">
        <f t="shared" si="44"/>
        <v>10</v>
      </c>
      <c r="X58" s="86">
        <f t="shared" si="44"/>
        <v>11</v>
      </c>
      <c r="Y58" s="86">
        <f t="shared" si="44"/>
        <v>12</v>
      </c>
      <c r="Z58" s="86">
        <f>Y58+1</f>
        <v>13</v>
      </c>
      <c r="AA58" s="287">
        <f>Z58+1</f>
        <v>14</v>
      </c>
      <c r="AB58" s="86">
        <f>AA58+1</f>
        <v>15</v>
      </c>
      <c r="AC58" s="86">
        <f t="shared" si="43"/>
        <v>16</v>
      </c>
      <c r="AD58" s="86">
        <f t="shared" si="43"/>
        <v>17</v>
      </c>
      <c r="AE58" s="86">
        <f t="shared" si="43"/>
        <v>18</v>
      </c>
      <c r="AF58" s="86">
        <f t="shared" si="43"/>
        <v>19</v>
      </c>
      <c r="AG58" s="86">
        <f t="shared" si="43"/>
        <v>20</v>
      </c>
      <c r="AH58" s="86">
        <f t="shared" si="43"/>
        <v>21</v>
      </c>
      <c r="AI58" s="285">
        <f t="shared" si="43"/>
        <v>22</v>
      </c>
      <c r="AJ58" s="86">
        <f t="shared" si="43"/>
        <v>23</v>
      </c>
      <c r="AK58" s="4"/>
      <c r="AL58" s="4"/>
      <c r="AM58" s="3"/>
      <c r="AN58" s="3"/>
      <c r="AO58" s="3"/>
      <c r="AP58" s="86"/>
      <c r="AQ58" s="86"/>
      <c r="AR58" s="86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1"/>
      <c r="BD58" s="8"/>
      <c r="BE58" s="86"/>
      <c r="BF58" s="86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1"/>
      <c r="BR58" s="8"/>
      <c r="BS58" s="86"/>
      <c r="BT58" s="86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1"/>
    </row>
    <row r="59" spans="2:83" ht="15" hidden="1" customHeight="1" x14ac:dyDescent="0.25">
      <c r="B59" s="284"/>
      <c r="C59" s="265">
        <v>6</v>
      </c>
      <c r="D59" s="265" t="str">
        <f t="shared" si="0"/>
        <v>COUNTDOWN_EAST_D_1_14</v>
      </c>
      <c r="E59" s="265"/>
      <c r="F59" s="34" t="s">
        <v>33</v>
      </c>
      <c r="G59" s="3" t="s">
        <v>18</v>
      </c>
      <c r="H59" s="3">
        <v>1</v>
      </c>
      <c r="I59" s="3">
        <v>1</v>
      </c>
      <c r="J59" s="3" t="s">
        <v>47</v>
      </c>
      <c r="K59" s="32"/>
      <c r="L59" s="32"/>
      <c r="M59" s="30"/>
      <c r="N59" s="8">
        <v>10</v>
      </c>
      <c r="O59" s="86">
        <v>9</v>
      </c>
      <c r="P59" s="86">
        <v>8</v>
      </c>
      <c r="Q59" s="3">
        <v>7</v>
      </c>
      <c r="R59" s="3">
        <v>6</v>
      </c>
      <c r="S59" s="3">
        <v>5</v>
      </c>
      <c r="T59" s="3">
        <v>4</v>
      </c>
      <c r="U59" s="280">
        <v>3</v>
      </c>
      <c r="V59" s="86">
        <v>2</v>
      </c>
      <c r="W59" s="3">
        <v>1</v>
      </c>
      <c r="X59" s="3">
        <v>14</v>
      </c>
      <c r="Y59" s="3">
        <v>13</v>
      </c>
      <c r="Z59" s="3">
        <v>12</v>
      </c>
      <c r="AA59" s="31">
        <v>11</v>
      </c>
      <c r="AB59" s="86">
        <v>10</v>
      </c>
      <c r="AC59" s="86">
        <v>9</v>
      </c>
      <c r="AD59" s="86">
        <v>8</v>
      </c>
      <c r="AE59" s="3">
        <v>7</v>
      </c>
      <c r="AF59" s="3">
        <v>6</v>
      </c>
      <c r="AG59" s="3">
        <v>5</v>
      </c>
      <c r="AH59" s="3">
        <v>4</v>
      </c>
      <c r="AI59" s="280">
        <v>3</v>
      </c>
      <c r="AJ59" s="86">
        <v>2</v>
      </c>
      <c r="AK59" s="3">
        <v>1</v>
      </c>
      <c r="AL59" s="3">
        <v>14</v>
      </c>
      <c r="AM59" s="3">
        <v>13</v>
      </c>
      <c r="AN59" s="3">
        <v>12</v>
      </c>
      <c r="AO59" s="3">
        <v>11</v>
      </c>
      <c r="AP59" s="86">
        <v>10</v>
      </c>
      <c r="AQ59" s="86">
        <v>9</v>
      </c>
      <c r="AR59" s="86">
        <v>8</v>
      </c>
      <c r="AS59" s="3">
        <v>7</v>
      </c>
      <c r="AT59" s="3">
        <v>6</v>
      </c>
      <c r="AU59" s="3">
        <v>5</v>
      </c>
      <c r="AV59" s="3">
        <v>4</v>
      </c>
      <c r="AW59" s="3">
        <v>3</v>
      </c>
      <c r="AX59" s="3">
        <v>2</v>
      </c>
      <c r="AY59" s="3">
        <v>1</v>
      </c>
      <c r="AZ59" s="3">
        <v>14</v>
      </c>
      <c r="BA59" s="3">
        <v>13</v>
      </c>
      <c r="BB59" s="3">
        <v>12</v>
      </c>
      <c r="BC59" s="31">
        <v>11</v>
      </c>
      <c r="BD59" s="8">
        <v>10</v>
      </c>
      <c r="BE59" s="86">
        <v>9</v>
      </c>
      <c r="BF59" s="86">
        <v>8</v>
      </c>
      <c r="BG59" s="3">
        <v>7</v>
      </c>
      <c r="BH59" s="3">
        <v>6</v>
      </c>
      <c r="BI59" s="3">
        <v>5</v>
      </c>
      <c r="BJ59" s="3">
        <v>4</v>
      </c>
      <c r="BK59" s="3">
        <v>3</v>
      </c>
      <c r="BL59" s="3">
        <v>2</v>
      </c>
      <c r="BM59" s="3">
        <v>1</v>
      </c>
      <c r="BN59" s="3">
        <v>14</v>
      </c>
      <c r="BO59" s="3">
        <v>13</v>
      </c>
      <c r="BP59" s="3">
        <v>12</v>
      </c>
      <c r="BQ59" s="31">
        <v>11</v>
      </c>
      <c r="BR59" s="8">
        <v>10</v>
      </c>
      <c r="BS59" s="86">
        <v>9</v>
      </c>
      <c r="BT59" s="86">
        <v>8</v>
      </c>
      <c r="BU59" s="3">
        <v>7</v>
      </c>
      <c r="BV59" s="3">
        <v>6</v>
      </c>
      <c r="BW59" s="3">
        <v>5</v>
      </c>
      <c r="BX59" s="3">
        <v>4</v>
      </c>
      <c r="BY59" s="3">
        <v>3</v>
      </c>
      <c r="BZ59" s="3">
        <v>2</v>
      </c>
      <c r="CA59" s="3">
        <v>1</v>
      </c>
      <c r="CB59" s="3">
        <v>14</v>
      </c>
      <c r="CC59" s="3">
        <v>13</v>
      </c>
      <c r="CD59" s="3">
        <v>12</v>
      </c>
      <c r="CE59" s="31">
        <v>11</v>
      </c>
    </row>
    <row r="60" spans="2:83" ht="15" hidden="1" customHeight="1" x14ac:dyDescent="0.25">
      <c r="B60" s="265">
        <v>13</v>
      </c>
      <c r="C60" s="265">
        <v>1</v>
      </c>
      <c r="D60" s="265" t="str">
        <f t="shared" si="0"/>
        <v>SORTING_EAST_K_2_14</v>
      </c>
      <c r="E60" s="265" t="s">
        <v>35</v>
      </c>
      <c r="F60" s="49" t="s">
        <v>45</v>
      </c>
      <c r="G60" s="3" t="s">
        <v>18</v>
      </c>
      <c r="H60" s="3">
        <v>2</v>
      </c>
      <c r="I60" s="3">
        <v>2</v>
      </c>
      <c r="J60" s="3" t="s">
        <v>12</v>
      </c>
      <c r="K60" s="3"/>
      <c r="L60" s="90">
        <f>COUNT(V60:AO60)</f>
        <v>12</v>
      </c>
      <c r="M60" s="30"/>
      <c r="N60" s="292"/>
      <c r="O60" s="290"/>
      <c r="P60" s="290"/>
      <c r="Q60" s="284"/>
      <c r="R60" s="284"/>
      <c r="S60" s="284"/>
      <c r="T60" s="284"/>
      <c r="U60" s="293"/>
      <c r="V60" s="279">
        <v>1</v>
      </c>
      <c r="W60" s="33">
        <f>V60+1</f>
        <v>2</v>
      </c>
      <c r="X60" s="33">
        <f>W60+1</f>
        <v>3</v>
      </c>
      <c r="Y60" s="33">
        <f t="shared" ref="Y60:AM64" si="45">X60+1</f>
        <v>4</v>
      </c>
      <c r="Z60" s="33">
        <f t="shared" si="45"/>
        <v>5</v>
      </c>
      <c r="AA60" s="35">
        <f t="shared" si="45"/>
        <v>6</v>
      </c>
      <c r="AB60" s="279">
        <f t="shared" si="45"/>
        <v>7</v>
      </c>
      <c r="AC60" s="33">
        <f t="shared" si="45"/>
        <v>8</v>
      </c>
      <c r="AD60" s="33">
        <f t="shared" si="45"/>
        <v>9</v>
      </c>
      <c r="AE60" s="33">
        <f t="shared" si="45"/>
        <v>10</v>
      </c>
      <c r="AF60" s="33">
        <f t="shared" si="45"/>
        <v>11</v>
      </c>
      <c r="AG60" s="33">
        <f t="shared" si="45"/>
        <v>12</v>
      </c>
      <c r="AH60" s="61"/>
      <c r="AI60" s="294"/>
      <c r="AJ60" s="290"/>
      <c r="AK60" s="284"/>
      <c r="AL60" s="284"/>
      <c r="AM60" s="284"/>
      <c r="AN60" s="284"/>
      <c r="AO60" s="284"/>
      <c r="AP60" s="290"/>
      <c r="AQ60" s="290"/>
      <c r="AR60" s="290"/>
      <c r="AS60" s="284"/>
      <c r="AT60" s="284"/>
      <c r="AU60" s="284"/>
      <c r="AV60" s="284"/>
      <c r="AW60" s="284"/>
      <c r="AX60" s="284"/>
      <c r="AY60" s="284"/>
      <c r="AZ60" s="284"/>
      <c r="BA60" s="284"/>
      <c r="BB60" s="284"/>
      <c r="BC60" s="295"/>
      <c r="BD60" s="292"/>
      <c r="BE60" s="290"/>
      <c r="BF60" s="290"/>
      <c r="BG60" s="284"/>
      <c r="BH60" s="284"/>
      <c r="BI60" s="284"/>
      <c r="BJ60" s="284"/>
      <c r="BK60" s="284"/>
      <c r="BL60" s="284"/>
      <c r="BM60" s="284"/>
      <c r="BN60" s="284"/>
      <c r="BO60" s="284"/>
      <c r="BP60" s="284"/>
      <c r="BQ60" s="295"/>
      <c r="BR60" s="292"/>
      <c r="BS60" s="290"/>
      <c r="BT60" s="290"/>
      <c r="BU60" s="284"/>
      <c r="BV60" s="284"/>
      <c r="BW60" s="284"/>
      <c r="BX60" s="284"/>
      <c r="BY60" s="284"/>
      <c r="BZ60" s="284"/>
      <c r="CA60" s="284"/>
      <c r="CB60" s="284"/>
      <c r="CC60" s="284"/>
      <c r="CD60" s="284"/>
      <c r="CE60" s="295"/>
    </row>
    <row r="61" spans="2:83" ht="15" hidden="1" customHeight="1" x14ac:dyDescent="0.25">
      <c r="B61" s="265">
        <v>13</v>
      </c>
      <c r="C61" s="265">
        <v>2</v>
      </c>
      <c r="D61" s="265" t="str">
        <f t="shared" si="0"/>
        <v>TRANSFER_EAST_K_2_14</v>
      </c>
      <c r="E61" s="265" t="s">
        <v>21</v>
      </c>
      <c r="F61" s="49" t="s">
        <v>21</v>
      </c>
      <c r="G61" s="3" t="s">
        <v>18</v>
      </c>
      <c r="H61" s="3">
        <v>2</v>
      </c>
      <c r="I61" s="3">
        <v>2</v>
      </c>
      <c r="J61" s="3" t="s">
        <v>12</v>
      </c>
      <c r="K61" s="3"/>
      <c r="L61" s="90">
        <f>COUNT(V61:AO61)</f>
        <v>14</v>
      </c>
      <c r="M61" s="30"/>
      <c r="N61" s="292"/>
      <c r="O61" s="290"/>
      <c r="P61" s="290"/>
      <c r="Q61" s="284"/>
      <c r="R61" s="284"/>
      <c r="S61" s="284"/>
      <c r="T61" s="284"/>
      <c r="U61" s="293"/>
      <c r="V61" s="290">
        <v>1</v>
      </c>
      <c r="W61" s="3">
        <f t="shared" ref="W61:X61" si="46">V61+1</f>
        <v>2</v>
      </c>
      <c r="X61" s="3">
        <f t="shared" si="46"/>
        <v>3</v>
      </c>
      <c r="Y61" s="3">
        <f t="shared" si="45"/>
        <v>4</v>
      </c>
      <c r="Z61" s="3">
        <f t="shared" si="45"/>
        <v>5</v>
      </c>
      <c r="AA61" s="31">
        <f t="shared" si="45"/>
        <v>6</v>
      </c>
      <c r="AB61" s="86">
        <f t="shared" si="45"/>
        <v>7</v>
      </c>
      <c r="AC61" s="3">
        <f t="shared" si="45"/>
        <v>8</v>
      </c>
      <c r="AD61" s="3">
        <f t="shared" si="45"/>
        <v>9</v>
      </c>
      <c r="AE61" s="3">
        <f t="shared" si="45"/>
        <v>10</v>
      </c>
      <c r="AF61" s="3">
        <f t="shared" si="45"/>
        <v>11</v>
      </c>
      <c r="AG61" s="3">
        <f t="shared" si="45"/>
        <v>12</v>
      </c>
      <c r="AH61" s="3">
        <f t="shared" si="45"/>
        <v>13</v>
      </c>
      <c r="AI61" s="280">
        <f t="shared" si="45"/>
        <v>14</v>
      </c>
      <c r="AJ61" s="93"/>
      <c r="AK61" s="3"/>
      <c r="AL61" s="284"/>
      <c r="AM61" s="284"/>
      <c r="AN61" s="284"/>
      <c r="AO61" s="284"/>
      <c r="AP61" s="290"/>
      <c r="AQ61" s="290"/>
      <c r="AR61" s="290"/>
      <c r="AS61" s="284"/>
      <c r="AT61" s="284"/>
      <c r="AU61" s="284"/>
      <c r="AV61" s="284"/>
      <c r="AW61" s="284"/>
      <c r="AX61" s="284"/>
      <c r="AY61" s="284"/>
      <c r="AZ61" s="284"/>
      <c r="BA61" s="284"/>
      <c r="BB61" s="284"/>
      <c r="BC61" s="295"/>
      <c r="BD61" s="292"/>
      <c r="BE61" s="290"/>
      <c r="BF61" s="290"/>
      <c r="BG61" s="284"/>
      <c r="BH61" s="284"/>
      <c r="BI61" s="284"/>
      <c r="BJ61" s="284"/>
      <c r="BK61" s="284"/>
      <c r="BL61" s="284"/>
      <c r="BM61" s="284"/>
      <c r="BN61" s="284"/>
      <c r="BO61" s="284"/>
      <c r="BP61" s="284"/>
      <c r="BQ61" s="295"/>
      <c r="BR61" s="292"/>
      <c r="BS61" s="290"/>
      <c r="BT61" s="290"/>
      <c r="BU61" s="284"/>
      <c r="BV61" s="284"/>
      <c r="BW61" s="284"/>
      <c r="BX61" s="284"/>
      <c r="BY61" s="284"/>
      <c r="BZ61" s="284"/>
      <c r="CA61" s="284"/>
      <c r="CB61" s="284"/>
      <c r="CC61" s="284"/>
      <c r="CD61" s="284"/>
      <c r="CE61" s="295"/>
    </row>
    <row r="62" spans="2:83" ht="15" hidden="1" customHeight="1" x14ac:dyDescent="0.25">
      <c r="B62" s="265">
        <v>13</v>
      </c>
      <c r="C62" s="265">
        <v>3</v>
      </c>
      <c r="D62" s="265" t="str">
        <f t="shared" si="0"/>
        <v>SUPPLY_EAST_K_2_14</v>
      </c>
      <c r="E62" s="265" t="s">
        <v>0</v>
      </c>
      <c r="F62" s="34" t="s">
        <v>0</v>
      </c>
      <c r="G62" s="3" t="s">
        <v>18</v>
      </c>
      <c r="H62" s="3">
        <v>2</v>
      </c>
      <c r="I62" s="3">
        <v>2</v>
      </c>
      <c r="J62" s="3" t="s">
        <v>12</v>
      </c>
      <c r="K62" s="30"/>
      <c r="L62" s="90">
        <f>COUNT(AB62:BC62)</f>
        <v>12</v>
      </c>
      <c r="M62" s="30"/>
      <c r="N62" s="292"/>
      <c r="O62" s="290"/>
      <c r="P62" s="290"/>
      <c r="Q62" s="284"/>
      <c r="R62" s="284"/>
      <c r="S62" s="284"/>
      <c r="T62" s="284"/>
      <c r="U62" s="293"/>
      <c r="V62" s="290"/>
      <c r="W62" s="284"/>
      <c r="X62" s="284"/>
      <c r="Y62" s="284"/>
      <c r="Z62" s="284"/>
      <c r="AA62" s="295"/>
      <c r="AB62" s="86">
        <v>1</v>
      </c>
      <c r="AC62" s="86">
        <f>AB62+1</f>
        <v>2</v>
      </c>
      <c r="AD62" s="86">
        <f t="shared" si="45"/>
        <v>3</v>
      </c>
      <c r="AE62" s="86">
        <f t="shared" si="45"/>
        <v>4</v>
      </c>
      <c r="AF62" s="86">
        <f t="shared" si="45"/>
        <v>5</v>
      </c>
      <c r="AG62" s="86">
        <f t="shared" si="45"/>
        <v>6</v>
      </c>
      <c r="AH62" s="86">
        <f t="shared" si="45"/>
        <v>7</v>
      </c>
      <c r="AI62" s="285">
        <f t="shared" si="45"/>
        <v>8</v>
      </c>
      <c r="AJ62" s="86">
        <f t="shared" si="45"/>
        <v>9</v>
      </c>
      <c r="AK62" s="86">
        <f t="shared" si="45"/>
        <v>10</v>
      </c>
      <c r="AL62" s="86">
        <f t="shared" si="45"/>
        <v>11</v>
      </c>
      <c r="AM62" s="86">
        <f t="shared" si="45"/>
        <v>12</v>
      </c>
      <c r="AN62" s="4"/>
      <c r="AO62" s="4"/>
      <c r="AP62" s="93"/>
      <c r="AQ62" s="93"/>
      <c r="AR62" s="93"/>
      <c r="AS62" s="4"/>
      <c r="AT62" s="4"/>
      <c r="AU62" s="4"/>
      <c r="AV62" s="4"/>
      <c r="AW62" s="4"/>
      <c r="AX62" s="4"/>
      <c r="AY62" s="284"/>
      <c r="AZ62" s="284"/>
      <c r="BA62" s="284"/>
      <c r="BB62" s="284"/>
      <c r="BC62" s="295"/>
      <c r="BD62" s="296"/>
      <c r="BE62" s="284"/>
      <c r="BF62" s="284"/>
      <c r="BG62" s="284"/>
      <c r="BH62" s="284"/>
      <c r="BI62" s="284"/>
      <c r="BJ62" s="284"/>
      <c r="BK62" s="284"/>
      <c r="BL62" s="284"/>
      <c r="BM62" s="284"/>
      <c r="BN62" s="284"/>
      <c r="BO62" s="284"/>
      <c r="BP62" s="284"/>
      <c r="BQ62" s="295"/>
      <c r="BR62" s="292"/>
      <c r="BS62" s="284"/>
      <c r="BT62" s="284"/>
      <c r="BU62" s="284"/>
      <c r="BV62" s="284"/>
      <c r="BW62" s="284"/>
      <c r="BX62" s="284"/>
      <c r="BY62" s="284"/>
      <c r="BZ62" s="284"/>
      <c r="CA62" s="284"/>
      <c r="CB62" s="284"/>
      <c r="CC62" s="284"/>
      <c r="CD62" s="284"/>
      <c r="CE62" s="295"/>
    </row>
    <row r="63" spans="2:83" ht="15" customHeight="1" x14ac:dyDescent="0.25">
      <c r="B63" s="265">
        <f>B62</f>
        <v>13</v>
      </c>
      <c r="C63" s="265">
        <v>4</v>
      </c>
      <c r="D63" s="265" t="str">
        <f t="shared" si="0"/>
        <v>EMPTY_EAST_K_2_14</v>
      </c>
      <c r="E63" s="265" t="s">
        <v>0</v>
      </c>
      <c r="F63" s="34" t="s">
        <v>32</v>
      </c>
      <c r="G63" s="3" t="s">
        <v>18</v>
      </c>
      <c r="H63" s="3">
        <v>2</v>
      </c>
      <c r="I63" s="3">
        <v>2</v>
      </c>
      <c r="J63" s="3" t="s">
        <v>12</v>
      </c>
      <c r="K63" s="30">
        <v>8</v>
      </c>
      <c r="L63" s="90">
        <f>COUNT(N63:AO63)</f>
        <v>23</v>
      </c>
      <c r="M63" s="30"/>
      <c r="N63" s="292">
        <v>1</v>
      </c>
      <c r="O63" s="86">
        <f t="shared" ref="O63:AC64" si="47">N63+1</f>
        <v>2</v>
      </c>
      <c r="P63" s="86">
        <f t="shared" si="47"/>
        <v>3</v>
      </c>
      <c r="Q63" s="86">
        <f t="shared" si="47"/>
        <v>4</v>
      </c>
      <c r="R63" s="86">
        <f t="shared" si="47"/>
        <v>5</v>
      </c>
      <c r="S63" s="86">
        <f t="shared" si="47"/>
        <v>6</v>
      </c>
      <c r="T63" s="86">
        <f t="shared" si="47"/>
        <v>7</v>
      </c>
      <c r="U63" s="285">
        <f t="shared" si="47"/>
        <v>8</v>
      </c>
      <c r="V63" s="319">
        <f t="shared" si="47"/>
        <v>9</v>
      </c>
      <c r="W63" s="3">
        <f t="shared" si="47"/>
        <v>10</v>
      </c>
      <c r="X63" s="3">
        <f t="shared" si="47"/>
        <v>11</v>
      </c>
      <c r="Y63" s="3">
        <f t="shared" si="47"/>
        <v>12</v>
      </c>
      <c r="Z63" s="3">
        <f t="shared" si="47"/>
        <v>13</v>
      </c>
      <c r="AA63" s="280">
        <f t="shared" si="47"/>
        <v>14</v>
      </c>
      <c r="AB63" s="319">
        <f t="shared" si="47"/>
        <v>15</v>
      </c>
      <c r="AC63" s="3">
        <f t="shared" si="47"/>
        <v>16</v>
      </c>
      <c r="AD63" s="3">
        <f t="shared" si="45"/>
        <v>17</v>
      </c>
      <c r="AE63" s="3">
        <f t="shared" si="45"/>
        <v>18</v>
      </c>
      <c r="AF63" s="3">
        <f t="shared" si="45"/>
        <v>19</v>
      </c>
      <c r="AG63" s="3">
        <f t="shared" si="45"/>
        <v>20</v>
      </c>
      <c r="AH63" s="3">
        <f t="shared" si="45"/>
        <v>21</v>
      </c>
      <c r="AI63" s="280">
        <f t="shared" si="45"/>
        <v>22</v>
      </c>
      <c r="AJ63" s="86">
        <f t="shared" si="45"/>
        <v>23</v>
      </c>
      <c r="AK63" s="256"/>
      <c r="AL63" s="33"/>
      <c r="AM63" s="284"/>
      <c r="AN63" s="284"/>
      <c r="AO63" s="284"/>
      <c r="AP63" s="290"/>
      <c r="AQ63" s="290"/>
      <c r="AR63" s="290"/>
      <c r="AS63" s="284"/>
      <c r="AT63" s="284"/>
      <c r="AU63" s="284"/>
      <c r="AV63" s="284"/>
      <c r="AW63" s="284"/>
      <c r="AX63" s="284"/>
      <c r="AY63" s="284"/>
      <c r="AZ63" s="284"/>
      <c r="BA63" s="284"/>
      <c r="BB63" s="284"/>
      <c r="BC63" s="295"/>
      <c r="BD63" s="292"/>
      <c r="BE63" s="290"/>
      <c r="BF63" s="290"/>
      <c r="BG63" s="284"/>
      <c r="BH63" s="284"/>
      <c r="BI63" s="284"/>
      <c r="BJ63" s="284"/>
      <c r="BK63" s="284"/>
      <c r="BL63" s="284"/>
      <c r="BM63" s="284"/>
      <c r="BN63" s="284"/>
      <c r="BO63" s="284"/>
      <c r="BP63" s="284"/>
      <c r="BQ63" s="295"/>
      <c r="BR63" s="292"/>
      <c r="BS63" s="290"/>
      <c r="BT63" s="290"/>
      <c r="BU63" s="284"/>
      <c r="BV63" s="284"/>
      <c r="BW63" s="284"/>
      <c r="BX63" s="284"/>
      <c r="BY63" s="284"/>
      <c r="BZ63" s="284"/>
      <c r="CA63" s="284"/>
      <c r="CB63" s="284"/>
      <c r="CC63" s="284"/>
      <c r="CD63" s="284"/>
      <c r="CE63" s="295"/>
    </row>
    <row r="64" spans="2:83" ht="15" hidden="1" customHeight="1" x14ac:dyDescent="0.25">
      <c r="B64" s="265">
        <v>13</v>
      </c>
      <c r="C64" s="265">
        <v>5</v>
      </c>
      <c r="D64" s="265" t="str">
        <f t="shared" si="0"/>
        <v>PREPARE_EAST_K_2_14</v>
      </c>
      <c r="E64" s="265" t="s">
        <v>0</v>
      </c>
      <c r="F64" s="49" t="s">
        <v>46</v>
      </c>
      <c r="G64" s="3" t="s">
        <v>18</v>
      </c>
      <c r="H64" s="3">
        <v>2</v>
      </c>
      <c r="I64" s="3">
        <v>2</v>
      </c>
      <c r="J64" s="3" t="s">
        <v>12</v>
      </c>
      <c r="K64" s="3"/>
      <c r="L64" s="90">
        <f>COUNT(N64:AO64)</f>
        <v>24</v>
      </c>
      <c r="M64" s="30"/>
      <c r="N64" s="292">
        <v>1</v>
      </c>
      <c r="O64" s="86">
        <f t="shared" si="47"/>
        <v>2</v>
      </c>
      <c r="P64" s="86">
        <f t="shared" si="47"/>
        <v>3</v>
      </c>
      <c r="Q64" s="86">
        <f t="shared" si="47"/>
        <v>4</v>
      </c>
      <c r="R64" s="86">
        <f t="shared" si="47"/>
        <v>5</v>
      </c>
      <c r="S64" s="86">
        <f t="shared" si="47"/>
        <v>6</v>
      </c>
      <c r="T64" s="86">
        <f t="shared" si="47"/>
        <v>7</v>
      </c>
      <c r="U64" s="285">
        <f t="shared" si="47"/>
        <v>8</v>
      </c>
      <c r="V64" s="86">
        <f t="shared" si="47"/>
        <v>9</v>
      </c>
      <c r="W64" s="86">
        <f t="shared" si="47"/>
        <v>10</v>
      </c>
      <c r="X64" s="86">
        <f t="shared" si="47"/>
        <v>11</v>
      </c>
      <c r="Y64" s="86">
        <f t="shared" si="47"/>
        <v>12</v>
      </c>
      <c r="Z64" s="86">
        <f t="shared" si="47"/>
        <v>13</v>
      </c>
      <c r="AA64" s="287">
        <f t="shared" si="47"/>
        <v>14</v>
      </c>
      <c r="AB64" s="86">
        <f t="shared" si="47"/>
        <v>15</v>
      </c>
      <c r="AC64" s="86">
        <f t="shared" si="47"/>
        <v>16</v>
      </c>
      <c r="AD64" s="86">
        <f t="shared" si="45"/>
        <v>17</v>
      </c>
      <c r="AE64" s="86">
        <f t="shared" si="45"/>
        <v>18</v>
      </c>
      <c r="AF64" s="86">
        <f t="shared" si="45"/>
        <v>19</v>
      </c>
      <c r="AG64" s="86">
        <f t="shared" si="45"/>
        <v>20</v>
      </c>
      <c r="AH64" s="86">
        <f t="shared" si="45"/>
        <v>21</v>
      </c>
      <c r="AI64" s="285">
        <f t="shared" si="45"/>
        <v>22</v>
      </c>
      <c r="AJ64" s="86">
        <f t="shared" si="45"/>
        <v>23</v>
      </c>
      <c r="AK64" s="86">
        <f t="shared" si="45"/>
        <v>24</v>
      </c>
      <c r="AL64" s="258"/>
      <c r="AM64" s="258"/>
      <c r="AN64" s="284"/>
      <c r="AO64" s="284"/>
      <c r="AP64" s="290"/>
      <c r="AQ64" s="290"/>
      <c r="AR64" s="290"/>
      <c r="AS64" s="284"/>
      <c r="AT64" s="284"/>
      <c r="AU64" s="284"/>
      <c r="AV64" s="284"/>
      <c r="AW64" s="284"/>
      <c r="AX64" s="284"/>
      <c r="AY64" s="284"/>
      <c r="AZ64" s="284"/>
      <c r="BA64" s="284"/>
      <c r="BB64" s="284"/>
      <c r="BC64" s="295"/>
      <c r="BD64" s="292"/>
      <c r="BE64" s="290"/>
      <c r="BF64" s="290"/>
      <c r="BG64" s="284"/>
      <c r="BH64" s="284"/>
      <c r="BI64" s="284"/>
      <c r="BJ64" s="284"/>
      <c r="BK64" s="284"/>
      <c r="BL64" s="284"/>
      <c r="BM64" s="284"/>
      <c r="BN64" s="284"/>
      <c r="BO64" s="284"/>
      <c r="BP64" s="284"/>
      <c r="BQ64" s="295"/>
      <c r="BR64" s="292"/>
      <c r="BS64" s="290"/>
      <c r="BT64" s="290"/>
      <c r="BU64" s="284"/>
      <c r="BV64" s="284"/>
      <c r="BW64" s="284"/>
      <c r="BX64" s="284"/>
      <c r="BY64" s="284"/>
      <c r="BZ64" s="284"/>
      <c r="CA64" s="284"/>
      <c r="CB64" s="284"/>
      <c r="CC64" s="284"/>
      <c r="CD64" s="284"/>
      <c r="CE64" s="295"/>
    </row>
    <row r="65" spans="1:83" ht="15" hidden="1" customHeight="1" x14ac:dyDescent="0.25">
      <c r="B65" s="265">
        <f>B63</f>
        <v>13</v>
      </c>
      <c r="C65" s="265">
        <v>6</v>
      </c>
      <c r="D65" s="265" t="str">
        <f t="shared" si="0"/>
        <v>COUNTDOWN_EAST_K_2_14</v>
      </c>
      <c r="E65" s="265"/>
      <c r="F65" s="34" t="s">
        <v>33</v>
      </c>
      <c r="G65" s="3" t="s">
        <v>18</v>
      </c>
      <c r="H65" s="3">
        <v>2</v>
      </c>
      <c r="I65" s="3">
        <v>2</v>
      </c>
      <c r="J65" s="3" t="s">
        <v>12</v>
      </c>
      <c r="K65" s="32"/>
      <c r="L65" s="32"/>
      <c r="M65" s="30"/>
      <c r="N65" s="292">
        <v>12</v>
      </c>
      <c r="O65" s="290">
        <v>11</v>
      </c>
      <c r="P65" s="290">
        <v>10</v>
      </c>
      <c r="Q65" s="284">
        <v>9</v>
      </c>
      <c r="R65" s="284">
        <v>8</v>
      </c>
      <c r="S65" s="284">
        <v>7</v>
      </c>
      <c r="T65" s="284">
        <v>6</v>
      </c>
      <c r="U65" s="293">
        <v>5</v>
      </c>
      <c r="V65" s="290">
        <v>4</v>
      </c>
      <c r="W65" s="284">
        <v>3</v>
      </c>
      <c r="X65" s="284">
        <v>2</v>
      </c>
      <c r="Y65" s="284">
        <v>1</v>
      </c>
      <c r="Z65" s="284">
        <v>14</v>
      </c>
      <c r="AA65" s="295">
        <v>13</v>
      </c>
      <c r="AB65" s="290">
        <v>12</v>
      </c>
      <c r="AC65" s="290">
        <v>11</v>
      </c>
      <c r="AD65" s="290">
        <v>10</v>
      </c>
      <c r="AE65" s="284">
        <v>9</v>
      </c>
      <c r="AF65" s="284">
        <v>8</v>
      </c>
      <c r="AG65" s="284">
        <v>7</v>
      </c>
      <c r="AH65" s="3">
        <v>6</v>
      </c>
      <c r="AI65" s="280">
        <v>5</v>
      </c>
      <c r="AJ65" s="86">
        <v>4</v>
      </c>
      <c r="AK65" s="3">
        <v>3</v>
      </c>
      <c r="AL65" s="3">
        <v>2</v>
      </c>
      <c r="AM65" s="3">
        <v>1</v>
      </c>
      <c r="AN65" s="284">
        <v>14</v>
      </c>
      <c r="AO65" s="284">
        <v>13</v>
      </c>
      <c r="AP65" s="290">
        <v>12</v>
      </c>
      <c r="AQ65" s="297">
        <v>11</v>
      </c>
      <c r="AR65" s="297">
        <v>10</v>
      </c>
      <c r="AS65" s="298">
        <v>9</v>
      </c>
      <c r="AT65" s="284">
        <v>8</v>
      </c>
      <c r="AU65" s="284">
        <v>7</v>
      </c>
      <c r="AV65" s="284">
        <v>6</v>
      </c>
      <c r="AW65" s="284">
        <v>5</v>
      </c>
      <c r="AX65" s="284">
        <v>4</v>
      </c>
      <c r="AY65" s="284">
        <v>3</v>
      </c>
      <c r="AZ65" s="284">
        <v>2</v>
      </c>
      <c r="BA65" s="284">
        <v>1</v>
      </c>
      <c r="BB65" s="284">
        <v>14</v>
      </c>
      <c r="BC65" s="295">
        <v>13</v>
      </c>
      <c r="BD65" s="292">
        <v>12</v>
      </c>
      <c r="BE65" s="297">
        <v>11</v>
      </c>
      <c r="BF65" s="297">
        <v>10</v>
      </c>
      <c r="BG65" s="298">
        <v>9</v>
      </c>
      <c r="BH65" s="284">
        <v>8</v>
      </c>
      <c r="BI65" s="284">
        <v>7</v>
      </c>
      <c r="BJ65" s="284">
        <v>6</v>
      </c>
      <c r="BK65" s="284">
        <v>5</v>
      </c>
      <c r="BL65" s="284">
        <v>4</v>
      </c>
      <c r="BM65" s="284">
        <v>3</v>
      </c>
      <c r="BN65" s="284">
        <v>2</v>
      </c>
      <c r="BO65" s="284">
        <v>1</v>
      </c>
      <c r="BP65" s="284">
        <v>14</v>
      </c>
      <c r="BQ65" s="295">
        <v>13</v>
      </c>
      <c r="BR65" s="292">
        <v>12</v>
      </c>
      <c r="BS65" s="290">
        <v>11</v>
      </c>
      <c r="BT65" s="290">
        <v>10</v>
      </c>
      <c r="BU65" s="284">
        <v>9</v>
      </c>
      <c r="BV65" s="284">
        <v>8</v>
      </c>
      <c r="BW65" s="284">
        <v>7</v>
      </c>
      <c r="BX65" s="284">
        <v>6</v>
      </c>
      <c r="BY65" s="284">
        <v>5</v>
      </c>
      <c r="BZ65" s="284">
        <v>4</v>
      </c>
      <c r="CA65" s="284">
        <v>3</v>
      </c>
      <c r="CB65" s="284">
        <v>2</v>
      </c>
      <c r="CC65" s="284">
        <v>1</v>
      </c>
      <c r="CD65" s="284">
        <v>14</v>
      </c>
      <c r="CE65" s="295">
        <v>13</v>
      </c>
    </row>
    <row r="66" spans="1:83" hidden="1" x14ac:dyDescent="0.25">
      <c r="B66" s="265">
        <v>8</v>
      </c>
      <c r="C66" s="265">
        <v>1</v>
      </c>
      <c r="D66" s="265" t="str">
        <f t="shared" si="0"/>
        <v>SORTING_WEST_H_1_14</v>
      </c>
      <c r="E66" s="265" t="s">
        <v>35</v>
      </c>
      <c r="F66" s="49" t="s">
        <v>45</v>
      </c>
      <c r="G66" s="3" t="s">
        <v>19</v>
      </c>
      <c r="H66" s="3">
        <v>1</v>
      </c>
      <c r="I66" s="3">
        <v>1</v>
      </c>
      <c r="J66" s="3" t="s">
        <v>9</v>
      </c>
      <c r="K66" s="3"/>
      <c r="L66" s="90">
        <f>COUNT(V66:AO66)</f>
        <v>0</v>
      </c>
      <c r="M66" s="30"/>
      <c r="N66" s="292"/>
      <c r="O66" s="290"/>
      <c r="P66" s="290"/>
      <c r="Q66" s="284"/>
      <c r="R66" s="284"/>
      <c r="S66" s="284"/>
      <c r="T66" s="284"/>
      <c r="U66" s="293"/>
      <c r="V66" s="299"/>
      <c r="W66" s="284"/>
      <c r="X66" s="284"/>
      <c r="Y66" s="284"/>
      <c r="Z66" s="284"/>
      <c r="AA66" s="295"/>
      <c r="AB66" s="290"/>
      <c r="AC66" s="290"/>
      <c r="AD66" s="290"/>
      <c r="AE66" s="284"/>
      <c r="AF66" s="284"/>
      <c r="AG66" s="284"/>
      <c r="AH66" s="284"/>
      <c r="AI66" s="293"/>
      <c r="AJ66" s="290"/>
      <c r="AK66" s="284"/>
      <c r="AL66" s="284"/>
      <c r="AM66" s="284"/>
      <c r="AN66" s="284"/>
      <c r="AO66" s="284"/>
      <c r="AP66" s="290"/>
      <c r="AQ66" s="290"/>
      <c r="AR66" s="290"/>
      <c r="AS66" s="284"/>
      <c r="AT66" s="284"/>
      <c r="AU66" s="284"/>
      <c r="AV66" s="284"/>
      <c r="AW66" s="284"/>
      <c r="AX66" s="284"/>
      <c r="AY66" s="284"/>
      <c r="AZ66" s="284"/>
      <c r="BA66" s="284"/>
      <c r="BB66" s="284"/>
      <c r="BC66" s="295"/>
      <c r="BD66" s="292"/>
      <c r="BE66" s="290"/>
      <c r="BF66" s="290"/>
      <c r="BG66" s="284"/>
      <c r="BH66" s="284"/>
      <c r="BI66" s="284"/>
      <c r="BJ66" s="284"/>
      <c r="BK66" s="284"/>
      <c r="BL66" s="284"/>
      <c r="BM66" s="284"/>
      <c r="BN66" s="284"/>
      <c r="BO66" s="284"/>
      <c r="BP66" s="284"/>
      <c r="BQ66" s="295"/>
      <c r="BR66" s="292"/>
      <c r="BS66" s="290"/>
      <c r="BT66" s="290"/>
      <c r="BU66" s="284"/>
      <c r="BV66" s="284"/>
      <c r="BW66" s="284"/>
      <c r="BX66" s="284"/>
      <c r="BY66" s="284"/>
      <c r="BZ66" s="284"/>
      <c r="CA66" s="284"/>
      <c r="CB66" s="284"/>
      <c r="CC66" s="284"/>
      <c r="CD66" s="284"/>
      <c r="CE66" s="295"/>
    </row>
    <row r="67" spans="1:83" hidden="1" x14ac:dyDescent="0.25">
      <c r="B67" s="265">
        <v>8</v>
      </c>
      <c r="C67" s="265">
        <v>2</v>
      </c>
      <c r="D67" s="265" t="str">
        <f t="shared" si="0"/>
        <v>TRANSFER_WEST_H_1_14</v>
      </c>
      <c r="E67" s="265" t="s">
        <v>21</v>
      </c>
      <c r="F67" s="49" t="s">
        <v>21</v>
      </c>
      <c r="G67" s="3" t="s">
        <v>19</v>
      </c>
      <c r="H67" s="3">
        <v>1</v>
      </c>
      <c r="I67" s="3">
        <v>1</v>
      </c>
      <c r="J67" s="3" t="s">
        <v>9</v>
      </c>
      <c r="K67" s="3"/>
      <c r="L67" s="90">
        <f>COUNT(V67:AO67)</f>
        <v>1</v>
      </c>
      <c r="M67" s="30"/>
      <c r="N67" s="292"/>
      <c r="O67" s="290"/>
      <c r="P67" s="290"/>
      <c r="Q67" s="284"/>
      <c r="R67" s="284"/>
      <c r="S67" s="284"/>
      <c r="T67" s="284"/>
      <c r="U67" s="293"/>
      <c r="V67" s="290">
        <v>1</v>
      </c>
      <c r="W67" s="258"/>
      <c r="X67" s="258"/>
      <c r="Y67" s="284"/>
      <c r="Z67" s="284"/>
      <c r="AA67" s="295"/>
      <c r="AB67" s="290"/>
      <c r="AC67" s="290"/>
      <c r="AD67" s="290"/>
      <c r="AE67" s="284"/>
      <c r="AF67" s="284"/>
      <c r="AG67" s="284"/>
      <c r="AH67" s="284"/>
      <c r="AI67" s="293"/>
      <c r="AJ67" s="290"/>
      <c r="AK67" s="284"/>
      <c r="AL67" s="284"/>
      <c r="AM67" s="284"/>
      <c r="AN67" s="284"/>
      <c r="AO67" s="284"/>
      <c r="AP67" s="290"/>
      <c r="AQ67" s="290"/>
      <c r="AR67" s="290"/>
      <c r="AS67" s="284"/>
      <c r="AT67" s="284"/>
      <c r="AU67" s="284"/>
      <c r="AV67" s="284"/>
      <c r="AW67" s="284"/>
      <c r="AX67" s="284"/>
      <c r="AY67" s="284"/>
      <c r="AZ67" s="284"/>
      <c r="BA67" s="284"/>
      <c r="BB67" s="284"/>
      <c r="BC67" s="295"/>
      <c r="BD67" s="292"/>
      <c r="BE67" s="290"/>
      <c r="BF67" s="290"/>
      <c r="BG67" s="284"/>
      <c r="BH67" s="284"/>
      <c r="BI67" s="284"/>
      <c r="BJ67" s="284"/>
      <c r="BK67" s="284"/>
      <c r="BL67" s="284"/>
      <c r="BM67" s="284"/>
      <c r="BN67" s="284"/>
      <c r="BO67" s="284"/>
      <c r="BP67" s="284"/>
      <c r="BQ67" s="295"/>
      <c r="BR67" s="292"/>
      <c r="BS67" s="290"/>
      <c r="BT67" s="290"/>
      <c r="BU67" s="284"/>
      <c r="BV67" s="284"/>
      <c r="BW67" s="284"/>
      <c r="BX67" s="284"/>
      <c r="BY67" s="284"/>
      <c r="BZ67" s="284"/>
      <c r="CA67" s="284"/>
      <c r="CB67" s="284"/>
      <c r="CC67" s="284"/>
      <c r="CD67" s="284"/>
      <c r="CE67" s="295"/>
    </row>
    <row r="68" spans="1:83" ht="15" hidden="1" customHeight="1" x14ac:dyDescent="0.25">
      <c r="B68" s="265">
        <v>8</v>
      </c>
      <c r="C68" s="265">
        <v>3</v>
      </c>
      <c r="D68" s="265" t="str">
        <f t="shared" si="0"/>
        <v>SUPPLY_WEST_H_1_14</v>
      </c>
      <c r="E68" s="265" t="s">
        <v>0</v>
      </c>
      <c r="F68" s="34" t="s">
        <v>0</v>
      </c>
      <c r="G68" s="3" t="s">
        <v>19</v>
      </c>
      <c r="H68" s="3">
        <v>1</v>
      </c>
      <c r="I68" s="3">
        <v>1</v>
      </c>
      <c r="J68" s="3" t="s">
        <v>9</v>
      </c>
      <c r="K68" s="30"/>
      <c r="L68" s="90">
        <f>COUNT(AB68:BC68)</f>
        <v>0</v>
      </c>
      <c r="M68" s="30"/>
      <c r="N68" s="292"/>
      <c r="O68" s="290"/>
      <c r="P68" s="290"/>
      <c r="Q68" s="284"/>
      <c r="R68" s="284"/>
      <c r="S68" s="284"/>
      <c r="T68" s="284"/>
      <c r="U68" s="293"/>
      <c r="V68" s="290"/>
      <c r="W68" s="284"/>
      <c r="X68" s="284"/>
      <c r="Y68" s="284"/>
      <c r="Z68" s="284"/>
      <c r="AA68" s="295"/>
      <c r="AB68" s="299"/>
      <c r="AC68" s="299"/>
      <c r="AD68" s="299"/>
      <c r="AE68" s="258"/>
      <c r="AF68" s="258"/>
      <c r="AG68" s="258"/>
      <c r="AH68" s="258"/>
      <c r="AI68" s="300"/>
      <c r="AJ68" s="299"/>
      <c r="AK68" s="258"/>
      <c r="AL68" s="284"/>
      <c r="AM68" s="284"/>
      <c r="AN68" s="284"/>
      <c r="AO68" s="284"/>
      <c r="AP68" s="297"/>
      <c r="AQ68" s="297"/>
      <c r="AR68" s="297"/>
      <c r="AS68" s="284"/>
      <c r="AT68" s="284"/>
      <c r="AU68" s="284"/>
      <c r="AV68" s="284"/>
      <c r="AW68" s="284"/>
      <c r="AX68" s="284"/>
      <c r="AY68" s="284"/>
      <c r="AZ68" s="284"/>
      <c r="BA68" s="284"/>
      <c r="BB68" s="284"/>
      <c r="BC68" s="295"/>
      <c r="BD68" s="296"/>
      <c r="BE68" s="284"/>
      <c r="BF68" s="284"/>
      <c r="BG68" s="284"/>
      <c r="BH68" s="284"/>
      <c r="BI68" s="284"/>
      <c r="BJ68" s="284"/>
      <c r="BK68" s="284"/>
      <c r="BL68" s="284"/>
      <c r="BM68" s="284"/>
      <c r="BN68" s="284"/>
      <c r="BO68" s="284"/>
      <c r="BP68" s="284"/>
      <c r="BQ68" s="295"/>
      <c r="BR68" s="292"/>
      <c r="BS68" s="284"/>
      <c r="BT68" s="284"/>
      <c r="BU68" s="284"/>
      <c r="BV68" s="284"/>
      <c r="BW68" s="284"/>
      <c r="BX68" s="284"/>
      <c r="BY68" s="284"/>
      <c r="BZ68" s="284"/>
      <c r="CA68" s="284"/>
      <c r="CB68" s="284"/>
      <c r="CC68" s="284"/>
      <c r="CD68" s="284"/>
      <c r="CE68" s="295"/>
    </row>
    <row r="69" spans="1:83" ht="15" customHeight="1" x14ac:dyDescent="0.25">
      <c r="B69" s="265">
        <f>B68</f>
        <v>8</v>
      </c>
      <c r="C69" s="265">
        <v>4</v>
      </c>
      <c r="D69" s="265" t="str">
        <f t="shared" si="0"/>
        <v>EMPTY_WEST_H_1_14</v>
      </c>
      <c r="E69" s="265" t="s">
        <v>0</v>
      </c>
      <c r="F69" s="34" t="s">
        <v>32</v>
      </c>
      <c r="G69" s="3" t="s">
        <v>19</v>
      </c>
      <c r="H69" s="3">
        <v>1</v>
      </c>
      <c r="I69" s="3">
        <v>1</v>
      </c>
      <c r="J69" s="3" t="s">
        <v>9</v>
      </c>
      <c r="K69" s="30">
        <v>-4</v>
      </c>
      <c r="L69" s="90">
        <f>COUNT(N69:AO69)</f>
        <v>10</v>
      </c>
      <c r="M69" s="30"/>
      <c r="N69" s="292">
        <v>1</v>
      </c>
      <c r="O69" s="86">
        <f t="shared" ref="O69:Y70" si="48">N69+1</f>
        <v>2</v>
      </c>
      <c r="P69" s="86">
        <f t="shared" si="48"/>
        <v>3</v>
      </c>
      <c r="Q69" s="86">
        <f t="shared" si="48"/>
        <v>4</v>
      </c>
      <c r="R69" s="86">
        <f t="shared" si="48"/>
        <v>5</v>
      </c>
      <c r="S69" s="86">
        <f t="shared" si="48"/>
        <v>6</v>
      </c>
      <c r="T69" s="86">
        <f t="shared" si="48"/>
        <v>7</v>
      </c>
      <c r="U69" s="285">
        <f t="shared" si="48"/>
        <v>8</v>
      </c>
      <c r="V69" s="319">
        <f t="shared" si="48"/>
        <v>9</v>
      </c>
      <c r="W69" s="3">
        <f t="shared" si="48"/>
        <v>10</v>
      </c>
      <c r="X69" s="256"/>
      <c r="Y69" s="258"/>
      <c r="Z69" s="284"/>
      <c r="AA69" s="293"/>
      <c r="AB69" s="328"/>
      <c r="AC69" s="284"/>
      <c r="AD69" s="284"/>
      <c r="AE69" s="284"/>
      <c r="AF69" s="284"/>
      <c r="AG69" s="284"/>
      <c r="AH69" s="284"/>
      <c r="AI69" s="293"/>
      <c r="AJ69" s="290"/>
      <c r="AK69" s="284"/>
      <c r="AL69" s="284"/>
      <c r="AM69" s="284"/>
      <c r="AN69" s="284"/>
      <c r="AO69" s="284"/>
      <c r="AP69" s="290"/>
      <c r="AQ69" s="290"/>
      <c r="AR69" s="290"/>
      <c r="AS69" s="284"/>
      <c r="AT69" s="284"/>
      <c r="AU69" s="284"/>
      <c r="AV69" s="284"/>
      <c r="AW69" s="284"/>
      <c r="AX69" s="284"/>
      <c r="AY69" s="284"/>
      <c r="AZ69" s="284"/>
      <c r="BA69" s="284"/>
      <c r="BB69" s="284"/>
      <c r="BC69" s="295"/>
      <c r="BD69" s="292"/>
      <c r="BE69" s="290"/>
      <c r="BF69" s="290"/>
      <c r="BG69" s="284"/>
      <c r="BH69" s="284"/>
      <c r="BI69" s="284"/>
      <c r="BJ69" s="284"/>
      <c r="BK69" s="284"/>
      <c r="BL69" s="284"/>
      <c r="BM69" s="284"/>
      <c r="BN69" s="284"/>
      <c r="BO69" s="284"/>
      <c r="BP69" s="284"/>
      <c r="BQ69" s="295"/>
      <c r="BR69" s="292"/>
      <c r="BS69" s="290"/>
      <c r="BT69" s="290"/>
      <c r="BU69" s="284"/>
      <c r="BV69" s="284"/>
      <c r="BW69" s="284"/>
      <c r="BX69" s="284"/>
      <c r="BY69" s="284"/>
      <c r="BZ69" s="284"/>
      <c r="CA69" s="284"/>
      <c r="CB69" s="284"/>
      <c r="CC69" s="284"/>
      <c r="CD69" s="284"/>
      <c r="CE69" s="295"/>
    </row>
    <row r="70" spans="1:83" ht="15" hidden="1" customHeight="1" x14ac:dyDescent="0.25">
      <c r="B70" s="265">
        <v>8</v>
      </c>
      <c r="C70" s="265">
        <v>5</v>
      </c>
      <c r="D70" s="265" t="str">
        <f t="shared" si="0"/>
        <v>PREPARE_WEST_H_1_14</v>
      </c>
      <c r="E70" s="265" t="s">
        <v>0</v>
      </c>
      <c r="F70" s="49" t="s">
        <v>46</v>
      </c>
      <c r="G70" s="3" t="s">
        <v>19</v>
      </c>
      <c r="H70" s="3">
        <v>1</v>
      </c>
      <c r="I70" s="3">
        <v>1</v>
      </c>
      <c r="J70" s="3" t="s">
        <v>9</v>
      </c>
      <c r="K70" s="3"/>
      <c r="L70" s="90">
        <f>COUNT(N70:AO70)</f>
        <v>12</v>
      </c>
      <c r="M70" s="30"/>
      <c r="N70" s="292">
        <v>1</v>
      </c>
      <c r="O70" s="86">
        <f t="shared" si="48"/>
        <v>2</v>
      </c>
      <c r="P70" s="86">
        <f t="shared" si="48"/>
        <v>3</v>
      </c>
      <c r="Q70" s="86">
        <f t="shared" si="48"/>
        <v>4</v>
      </c>
      <c r="R70" s="86">
        <f t="shared" si="48"/>
        <v>5</v>
      </c>
      <c r="S70" s="86">
        <f t="shared" si="48"/>
        <v>6</v>
      </c>
      <c r="T70" s="86">
        <f t="shared" si="48"/>
        <v>7</v>
      </c>
      <c r="U70" s="285">
        <f t="shared" si="48"/>
        <v>8</v>
      </c>
      <c r="V70" s="86">
        <f t="shared" si="48"/>
        <v>9</v>
      </c>
      <c r="W70" s="86">
        <f t="shared" si="48"/>
        <v>10</v>
      </c>
      <c r="X70" s="86">
        <f t="shared" si="48"/>
        <v>11</v>
      </c>
      <c r="Y70" s="86">
        <f t="shared" si="48"/>
        <v>12</v>
      </c>
      <c r="Z70" s="258"/>
      <c r="AA70" s="259"/>
      <c r="AB70" s="290"/>
      <c r="AC70" s="290"/>
      <c r="AD70" s="290"/>
      <c r="AE70" s="284"/>
      <c r="AF70" s="284"/>
      <c r="AG70" s="284"/>
      <c r="AH70" s="284"/>
      <c r="AI70" s="293"/>
      <c r="AJ70" s="290"/>
      <c r="AK70" s="284"/>
      <c r="AL70" s="284"/>
      <c r="AM70" s="284"/>
      <c r="AN70" s="284"/>
      <c r="AO70" s="284"/>
      <c r="AP70" s="290"/>
      <c r="AQ70" s="290"/>
      <c r="AR70" s="290"/>
      <c r="AS70" s="284"/>
      <c r="AT70" s="284"/>
      <c r="AU70" s="284"/>
      <c r="AV70" s="284"/>
      <c r="AW70" s="284"/>
      <c r="AX70" s="284"/>
      <c r="AY70" s="284"/>
      <c r="AZ70" s="284"/>
      <c r="BA70" s="284"/>
      <c r="BB70" s="284"/>
      <c r="BC70" s="295"/>
      <c r="BD70" s="292"/>
      <c r="BE70" s="290"/>
      <c r="BF70" s="290"/>
      <c r="BG70" s="284"/>
      <c r="BH70" s="284"/>
      <c r="BI70" s="284"/>
      <c r="BJ70" s="284"/>
      <c r="BK70" s="284"/>
      <c r="BL70" s="284"/>
      <c r="BM70" s="284"/>
      <c r="BN70" s="284"/>
      <c r="BO70" s="284"/>
      <c r="BP70" s="284"/>
      <c r="BQ70" s="295"/>
      <c r="BR70" s="292"/>
      <c r="BS70" s="290"/>
      <c r="BT70" s="290"/>
      <c r="BU70" s="284"/>
      <c r="BV70" s="284"/>
      <c r="BW70" s="284"/>
      <c r="BX70" s="284"/>
      <c r="BY70" s="284"/>
      <c r="BZ70" s="284"/>
      <c r="CA70" s="284"/>
      <c r="CB70" s="284"/>
      <c r="CC70" s="284"/>
      <c r="CD70" s="284"/>
      <c r="CE70" s="295"/>
    </row>
    <row r="71" spans="1:83" ht="15" hidden="1" customHeight="1" x14ac:dyDescent="0.25">
      <c r="B71" s="265">
        <f>B69</f>
        <v>8</v>
      </c>
      <c r="C71" s="265">
        <v>6</v>
      </c>
      <c r="D71" s="265" t="str">
        <f t="shared" si="0"/>
        <v>COUNTDOWN_WEST_H_1_14</v>
      </c>
      <c r="E71" s="265"/>
      <c r="F71" s="34" t="s">
        <v>33</v>
      </c>
      <c r="G71" s="3" t="s">
        <v>19</v>
      </c>
      <c r="H71" s="3">
        <v>1</v>
      </c>
      <c r="I71" s="3">
        <v>1</v>
      </c>
      <c r="J71" s="3" t="s">
        <v>9</v>
      </c>
      <c r="K71" s="32"/>
      <c r="L71" s="32"/>
      <c r="M71" s="30"/>
      <c r="N71" s="292">
        <v>14</v>
      </c>
      <c r="O71" s="290">
        <v>13</v>
      </c>
      <c r="P71" s="290">
        <v>12</v>
      </c>
      <c r="Q71" s="284">
        <v>11</v>
      </c>
      <c r="R71" s="284">
        <v>10</v>
      </c>
      <c r="S71" s="284">
        <v>9</v>
      </c>
      <c r="T71" s="284">
        <v>8</v>
      </c>
      <c r="U71" s="293">
        <v>7</v>
      </c>
      <c r="V71" s="290">
        <v>6</v>
      </c>
      <c r="W71" s="284">
        <v>5</v>
      </c>
      <c r="X71" s="284">
        <v>4</v>
      </c>
      <c r="Y71" s="284">
        <v>3</v>
      </c>
      <c r="Z71" s="284">
        <v>2</v>
      </c>
      <c r="AA71" s="295">
        <v>1</v>
      </c>
      <c r="AB71" s="290">
        <v>14</v>
      </c>
      <c r="AC71" s="290">
        <v>13</v>
      </c>
      <c r="AD71" s="290">
        <v>12</v>
      </c>
      <c r="AE71" s="284">
        <v>11</v>
      </c>
      <c r="AF71" s="284">
        <v>10</v>
      </c>
      <c r="AG71" s="284">
        <v>9</v>
      </c>
      <c r="AH71" s="284">
        <v>8</v>
      </c>
      <c r="AI71" s="293">
        <v>7</v>
      </c>
      <c r="AJ71" s="290">
        <v>6</v>
      </c>
      <c r="AK71" s="284">
        <v>5</v>
      </c>
      <c r="AL71" s="284">
        <v>4</v>
      </c>
      <c r="AM71" s="284">
        <v>3</v>
      </c>
      <c r="AN71" s="284">
        <v>2</v>
      </c>
      <c r="AO71" s="284">
        <v>1</v>
      </c>
      <c r="AP71" s="297">
        <v>14</v>
      </c>
      <c r="AQ71" s="297">
        <v>13</v>
      </c>
      <c r="AR71" s="297">
        <v>12</v>
      </c>
      <c r="AS71" s="284">
        <v>11</v>
      </c>
      <c r="AT71" s="284">
        <v>10</v>
      </c>
      <c r="AU71" s="284">
        <v>9</v>
      </c>
      <c r="AV71" s="284">
        <v>8</v>
      </c>
      <c r="AW71" s="284">
        <v>7</v>
      </c>
      <c r="AX71" s="284">
        <v>6</v>
      </c>
      <c r="AY71" s="284">
        <v>5</v>
      </c>
      <c r="AZ71" s="284">
        <v>4</v>
      </c>
      <c r="BA71" s="284">
        <v>3</v>
      </c>
      <c r="BB71" s="284">
        <v>2</v>
      </c>
      <c r="BC71" s="295">
        <v>1</v>
      </c>
      <c r="BD71" s="296">
        <v>14</v>
      </c>
      <c r="BE71" s="297">
        <v>13</v>
      </c>
      <c r="BF71" s="297">
        <v>12</v>
      </c>
      <c r="BG71" s="284">
        <v>11</v>
      </c>
      <c r="BH71" s="284">
        <v>10</v>
      </c>
      <c r="BI71" s="284">
        <v>9</v>
      </c>
      <c r="BJ71" s="284">
        <v>8</v>
      </c>
      <c r="BK71" s="284">
        <v>7</v>
      </c>
      <c r="BL71" s="284">
        <v>6</v>
      </c>
      <c r="BM71" s="284">
        <v>5</v>
      </c>
      <c r="BN71" s="284">
        <v>4</v>
      </c>
      <c r="BO71" s="284">
        <v>3</v>
      </c>
      <c r="BP71" s="284">
        <v>2</v>
      </c>
      <c r="BQ71" s="295">
        <v>1</v>
      </c>
      <c r="BR71" s="292">
        <v>14</v>
      </c>
      <c r="BS71" s="290">
        <v>13</v>
      </c>
      <c r="BT71" s="290">
        <v>12</v>
      </c>
      <c r="BU71" s="284">
        <v>11</v>
      </c>
      <c r="BV71" s="284">
        <v>10</v>
      </c>
      <c r="BW71" s="284">
        <v>9</v>
      </c>
      <c r="BX71" s="284">
        <v>8</v>
      </c>
      <c r="BY71" s="284">
        <v>7</v>
      </c>
      <c r="BZ71" s="284">
        <v>6</v>
      </c>
      <c r="CA71" s="284">
        <v>5</v>
      </c>
      <c r="CB71" s="284">
        <v>4</v>
      </c>
      <c r="CC71" s="284">
        <v>3</v>
      </c>
      <c r="CD71" s="284">
        <v>2</v>
      </c>
      <c r="CE71" s="295">
        <v>1</v>
      </c>
    </row>
    <row r="72" spans="1:83" hidden="1" x14ac:dyDescent="0.25">
      <c r="B72" s="265">
        <v>9</v>
      </c>
      <c r="C72" s="265">
        <v>1</v>
      </c>
      <c r="D72" s="265" t="str">
        <f t="shared" si="0"/>
        <v>SORTING_WEST_P_2_14</v>
      </c>
      <c r="E72" s="265" t="s">
        <v>35</v>
      </c>
      <c r="F72" s="49" t="s">
        <v>45</v>
      </c>
      <c r="G72" s="3" t="s">
        <v>19</v>
      </c>
      <c r="H72" s="3">
        <v>2</v>
      </c>
      <c r="I72" s="3">
        <v>2</v>
      </c>
      <c r="J72" s="3" t="s">
        <v>41</v>
      </c>
      <c r="K72" s="3"/>
      <c r="L72" s="90">
        <f>COUNT(V72:AO72)</f>
        <v>1</v>
      </c>
      <c r="M72" s="30"/>
      <c r="N72" s="292"/>
      <c r="O72" s="290"/>
      <c r="P72" s="290"/>
      <c r="Q72" s="284"/>
      <c r="R72" s="284"/>
      <c r="S72" s="284"/>
      <c r="T72" s="284"/>
      <c r="U72" s="293"/>
      <c r="V72" s="290">
        <v>1</v>
      </c>
      <c r="W72" s="258"/>
      <c r="X72" s="258"/>
      <c r="Y72" s="284"/>
      <c r="Z72" s="284"/>
      <c r="AA72" s="295"/>
      <c r="AB72" s="290"/>
      <c r="AC72" s="290"/>
      <c r="AD72" s="290"/>
      <c r="AE72" s="284"/>
      <c r="AF72" s="284"/>
      <c r="AG72" s="284"/>
      <c r="AH72" s="284"/>
      <c r="AI72" s="293"/>
      <c r="AJ72" s="290"/>
      <c r="AK72" s="284"/>
      <c r="AL72" s="284"/>
      <c r="AM72" s="284"/>
      <c r="AN72" s="284"/>
      <c r="AO72" s="284"/>
      <c r="AP72" s="290"/>
      <c r="AQ72" s="290"/>
      <c r="AR72" s="290"/>
      <c r="AS72" s="284"/>
      <c r="AT72" s="284"/>
      <c r="AU72" s="284"/>
      <c r="AV72" s="284"/>
      <c r="AW72" s="284"/>
      <c r="AX72" s="284"/>
      <c r="AY72" s="284"/>
      <c r="AZ72" s="284"/>
      <c r="BA72" s="284"/>
      <c r="BB72" s="284"/>
      <c r="BC72" s="295"/>
      <c r="BD72" s="292"/>
      <c r="BE72" s="290"/>
      <c r="BF72" s="290"/>
      <c r="BG72" s="284"/>
      <c r="BH72" s="284"/>
      <c r="BI72" s="284"/>
      <c r="BJ72" s="284"/>
      <c r="BK72" s="284"/>
      <c r="BL72" s="284"/>
      <c r="BM72" s="284"/>
      <c r="BN72" s="284"/>
      <c r="BO72" s="284"/>
      <c r="BP72" s="284"/>
      <c r="BQ72" s="295"/>
      <c r="BR72" s="292"/>
      <c r="BS72" s="290"/>
      <c r="BT72" s="290"/>
      <c r="BU72" s="284"/>
      <c r="BV72" s="284"/>
      <c r="BW72" s="284"/>
      <c r="BX72" s="284"/>
      <c r="BY72" s="284"/>
      <c r="BZ72" s="284"/>
      <c r="CA72" s="284"/>
      <c r="CB72" s="284"/>
      <c r="CC72" s="284"/>
      <c r="CD72" s="284"/>
      <c r="CE72" s="295"/>
    </row>
    <row r="73" spans="1:83" hidden="1" x14ac:dyDescent="0.25">
      <c r="B73" s="265">
        <v>9</v>
      </c>
      <c r="C73" s="265">
        <v>2</v>
      </c>
      <c r="D73" s="265" t="str">
        <f t="shared" si="0"/>
        <v>TRANSFER_WEST_P_2_14</v>
      </c>
      <c r="E73" s="265" t="s">
        <v>21</v>
      </c>
      <c r="F73" s="49" t="s">
        <v>21</v>
      </c>
      <c r="G73" s="3" t="s">
        <v>19</v>
      </c>
      <c r="H73" s="3">
        <v>2</v>
      </c>
      <c r="I73" s="3">
        <v>2</v>
      </c>
      <c r="J73" s="3" t="s">
        <v>41</v>
      </c>
      <c r="K73" s="3"/>
      <c r="L73" s="90">
        <f>COUNT(V73:AO73)</f>
        <v>3</v>
      </c>
      <c r="M73" s="30"/>
      <c r="N73" s="292"/>
      <c r="O73" s="290"/>
      <c r="P73" s="290"/>
      <c r="Q73" s="284"/>
      <c r="R73" s="284"/>
      <c r="S73" s="284"/>
      <c r="T73" s="284"/>
      <c r="U73" s="293"/>
      <c r="V73" s="290">
        <v>1</v>
      </c>
      <c r="W73" s="3">
        <f t="shared" ref="W73:X73" si="49">V73+1</f>
        <v>2</v>
      </c>
      <c r="X73" s="3">
        <f t="shared" si="49"/>
        <v>3</v>
      </c>
      <c r="Y73" s="258"/>
      <c r="Z73" s="258"/>
      <c r="AA73" s="295"/>
      <c r="AB73" s="290"/>
      <c r="AC73" s="290"/>
      <c r="AD73" s="290"/>
      <c r="AE73" s="284"/>
      <c r="AF73" s="284"/>
      <c r="AG73" s="284"/>
      <c r="AH73" s="284"/>
      <c r="AI73" s="293"/>
      <c r="AJ73" s="290"/>
      <c r="AK73" s="284"/>
      <c r="AL73" s="284"/>
      <c r="AM73" s="284"/>
      <c r="AN73" s="284"/>
      <c r="AO73" s="284"/>
      <c r="AP73" s="290"/>
      <c r="AQ73" s="290"/>
      <c r="AR73" s="290"/>
      <c r="AS73" s="284"/>
      <c r="AT73" s="284"/>
      <c r="AU73" s="284"/>
      <c r="AV73" s="284"/>
      <c r="AW73" s="284"/>
      <c r="AX73" s="284"/>
      <c r="AY73" s="284"/>
      <c r="AZ73" s="284"/>
      <c r="BA73" s="284"/>
      <c r="BB73" s="284"/>
      <c r="BC73" s="295"/>
      <c r="BD73" s="292"/>
      <c r="BE73" s="290"/>
      <c r="BF73" s="290"/>
      <c r="BG73" s="284"/>
      <c r="BH73" s="284"/>
      <c r="BI73" s="284"/>
      <c r="BJ73" s="284"/>
      <c r="BK73" s="284"/>
      <c r="BL73" s="284"/>
      <c r="BM73" s="284"/>
      <c r="BN73" s="284"/>
      <c r="BO73" s="284"/>
      <c r="BP73" s="284"/>
      <c r="BQ73" s="295"/>
      <c r="BR73" s="292"/>
      <c r="BS73" s="290"/>
      <c r="BT73" s="290"/>
      <c r="BU73" s="284"/>
      <c r="BV73" s="284"/>
      <c r="BW73" s="284"/>
      <c r="BX73" s="284"/>
      <c r="BY73" s="284"/>
      <c r="BZ73" s="284"/>
      <c r="CA73" s="284"/>
      <c r="CB73" s="284"/>
      <c r="CC73" s="284"/>
      <c r="CD73" s="284"/>
      <c r="CE73" s="295"/>
    </row>
    <row r="74" spans="1:83" ht="15" hidden="1" customHeight="1" x14ac:dyDescent="0.25">
      <c r="B74" s="265">
        <v>9</v>
      </c>
      <c r="C74" s="265">
        <v>3</v>
      </c>
      <c r="D74" s="265" t="str">
        <f t="shared" si="0"/>
        <v>SUPPLY_WEST_P_2_14</v>
      </c>
      <c r="E74" s="265" t="s">
        <v>0</v>
      </c>
      <c r="F74" s="34" t="s">
        <v>0</v>
      </c>
      <c r="G74" s="3" t="s">
        <v>19</v>
      </c>
      <c r="H74" s="3">
        <v>2</v>
      </c>
      <c r="I74" s="3">
        <v>2</v>
      </c>
      <c r="J74" s="3" t="s">
        <v>41</v>
      </c>
      <c r="K74" s="30"/>
      <c r="L74" s="90">
        <f>COUNT(AB74:BC74)</f>
        <v>1</v>
      </c>
      <c r="M74" s="30"/>
      <c r="N74" s="292"/>
      <c r="O74" s="290"/>
      <c r="P74" s="290"/>
      <c r="Q74" s="284"/>
      <c r="R74" s="284"/>
      <c r="S74" s="284"/>
      <c r="T74" s="284"/>
      <c r="U74" s="293"/>
      <c r="V74" s="290"/>
      <c r="W74" s="284"/>
      <c r="X74" s="284"/>
      <c r="Y74" s="284"/>
      <c r="Z74" s="284"/>
      <c r="AA74" s="295"/>
      <c r="AB74" s="290">
        <v>1</v>
      </c>
      <c r="AC74" s="299"/>
      <c r="AD74" s="299"/>
      <c r="AE74" s="258"/>
      <c r="AF74" s="258"/>
      <c r="AG74" s="258"/>
      <c r="AH74" s="258"/>
      <c r="AI74" s="300"/>
      <c r="AJ74" s="299"/>
      <c r="AK74" s="258"/>
      <c r="AL74" s="258"/>
      <c r="AM74" s="284"/>
      <c r="AN74" s="284"/>
      <c r="AO74" s="284"/>
      <c r="AP74" s="297"/>
      <c r="AQ74" s="297"/>
      <c r="AR74" s="297"/>
      <c r="AS74" s="284"/>
      <c r="AT74" s="284"/>
      <c r="AU74" s="284"/>
      <c r="AV74" s="284"/>
      <c r="AW74" s="284"/>
      <c r="AX74" s="284"/>
      <c r="AY74" s="284"/>
      <c r="AZ74" s="284"/>
      <c r="BA74" s="284"/>
      <c r="BB74" s="284"/>
      <c r="BC74" s="295"/>
      <c r="BD74" s="296"/>
      <c r="BE74" s="284"/>
      <c r="BF74" s="284"/>
      <c r="BG74" s="284"/>
      <c r="BH74" s="284"/>
      <c r="BI74" s="284"/>
      <c r="BJ74" s="284"/>
      <c r="BK74" s="284"/>
      <c r="BL74" s="284"/>
      <c r="BM74" s="284"/>
      <c r="BN74" s="284"/>
      <c r="BO74" s="284"/>
      <c r="BP74" s="284"/>
      <c r="BQ74" s="295"/>
      <c r="BR74" s="292"/>
      <c r="BS74" s="284"/>
      <c r="BT74" s="284"/>
      <c r="BU74" s="284"/>
      <c r="BV74" s="284"/>
      <c r="BW74" s="284"/>
      <c r="BX74" s="284"/>
      <c r="BY74" s="284"/>
      <c r="BZ74" s="284"/>
      <c r="CA74" s="284"/>
      <c r="CB74" s="284"/>
      <c r="CC74" s="284"/>
      <c r="CD74" s="284"/>
      <c r="CE74" s="295"/>
    </row>
    <row r="75" spans="1:83" ht="15" customHeight="1" x14ac:dyDescent="0.25">
      <c r="B75" s="265">
        <f>B74</f>
        <v>9</v>
      </c>
      <c r="C75" s="265">
        <v>4</v>
      </c>
      <c r="D75" s="265" t="str">
        <f t="shared" si="0"/>
        <v>EMPTY_WEST_P_2_14</v>
      </c>
      <c r="E75" s="265" t="s">
        <v>0</v>
      </c>
      <c r="F75" s="34" t="s">
        <v>32</v>
      </c>
      <c r="G75" s="3" t="s">
        <v>19</v>
      </c>
      <c r="H75" s="3">
        <v>2</v>
      </c>
      <c r="I75" s="3">
        <v>2</v>
      </c>
      <c r="J75" s="3" t="s">
        <v>41</v>
      </c>
      <c r="K75" s="30">
        <v>-2</v>
      </c>
      <c r="L75" s="90">
        <f>COUNT(N75:AO75)</f>
        <v>11</v>
      </c>
      <c r="M75" s="30"/>
      <c r="N75" s="292">
        <v>1</v>
      </c>
      <c r="O75" s="86">
        <f t="shared" ref="O75:Z76" si="50">N75+1</f>
        <v>2</v>
      </c>
      <c r="P75" s="86">
        <f t="shared" si="50"/>
        <v>3</v>
      </c>
      <c r="Q75" s="86">
        <f t="shared" si="50"/>
        <v>4</v>
      </c>
      <c r="R75" s="86">
        <f t="shared" si="50"/>
        <v>5</v>
      </c>
      <c r="S75" s="86">
        <f t="shared" si="50"/>
        <v>6</v>
      </c>
      <c r="T75" s="86">
        <f t="shared" si="50"/>
        <v>7</v>
      </c>
      <c r="U75" s="285">
        <f t="shared" si="50"/>
        <v>8</v>
      </c>
      <c r="V75" s="319">
        <f t="shared" si="50"/>
        <v>9</v>
      </c>
      <c r="W75" s="3">
        <f t="shared" si="50"/>
        <v>10</v>
      </c>
      <c r="X75" s="3">
        <f t="shared" si="50"/>
        <v>11</v>
      </c>
      <c r="Y75" s="256"/>
      <c r="Z75" s="258"/>
      <c r="AA75" s="293"/>
      <c r="AB75" s="328"/>
      <c r="AC75" s="284"/>
      <c r="AD75" s="284"/>
      <c r="AE75" s="284"/>
      <c r="AF75" s="284"/>
      <c r="AG75" s="284"/>
      <c r="AH75" s="284"/>
      <c r="AI75" s="293"/>
      <c r="AJ75" s="290"/>
      <c r="AK75" s="284"/>
      <c r="AL75" s="284"/>
      <c r="AM75" s="284"/>
      <c r="AN75" s="284"/>
      <c r="AO75" s="284"/>
      <c r="AP75" s="290"/>
      <c r="AQ75" s="290"/>
      <c r="AR75" s="290"/>
      <c r="AS75" s="284"/>
      <c r="AT75" s="284"/>
      <c r="AU75" s="284"/>
      <c r="AV75" s="284"/>
      <c r="AW75" s="284"/>
      <c r="AX75" s="284"/>
      <c r="AY75" s="284"/>
      <c r="AZ75" s="284"/>
      <c r="BA75" s="284"/>
      <c r="BB75" s="284"/>
      <c r="BC75" s="295"/>
      <c r="BD75" s="292"/>
      <c r="BE75" s="290"/>
      <c r="BF75" s="290"/>
      <c r="BG75" s="284"/>
      <c r="BH75" s="284"/>
      <c r="BI75" s="284"/>
      <c r="BJ75" s="284"/>
      <c r="BK75" s="284"/>
      <c r="BL75" s="284"/>
      <c r="BM75" s="284"/>
      <c r="BN75" s="284"/>
      <c r="BO75" s="284"/>
      <c r="BP75" s="284"/>
      <c r="BQ75" s="295"/>
      <c r="BR75" s="292"/>
      <c r="BS75" s="290"/>
      <c r="BT75" s="290"/>
      <c r="BU75" s="284"/>
      <c r="BV75" s="284"/>
      <c r="BW75" s="284"/>
      <c r="BX75" s="284"/>
      <c r="BY75" s="284"/>
      <c r="BZ75" s="284"/>
      <c r="CA75" s="284"/>
      <c r="CB75" s="284"/>
      <c r="CC75" s="284"/>
      <c r="CD75" s="284"/>
      <c r="CE75" s="295"/>
    </row>
    <row r="76" spans="1:83" ht="15" hidden="1" customHeight="1" x14ac:dyDescent="0.25">
      <c r="B76" s="265">
        <v>9</v>
      </c>
      <c r="C76" s="265">
        <v>5</v>
      </c>
      <c r="D76" s="265" t="str">
        <f t="shared" si="0"/>
        <v>PREPARE_WEST_P_2_14</v>
      </c>
      <c r="E76" s="265" t="s">
        <v>0</v>
      </c>
      <c r="F76" s="49" t="s">
        <v>46</v>
      </c>
      <c r="G76" s="3" t="s">
        <v>19</v>
      </c>
      <c r="H76" s="3">
        <v>2</v>
      </c>
      <c r="I76" s="3">
        <v>2</v>
      </c>
      <c r="J76" s="3" t="s">
        <v>41</v>
      </c>
      <c r="K76" s="3"/>
      <c r="L76" s="90">
        <f>COUNT(N76:AO76)</f>
        <v>13</v>
      </c>
      <c r="M76" s="30"/>
      <c r="N76" s="292">
        <v>1</v>
      </c>
      <c r="O76" s="86">
        <f t="shared" si="50"/>
        <v>2</v>
      </c>
      <c r="P76" s="86">
        <f t="shared" si="50"/>
        <v>3</v>
      </c>
      <c r="Q76" s="86">
        <f t="shared" si="50"/>
        <v>4</v>
      </c>
      <c r="R76" s="86">
        <f t="shared" si="50"/>
        <v>5</v>
      </c>
      <c r="S76" s="86">
        <f t="shared" si="50"/>
        <v>6</v>
      </c>
      <c r="T76" s="86">
        <f t="shared" si="50"/>
        <v>7</v>
      </c>
      <c r="U76" s="285">
        <f t="shared" si="50"/>
        <v>8</v>
      </c>
      <c r="V76" s="86">
        <f t="shared" si="50"/>
        <v>9</v>
      </c>
      <c r="W76" s="86">
        <f t="shared" si="50"/>
        <v>10</v>
      </c>
      <c r="X76" s="86">
        <f t="shared" si="50"/>
        <v>11</v>
      </c>
      <c r="Y76" s="86">
        <f t="shared" si="50"/>
        <v>12</v>
      </c>
      <c r="Z76" s="86">
        <f t="shared" si="50"/>
        <v>13</v>
      </c>
      <c r="AA76" s="299"/>
      <c r="AB76" s="299"/>
      <c r="AC76" s="290"/>
      <c r="AD76" s="290"/>
      <c r="AE76" s="284"/>
      <c r="AF76" s="284"/>
      <c r="AG76" s="284"/>
      <c r="AH76" s="284"/>
      <c r="AI76" s="293"/>
      <c r="AJ76" s="290"/>
      <c r="AK76" s="284"/>
      <c r="AL76" s="284"/>
      <c r="AM76" s="284"/>
      <c r="AN76" s="284"/>
      <c r="AO76" s="284"/>
      <c r="AP76" s="290"/>
      <c r="AQ76" s="290"/>
      <c r="AR76" s="290"/>
      <c r="AS76" s="284"/>
      <c r="AT76" s="284"/>
      <c r="AU76" s="284"/>
      <c r="AV76" s="284"/>
      <c r="AW76" s="284"/>
      <c r="AX76" s="284"/>
      <c r="AY76" s="284"/>
      <c r="AZ76" s="284"/>
      <c r="BA76" s="284"/>
      <c r="BB76" s="284"/>
      <c r="BC76" s="295"/>
      <c r="BD76" s="292"/>
      <c r="BE76" s="290"/>
      <c r="BF76" s="290"/>
      <c r="BG76" s="284"/>
      <c r="BH76" s="284"/>
      <c r="BI76" s="284"/>
      <c r="BJ76" s="284"/>
      <c r="BK76" s="284"/>
      <c r="BL76" s="284"/>
      <c r="BM76" s="284"/>
      <c r="BN76" s="284"/>
      <c r="BO76" s="284"/>
      <c r="BP76" s="284"/>
      <c r="BQ76" s="295"/>
      <c r="BR76" s="292"/>
      <c r="BS76" s="290"/>
      <c r="BT76" s="290"/>
      <c r="BU76" s="284"/>
      <c r="BV76" s="284"/>
      <c r="BW76" s="284"/>
      <c r="BX76" s="284"/>
      <c r="BY76" s="284"/>
      <c r="BZ76" s="284"/>
      <c r="CA76" s="284"/>
      <c r="CB76" s="284"/>
      <c r="CC76" s="284"/>
      <c r="CD76" s="284"/>
      <c r="CE76" s="295"/>
    </row>
    <row r="77" spans="1:83" ht="15" hidden="1" customHeight="1" x14ac:dyDescent="0.25">
      <c r="B77" s="265">
        <f>B75</f>
        <v>9</v>
      </c>
      <c r="C77" s="265">
        <v>6</v>
      </c>
      <c r="D77" s="265" t="str">
        <f t="shared" ref="D77:D119" si="51">F77&amp;"_"&amp;G77&amp;"_"&amp;J77&amp;"_"&amp;I77&amp;"_"&amp;$D$1</f>
        <v>COUNTDOWN_WEST_P_2_14</v>
      </c>
      <c r="E77" s="265"/>
      <c r="F77" s="34" t="s">
        <v>33</v>
      </c>
      <c r="G77" s="3" t="s">
        <v>19</v>
      </c>
      <c r="H77" s="3">
        <v>2</v>
      </c>
      <c r="I77" s="3">
        <v>2</v>
      </c>
      <c r="J77" s="3" t="s">
        <v>41</v>
      </c>
      <c r="K77" s="32"/>
      <c r="L77" s="32"/>
      <c r="M77" s="30"/>
      <c r="N77" s="292">
        <v>1</v>
      </c>
      <c r="O77" s="290">
        <v>14</v>
      </c>
      <c r="P77" s="290">
        <v>13</v>
      </c>
      <c r="Q77" s="284">
        <v>12</v>
      </c>
      <c r="R77" s="284">
        <v>11</v>
      </c>
      <c r="S77" s="284">
        <v>10</v>
      </c>
      <c r="T77" s="284">
        <v>9</v>
      </c>
      <c r="U77" s="293">
        <v>8</v>
      </c>
      <c r="V77" s="290">
        <v>7</v>
      </c>
      <c r="W77" s="284">
        <v>6</v>
      </c>
      <c r="X77" s="284">
        <v>5</v>
      </c>
      <c r="Y77" s="284">
        <v>4</v>
      </c>
      <c r="Z77" s="284">
        <v>3</v>
      </c>
      <c r="AA77" s="295">
        <v>2</v>
      </c>
      <c r="AB77" s="290">
        <v>1</v>
      </c>
      <c r="AC77" s="290">
        <v>14</v>
      </c>
      <c r="AD77" s="290">
        <v>13</v>
      </c>
      <c r="AE77" s="284">
        <v>12</v>
      </c>
      <c r="AF77" s="284">
        <v>11</v>
      </c>
      <c r="AG77" s="284">
        <v>10</v>
      </c>
      <c r="AH77" s="284">
        <v>9</v>
      </c>
      <c r="AI77" s="293">
        <v>8</v>
      </c>
      <c r="AJ77" s="290">
        <v>7</v>
      </c>
      <c r="AK77" s="284">
        <v>6</v>
      </c>
      <c r="AL77" s="284">
        <v>5</v>
      </c>
      <c r="AM77" s="284">
        <v>4</v>
      </c>
      <c r="AN77" s="284">
        <v>3</v>
      </c>
      <c r="AO77" s="284">
        <v>2</v>
      </c>
      <c r="AP77" s="297">
        <v>1</v>
      </c>
      <c r="AQ77" s="297">
        <v>14</v>
      </c>
      <c r="AR77" s="297">
        <v>13</v>
      </c>
      <c r="AS77" s="284">
        <v>12</v>
      </c>
      <c r="AT77" s="284">
        <v>11</v>
      </c>
      <c r="AU77" s="284">
        <v>10</v>
      </c>
      <c r="AV77" s="284">
        <v>9</v>
      </c>
      <c r="AW77" s="284">
        <v>8</v>
      </c>
      <c r="AX77" s="284">
        <v>7</v>
      </c>
      <c r="AY77" s="284">
        <v>6</v>
      </c>
      <c r="AZ77" s="284">
        <v>5</v>
      </c>
      <c r="BA77" s="284">
        <v>4</v>
      </c>
      <c r="BB77" s="284">
        <v>3</v>
      </c>
      <c r="BC77" s="295">
        <v>2</v>
      </c>
      <c r="BD77" s="296">
        <v>1</v>
      </c>
      <c r="BE77" s="297">
        <v>14</v>
      </c>
      <c r="BF77" s="297">
        <v>13</v>
      </c>
      <c r="BG77" s="284">
        <v>12</v>
      </c>
      <c r="BH77" s="284">
        <v>11</v>
      </c>
      <c r="BI77" s="284">
        <v>10</v>
      </c>
      <c r="BJ77" s="284">
        <v>9</v>
      </c>
      <c r="BK77" s="284">
        <v>8</v>
      </c>
      <c r="BL77" s="284">
        <v>7</v>
      </c>
      <c r="BM77" s="284">
        <v>6</v>
      </c>
      <c r="BN77" s="284">
        <v>5</v>
      </c>
      <c r="BO77" s="284">
        <v>4</v>
      </c>
      <c r="BP77" s="284">
        <v>3</v>
      </c>
      <c r="BQ77" s="295">
        <v>2</v>
      </c>
      <c r="BR77" s="292">
        <v>1</v>
      </c>
      <c r="BS77" s="290">
        <v>14</v>
      </c>
      <c r="BT77" s="290">
        <v>13</v>
      </c>
      <c r="BU77" s="284">
        <v>12</v>
      </c>
      <c r="BV77" s="284">
        <v>11</v>
      </c>
      <c r="BW77" s="284">
        <v>10</v>
      </c>
      <c r="BX77" s="284">
        <v>9</v>
      </c>
      <c r="BY77" s="284">
        <v>8</v>
      </c>
      <c r="BZ77" s="284">
        <v>7</v>
      </c>
      <c r="CA77" s="284">
        <v>6</v>
      </c>
      <c r="CB77" s="284">
        <v>5</v>
      </c>
      <c r="CC77" s="284">
        <v>4</v>
      </c>
      <c r="CD77" s="284">
        <v>3</v>
      </c>
      <c r="CE77" s="295">
        <v>2</v>
      </c>
    </row>
    <row r="78" spans="1:83" hidden="1" x14ac:dyDescent="0.25">
      <c r="A78" s="2" t="s">
        <v>8</v>
      </c>
      <c r="B78" s="265">
        <v>10</v>
      </c>
      <c r="C78" s="265">
        <v>1</v>
      </c>
      <c r="D78" s="265" t="str">
        <f t="shared" si="51"/>
        <v>SORTING_WEST_O_1_14</v>
      </c>
      <c r="E78" s="265" t="s">
        <v>35</v>
      </c>
      <c r="F78" s="49" t="s">
        <v>45</v>
      </c>
      <c r="G78" s="3" t="s">
        <v>19</v>
      </c>
      <c r="H78" s="3">
        <v>1</v>
      </c>
      <c r="I78" s="3">
        <v>1</v>
      </c>
      <c r="J78" s="3" t="s">
        <v>40</v>
      </c>
      <c r="K78" s="3"/>
      <c r="L78" s="90">
        <f>COUNT(V78:AO78)</f>
        <v>3</v>
      </c>
      <c r="M78" s="30"/>
      <c r="N78" s="292"/>
      <c r="O78" s="290"/>
      <c r="P78" s="290"/>
      <c r="Q78" s="284"/>
      <c r="R78" s="284"/>
      <c r="S78" s="284"/>
      <c r="T78" s="284"/>
      <c r="U78" s="293"/>
      <c r="V78" s="290">
        <v>1</v>
      </c>
      <c r="W78" s="33">
        <f>V78+1</f>
        <v>2</v>
      </c>
      <c r="X78" s="33">
        <f>W78+1</f>
        <v>3</v>
      </c>
      <c r="Y78" s="258"/>
      <c r="Z78" s="258"/>
      <c r="AA78" s="295"/>
      <c r="AB78" s="290"/>
      <c r="AC78" s="290"/>
      <c r="AD78" s="290"/>
      <c r="AE78" s="284"/>
      <c r="AF78" s="284"/>
      <c r="AG78" s="284"/>
      <c r="AH78" s="284"/>
      <c r="AI78" s="293"/>
      <c r="AJ78" s="290"/>
      <c r="AK78" s="284"/>
      <c r="AL78" s="284"/>
      <c r="AM78" s="284"/>
      <c r="AN78" s="284"/>
      <c r="AO78" s="284"/>
      <c r="AP78" s="290"/>
      <c r="AQ78" s="290"/>
      <c r="AR78" s="290"/>
      <c r="AS78" s="284"/>
      <c r="AT78" s="284"/>
      <c r="AU78" s="284"/>
      <c r="AV78" s="284"/>
      <c r="AW78" s="284"/>
      <c r="AX78" s="284"/>
      <c r="AY78" s="284"/>
      <c r="AZ78" s="284"/>
      <c r="BA78" s="284"/>
      <c r="BB78" s="284"/>
      <c r="BC78" s="295"/>
      <c r="BD78" s="292"/>
      <c r="BE78" s="290"/>
      <c r="BF78" s="290"/>
      <c r="BG78" s="284"/>
      <c r="BH78" s="284"/>
      <c r="BI78" s="284"/>
      <c r="BJ78" s="284"/>
      <c r="BK78" s="284"/>
      <c r="BL78" s="284"/>
      <c r="BM78" s="284"/>
      <c r="BN78" s="284"/>
      <c r="BO78" s="284"/>
      <c r="BP78" s="284"/>
      <c r="BQ78" s="295"/>
      <c r="BR78" s="292"/>
      <c r="BS78" s="290"/>
      <c r="BT78" s="290"/>
      <c r="BU78" s="284"/>
      <c r="BV78" s="284"/>
      <c r="BW78" s="284"/>
      <c r="BX78" s="284"/>
      <c r="BY78" s="284"/>
      <c r="BZ78" s="284"/>
      <c r="CA78" s="284"/>
      <c r="CB78" s="284"/>
      <c r="CC78" s="284"/>
      <c r="CD78" s="284"/>
      <c r="CE78" s="295"/>
    </row>
    <row r="79" spans="1:83" hidden="1" x14ac:dyDescent="0.25">
      <c r="A79" s="2" t="s">
        <v>8</v>
      </c>
      <c r="B79" s="265">
        <v>10</v>
      </c>
      <c r="C79" s="265">
        <v>2</v>
      </c>
      <c r="D79" s="265" t="str">
        <f t="shared" si="51"/>
        <v>TRANSFER_WEST_O_1_14</v>
      </c>
      <c r="E79" s="265" t="s">
        <v>21</v>
      </c>
      <c r="F79" s="49" t="s">
        <v>21</v>
      </c>
      <c r="G79" s="3" t="s">
        <v>19</v>
      </c>
      <c r="H79" s="3">
        <v>1</v>
      </c>
      <c r="I79" s="3">
        <v>1</v>
      </c>
      <c r="J79" s="3" t="s">
        <v>40</v>
      </c>
      <c r="K79" s="3"/>
      <c r="L79" s="90">
        <f>COUNT(V79:AO79)</f>
        <v>5</v>
      </c>
      <c r="M79" s="30"/>
      <c r="N79" s="292"/>
      <c r="O79" s="290"/>
      <c r="P79" s="290"/>
      <c r="Q79" s="284"/>
      <c r="R79" s="284"/>
      <c r="S79" s="284"/>
      <c r="T79" s="284"/>
      <c r="U79" s="293"/>
      <c r="V79" s="290">
        <v>1</v>
      </c>
      <c r="W79" s="3">
        <f t="shared" ref="W79:Z79" si="52">V79+1</f>
        <v>2</v>
      </c>
      <c r="X79" s="3">
        <f t="shared" si="52"/>
        <v>3</v>
      </c>
      <c r="Y79" s="3">
        <f t="shared" si="52"/>
        <v>4</v>
      </c>
      <c r="Z79" s="3">
        <f t="shared" si="52"/>
        <v>5</v>
      </c>
      <c r="AA79" s="259"/>
      <c r="AB79" s="299"/>
      <c r="AC79" s="290"/>
      <c r="AD79" s="290"/>
      <c r="AE79" s="284"/>
      <c r="AF79" s="284"/>
      <c r="AG79" s="284"/>
      <c r="AH79" s="284"/>
      <c r="AI79" s="293"/>
      <c r="AJ79" s="290"/>
      <c r="AK79" s="284"/>
      <c r="AL79" s="284"/>
      <c r="AM79" s="284"/>
      <c r="AN79" s="284"/>
      <c r="AO79" s="284"/>
      <c r="AP79" s="290"/>
      <c r="AQ79" s="290"/>
      <c r="AR79" s="290"/>
      <c r="AS79" s="284"/>
      <c r="AT79" s="284"/>
      <c r="AU79" s="284"/>
      <c r="AV79" s="284"/>
      <c r="AW79" s="284"/>
      <c r="AX79" s="284"/>
      <c r="AY79" s="284"/>
      <c r="AZ79" s="284"/>
      <c r="BA79" s="284"/>
      <c r="BB79" s="284"/>
      <c r="BC79" s="295"/>
      <c r="BD79" s="292"/>
      <c r="BE79" s="290"/>
      <c r="BF79" s="290"/>
      <c r="BG79" s="284"/>
      <c r="BH79" s="284"/>
      <c r="BI79" s="284"/>
      <c r="BJ79" s="284"/>
      <c r="BK79" s="284"/>
      <c r="BL79" s="284"/>
      <c r="BM79" s="284"/>
      <c r="BN79" s="284"/>
      <c r="BO79" s="284"/>
      <c r="BP79" s="284"/>
      <c r="BQ79" s="295"/>
      <c r="BR79" s="292"/>
      <c r="BS79" s="290"/>
      <c r="BT79" s="290"/>
      <c r="BU79" s="284"/>
      <c r="BV79" s="284"/>
      <c r="BW79" s="284"/>
      <c r="BX79" s="284"/>
      <c r="BY79" s="284"/>
      <c r="BZ79" s="284"/>
      <c r="CA79" s="284"/>
      <c r="CB79" s="284"/>
      <c r="CC79" s="284"/>
      <c r="CD79" s="284"/>
      <c r="CE79" s="295"/>
    </row>
    <row r="80" spans="1:83" ht="15" hidden="1" customHeight="1" x14ac:dyDescent="0.25">
      <c r="A80" s="2" t="s">
        <v>8</v>
      </c>
      <c r="B80" s="265">
        <v>10</v>
      </c>
      <c r="C80" s="265">
        <v>3</v>
      </c>
      <c r="D80" s="265" t="str">
        <f t="shared" si="51"/>
        <v>SUPPLY_WEST_O_1_14</v>
      </c>
      <c r="E80" s="265" t="s">
        <v>0</v>
      </c>
      <c r="F80" s="34" t="s">
        <v>0</v>
      </c>
      <c r="G80" s="3" t="s">
        <v>19</v>
      </c>
      <c r="H80" s="3">
        <v>1</v>
      </c>
      <c r="I80" s="3">
        <v>1</v>
      </c>
      <c r="J80" s="3" t="s">
        <v>40</v>
      </c>
      <c r="K80" s="30"/>
      <c r="L80" s="90">
        <f>COUNT(AB80:BC80)</f>
        <v>3</v>
      </c>
      <c r="M80" s="30"/>
      <c r="N80" s="292"/>
      <c r="O80" s="290"/>
      <c r="P80" s="290"/>
      <c r="Q80" s="284"/>
      <c r="R80" s="284"/>
      <c r="S80" s="284"/>
      <c r="T80" s="284"/>
      <c r="U80" s="293"/>
      <c r="V80" s="290"/>
      <c r="W80" s="284"/>
      <c r="X80" s="284"/>
      <c r="Y80" s="284"/>
      <c r="Z80" s="284"/>
      <c r="AA80" s="295"/>
      <c r="AB80" s="290">
        <v>1</v>
      </c>
      <c r="AC80" s="86">
        <f>AB80+1</f>
        <v>2</v>
      </c>
      <c r="AD80" s="86">
        <f t="shared" ref="AD80" si="53">AC80+1</f>
        <v>3</v>
      </c>
      <c r="AE80" s="258"/>
      <c r="AF80" s="258"/>
      <c r="AG80" s="258"/>
      <c r="AH80" s="258"/>
      <c r="AI80" s="300"/>
      <c r="AJ80" s="299"/>
      <c r="AK80" s="258"/>
      <c r="AL80" s="258"/>
      <c r="AM80" s="258"/>
      <c r="AN80" s="258"/>
      <c r="AO80" s="284"/>
      <c r="AP80" s="297"/>
      <c r="AQ80" s="297"/>
      <c r="AR80" s="297"/>
      <c r="AS80" s="284"/>
      <c r="AT80" s="284"/>
      <c r="AU80" s="284"/>
      <c r="AV80" s="284"/>
      <c r="AW80" s="284"/>
      <c r="AX80" s="284"/>
      <c r="AY80" s="284"/>
      <c r="AZ80" s="284"/>
      <c r="BA80" s="284"/>
      <c r="BB80" s="284"/>
      <c r="BC80" s="295"/>
      <c r="BD80" s="296"/>
      <c r="BE80" s="284"/>
      <c r="BF80" s="284"/>
      <c r="BG80" s="284"/>
      <c r="BH80" s="284"/>
      <c r="BI80" s="284"/>
      <c r="BJ80" s="284"/>
      <c r="BK80" s="284"/>
      <c r="BL80" s="284"/>
      <c r="BM80" s="284"/>
      <c r="BN80" s="284"/>
      <c r="BO80" s="284"/>
      <c r="BP80" s="284"/>
      <c r="BQ80" s="295"/>
      <c r="BR80" s="292"/>
      <c r="BS80" s="284"/>
      <c r="BT80" s="284"/>
      <c r="BU80" s="284"/>
      <c r="BV80" s="284"/>
      <c r="BW80" s="284"/>
      <c r="BX80" s="284"/>
      <c r="BY80" s="284"/>
      <c r="BZ80" s="284"/>
      <c r="CA80" s="284"/>
      <c r="CB80" s="284"/>
      <c r="CC80" s="284"/>
      <c r="CD80" s="284"/>
      <c r="CE80" s="295"/>
    </row>
    <row r="81" spans="1:83" ht="15" customHeight="1" x14ac:dyDescent="0.25">
      <c r="A81" s="286" t="s">
        <v>8</v>
      </c>
      <c r="B81" s="265">
        <f>B80</f>
        <v>10</v>
      </c>
      <c r="C81" s="265">
        <v>4</v>
      </c>
      <c r="D81" s="265" t="str">
        <f t="shared" si="51"/>
        <v>EMPTY_WEST_O_1_14</v>
      </c>
      <c r="E81" s="265" t="s">
        <v>0</v>
      </c>
      <c r="F81" s="34" t="s">
        <v>32</v>
      </c>
      <c r="G81" s="3" t="s">
        <v>19</v>
      </c>
      <c r="H81" s="3">
        <v>1</v>
      </c>
      <c r="I81" s="3">
        <v>1</v>
      </c>
      <c r="J81" s="3" t="s">
        <v>40</v>
      </c>
      <c r="K81" s="30">
        <v>0</v>
      </c>
      <c r="L81" s="90">
        <f>COUNT(N81:AO81)</f>
        <v>13</v>
      </c>
      <c r="M81" s="30"/>
      <c r="N81" s="292">
        <v>1</v>
      </c>
      <c r="O81" s="86">
        <f t="shared" ref="O81:AB82" si="54">N81+1</f>
        <v>2</v>
      </c>
      <c r="P81" s="86">
        <f t="shared" si="54"/>
        <v>3</v>
      </c>
      <c r="Q81" s="86">
        <f t="shared" si="54"/>
        <v>4</v>
      </c>
      <c r="R81" s="86">
        <f t="shared" si="54"/>
        <v>5</v>
      </c>
      <c r="S81" s="86">
        <f t="shared" si="54"/>
        <v>6</v>
      </c>
      <c r="T81" s="86">
        <f t="shared" si="54"/>
        <v>7</v>
      </c>
      <c r="U81" s="285">
        <f t="shared" si="54"/>
        <v>8</v>
      </c>
      <c r="V81" s="319">
        <f t="shared" si="54"/>
        <v>9</v>
      </c>
      <c r="W81" s="3">
        <f t="shared" si="54"/>
        <v>10</v>
      </c>
      <c r="X81" s="3">
        <f t="shared" si="54"/>
        <v>11</v>
      </c>
      <c r="Y81" s="3">
        <f t="shared" si="54"/>
        <v>12</v>
      </c>
      <c r="Z81" s="3">
        <f t="shared" si="54"/>
        <v>13</v>
      </c>
      <c r="AA81" s="341"/>
      <c r="AB81" s="299"/>
      <c r="AC81" s="284"/>
      <c r="AD81" s="284"/>
      <c r="AE81" s="284"/>
      <c r="AF81" s="284"/>
      <c r="AG81" s="284"/>
      <c r="AH81" s="284"/>
      <c r="AI81" s="293"/>
      <c r="AJ81" s="290"/>
      <c r="AK81" s="284"/>
      <c r="AL81" s="284"/>
      <c r="AM81" s="284"/>
      <c r="AN81" s="284"/>
      <c r="AO81" s="284"/>
      <c r="AP81" s="290"/>
      <c r="AQ81" s="297"/>
      <c r="AR81" s="297"/>
      <c r="AS81" s="298"/>
      <c r="AT81" s="284"/>
      <c r="AU81" s="284"/>
      <c r="AV81" s="284"/>
      <c r="AW81" s="284"/>
      <c r="AX81" s="284"/>
      <c r="AY81" s="284"/>
      <c r="AZ81" s="284"/>
      <c r="BA81" s="284"/>
      <c r="BB81" s="284"/>
      <c r="BC81" s="295"/>
      <c r="BD81" s="292"/>
      <c r="BE81" s="297"/>
      <c r="BF81" s="297"/>
      <c r="BG81" s="298"/>
      <c r="BH81" s="284"/>
      <c r="BI81" s="284"/>
      <c r="BJ81" s="284"/>
      <c r="BK81" s="284"/>
      <c r="BL81" s="284"/>
      <c r="BM81" s="284"/>
      <c r="BN81" s="284"/>
      <c r="BO81" s="284"/>
      <c r="BP81" s="284"/>
      <c r="BQ81" s="295"/>
      <c r="BR81" s="292"/>
      <c r="BS81" s="290"/>
      <c r="BT81" s="290"/>
      <c r="BU81" s="284"/>
      <c r="BV81" s="284"/>
      <c r="BW81" s="284"/>
      <c r="BX81" s="284"/>
      <c r="BY81" s="284"/>
      <c r="BZ81" s="284"/>
      <c r="CA81" s="284"/>
      <c r="CB81" s="284"/>
      <c r="CC81" s="284"/>
      <c r="CD81" s="284"/>
      <c r="CE81" s="295"/>
    </row>
    <row r="82" spans="1:83" ht="15" hidden="1" customHeight="1" x14ac:dyDescent="0.25">
      <c r="A82" s="286" t="s">
        <v>8</v>
      </c>
      <c r="B82" s="265">
        <v>10</v>
      </c>
      <c r="C82" s="265">
        <v>5</v>
      </c>
      <c r="D82" s="265" t="str">
        <f t="shared" si="51"/>
        <v>PREPARE_WEST_O_1_14</v>
      </c>
      <c r="E82" s="265" t="s">
        <v>0</v>
      </c>
      <c r="F82" s="49" t="s">
        <v>46</v>
      </c>
      <c r="G82" s="3" t="s">
        <v>19</v>
      </c>
      <c r="H82" s="3">
        <v>1</v>
      </c>
      <c r="I82" s="3">
        <v>1</v>
      </c>
      <c r="J82" s="3" t="s">
        <v>40</v>
      </c>
      <c r="K82" s="3"/>
      <c r="L82" s="90">
        <f>COUNT(N82:AO82)</f>
        <v>15</v>
      </c>
      <c r="M82" s="30"/>
      <c r="N82" s="292">
        <v>1</v>
      </c>
      <c r="O82" s="86">
        <f t="shared" si="54"/>
        <v>2</v>
      </c>
      <c r="P82" s="86">
        <f t="shared" si="54"/>
        <v>3</v>
      </c>
      <c r="Q82" s="86">
        <f t="shared" si="54"/>
        <v>4</v>
      </c>
      <c r="R82" s="86">
        <f t="shared" si="54"/>
        <v>5</v>
      </c>
      <c r="S82" s="86">
        <f t="shared" si="54"/>
        <v>6</v>
      </c>
      <c r="T82" s="86">
        <f t="shared" si="54"/>
        <v>7</v>
      </c>
      <c r="U82" s="285">
        <f t="shared" si="54"/>
        <v>8</v>
      </c>
      <c r="V82" s="86">
        <f t="shared" si="54"/>
        <v>9</v>
      </c>
      <c r="W82" s="86">
        <f t="shared" si="54"/>
        <v>10</v>
      </c>
      <c r="X82" s="86">
        <f t="shared" si="54"/>
        <v>11</v>
      </c>
      <c r="Y82" s="86">
        <f t="shared" si="54"/>
        <v>12</v>
      </c>
      <c r="Z82" s="86">
        <f t="shared" si="54"/>
        <v>13</v>
      </c>
      <c r="AA82" s="287">
        <f t="shared" si="54"/>
        <v>14</v>
      </c>
      <c r="AB82" s="287">
        <f t="shared" si="54"/>
        <v>15</v>
      </c>
      <c r="AC82" s="299"/>
      <c r="AD82" s="299"/>
      <c r="AE82" s="284"/>
      <c r="AF82" s="284"/>
      <c r="AG82" s="284"/>
      <c r="AH82" s="284"/>
      <c r="AI82" s="293"/>
      <c r="AJ82" s="290"/>
      <c r="AK82" s="284"/>
      <c r="AL82" s="284"/>
      <c r="AM82" s="284"/>
      <c r="AN82" s="284"/>
      <c r="AO82" s="284"/>
      <c r="AP82" s="290"/>
      <c r="AQ82" s="290"/>
      <c r="AR82" s="290"/>
      <c r="AS82" s="284"/>
      <c r="AT82" s="284"/>
      <c r="AU82" s="284"/>
      <c r="AV82" s="284"/>
      <c r="AW82" s="284"/>
      <c r="AX82" s="284"/>
      <c r="AY82" s="284"/>
      <c r="AZ82" s="284"/>
      <c r="BA82" s="284"/>
      <c r="BB82" s="284"/>
      <c r="BC82" s="295"/>
      <c r="BD82" s="292"/>
      <c r="BE82" s="290"/>
      <c r="BF82" s="290"/>
      <c r="BG82" s="284"/>
      <c r="BH82" s="284"/>
      <c r="BI82" s="284"/>
      <c r="BJ82" s="284"/>
      <c r="BK82" s="284"/>
      <c r="BL82" s="284"/>
      <c r="BM82" s="284"/>
      <c r="BN82" s="284"/>
      <c r="BO82" s="284"/>
      <c r="BP82" s="284"/>
      <c r="BQ82" s="295"/>
      <c r="BR82" s="292"/>
      <c r="BS82" s="290"/>
      <c r="BT82" s="290"/>
      <c r="BU82" s="284"/>
      <c r="BV82" s="284"/>
      <c r="BW82" s="284"/>
      <c r="BX82" s="284"/>
      <c r="BY82" s="284"/>
      <c r="BZ82" s="284"/>
      <c r="CA82" s="284"/>
      <c r="CB82" s="284"/>
      <c r="CC82" s="284"/>
      <c r="CD82" s="284"/>
      <c r="CE82" s="295"/>
    </row>
    <row r="83" spans="1:83" ht="15" hidden="1" customHeight="1" x14ac:dyDescent="0.25">
      <c r="A83" s="286" t="s">
        <v>8</v>
      </c>
      <c r="B83" s="265">
        <f>B81</f>
        <v>10</v>
      </c>
      <c r="C83" s="265">
        <v>6</v>
      </c>
      <c r="D83" s="265" t="str">
        <f t="shared" si="51"/>
        <v>COUNTDOWN_WEST_O_1_14</v>
      </c>
      <c r="E83" s="265"/>
      <c r="F83" s="34" t="s">
        <v>33</v>
      </c>
      <c r="G83" s="3" t="s">
        <v>19</v>
      </c>
      <c r="H83" s="3">
        <v>1</v>
      </c>
      <c r="I83" s="3">
        <v>1</v>
      </c>
      <c r="J83" s="3" t="s">
        <v>40</v>
      </c>
      <c r="K83" s="32"/>
      <c r="L83" s="32"/>
      <c r="M83" s="30"/>
      <c r="N83" s="292">
        <v>3</v>
      </c>
      <c r="O83" s="290">
        <v>2</v>
      </c>
      <c r="P83" s="290">
        <v>1</v>
      </c>
      <c r="Q83" s="284">
        <v>14</v>
      </c>
      <c r="R83" s="284">
        <v>13</v>
      </c>
      <c r="S83" s="284">
        <v>12</v>
      </c>
      <c r="T83" s="284">
        <v>11</v>
      </c>
      <c r="U83" s="293">
        <v>10</v>
      </c>
      <c r="V83" s="290">
        <v>9</v>
      </c>
      <c r="W83" s="284">
        <v>8</v>
      </c>
      <c r="X83" s="284">
        <v>7</v>
      </c>
      <c r="Y83" s="284">
        <v>6</v>
      </c>
      <c r="Z83" s="284">
        <v>5</v>
      </c>
      <c r="AA83" s="295">
        <v>4</v>
      </c>
      <c r="AB83" s="290">
        <v>3</v>
      </c>
      <c r="AC83" s="290">
        <v>2</v>
      </c>
      <c r="AD83" s="290">
        <v>1</v>
      </c>
      <c r="AE83" s="284">
        <v>14</v>
      </c>
      <c r="AF83" s="284">
        <v>13</v>
      </c>
      <c r="AG83" s="284">
        <v>12</v>
      </c>
      <c r="AH83" s="284">
        <v>11</v>
      </c>
      <c r="AI83" s="293">
        <v>10</v>
      </c>
      <c r="AJ83" s="290">
        <v>9</v>
      </c>
      <c r="AK83" s="284">
        <v>8</v>
      </c>
      <c r="AL83" s="284">
        <v>7</v>
      </c>
      <c r="AM83" s="284">
        <v>6</v>
      </c>
      <c r="AN83" s="284">
        <v>5</v>
      </c>
      <c r="AO83" s="284">
        <v>4</v>
      </c>
      <c r="AP83" s="290">
        <v>3</v>
      </c>
      <c r="AQ83" s="297">
        <v>2</v>
      </c>
      <c r="AR83" s="297">
        <v>1</v>
      </c>
      <c r="AS83" s="298">
        <v>14</v>
      </c>
      <c r="AT83" s="284">
        <v>13</v>
      </c>
      <c r="AU83" s="284">
        <v>12</v>
      </c>
      <c r="AV83" s="284">
        <v>11</v>
      </c>
      <c r="AW83" s="284">
        <v>10</v>
      </c>
      <c r="AX83" s="284">
        <v>9</v>
      </c>
      <c r="AY83" s="284">
        <v>8</v>
      </c>
      <c r="AZ83" s="284">
        <v>7</v>
      </c>
      <c r="BA83" s="284">
        <v>6</v>
      </c>
      <c r="BB83" s="284">
        <v>5</v>
      </c>
      <c r="BC83" s="295">
        <v>4</v>
      </c>
      <c r="BD83" s="292">
        <v>3</v>
      </c>
      <c r="BE83" s="297">
        <v>2</v>
      </c>
      <c r="BF83" s="297">
        <v>1</v>
      </c>
      <c r="BG83" s="298">
        <v>14</v>
      </c>
      <c r="BH83" s="284">
        <v>13</v>
      </c>
      <c r="BI83" s="284">
        <v>12</v>
      </c>
      <c r="BJ83" s="284">
        <v>11</v>
      </c>
      <c r="BK83" s="284">
        <v>10</v>
      </c>
      <c r="BL83" s="284">
        <v>9</v>
      </c>
      <c r="BM83" s="284">
        <v>8</v>
      </c>
      <c r="BN83" s="284">
        <v>7</v>
      </c>
      <c r="BO83" s="284">
        <v>6</v>
      </c>
      <c r="BP83" s="284">
        <v>5</v>
      </c>
      <c r="BQ83" s="295">
        <v>4</v>
      </c>
      <c r="BR83" s="292">
        <v>3</v>
      </c>
      <c r="BS83" s="290">
        <v>2</v>
      </c>
      <c r="BT83" s="290">
        <v>1</v>
      </c>
      <c r="BU83" s="284">
        <v>14</v>
      </c>
      <c r="BV83" s="284">
        <v>13</v>
      </c>
      <c r="BW83" s="284">
        <v>12</v>
      </c>
      <c r="BX83" s="284">
        <v>11</v>
      </c>
      <c r="BY83" s="284">
        <v>10</v>
      </c>
      <c r="BZ83" s="284">
        <v>9</v>
      </c>
      <c r="CA83" s="284">
        <v>8</v>
      </c>
      <c r="CB83" s="284">
        <v>7</v>
      </c>
      <c r="CC83" s="284">
        <v>6</v>
      </c>
      <c r="CD83" s="284">
        <v>5</v>
      </c>
      <c r="CE83" s="295">
        <v>4</v>
      </c>
    </row>
    <row r="84" spans="1:83" hidden="1" x14ac:dyDescent="0.25">
      <c r="B84" s="265">
        <v>11</v>
      </c>
      <c r="C84" s="265">
        <v>1</v>
      </c>
      <c r="D84" s="265" t="str">
        <f t="shared" si="51"/>
        <v>SORTING_WEST_L_2_14</v>
      </c>
      <c r="E84" s="265" t="s">
        <v>35</v>
      </c>
      <c r="F84" s="49" t="s">
        <v>45</v>
      </c>
      <c r="G84" s="3" t="s">
        <v>19</v>
      </c>
      <c r="H84" s="3">
        <v>2</v>
      </c>
      <c r="I84" s="3">
        <v>2</v>
      </c>
      <c r="J84" s="3" t="s">
        <v>13</v>
      </c>
      <c r="K84" s="3"/>
      <c r="L84" s="90">
        <f>COUNT(V84:AO84)</f>
        <v>5</v>
      </c>
      <c r="M84" s="30"/>
      <c r="N84" s="292"/>
      <c r="O84" s="290"/>
      <c r="P84" s="290"/>
      <c r="Q84" s="284"/>
      <c r="R84" s="284"/>
      <c r="S84" s="284"/>
      <c r="T84" s="284"/>
      <c r="U84" s="293"/>
      <c r="V84" s="290">
        <v>1</v>
      </c>
      <c r="W84" s="33">
        <f>V84+1</f>
        <v>2</v>
      </c>
      <c r="X84" s="33">
        <f>W84+1</f>
        <v>3</v>
      </c>
      <c r="Y84" s="33">
        <f t="shared" ref="Y84:AB85" si="55">X84+1</f>
        <v>4</v>
      </c>
      <c r="Z84" s="33">
        <f t="shared" si="55"/>
        <v>5</v>
      </c>
      <c r="AA84" s="259"/>
      <c r="AB84" s="299"/>
      <c r="AC84" s="290"/>
      <c r="AD84" s="290"/>
      <c r="AE84" s="284"/>
      <c r="AF84" s="284"/>
      <c r="AG84" s="284"/>
      <c r="AH84" s="284"/>
      <c r="AI84" s="293"/>
      <c r="AJ84" s="290"/>
      <c r="AK84" s="284"/>
      <c r="AL84" s="284"/>
      <c r="AM84" s="284"/>
      <c r="AN84" s="284"/>
      <c r="AO84" s="284"/>
      <c r="AP84" s="290"/>
      <c r="AQ84" s="290"/>
      <c r="AR84" s="290"/>
      <c r="AS84" s="284"/>
      <c r="AT84" s="284"/>
      <c r="AU84" s="284"/>
      <c r="AV84" s="284"/>
      <c r="AW84" s="284"/>
      <c r="AX84" s="284"/>
      <c r="AY84" s="284"/>
      <c r="AZ84" s="284"/>
      <c r="BA84" s="284"/>
      <c r="BB84" s="284"/>
      <c r="BC84" s="295"/>
      <c r="BD84" s="292"/>
      <c r="BE84" s="290"/>
      <c r="BF84" s="290"/>
      <c r="BG84" s="284"/>
      <c r="BH84" s="284"/>
      <c r="BI84" s="284"/>
      <c r="BJ84" s="284"/>
      <c r="BK84" s="284"/>
      <c r="BL84" s="284"/>
      <c r="BM84" s="284"/>
      <c r="BN84" s="284"/>
      <c r="BO84" s="284"/>
      <c r="BP84" s="284"/>
      <c r="BQ84" s="295"/>
      <c r="BR84" s="292"/>
      <c r="BS84" s="290"/>
      <c r="BT84" s="290"/>
      <c r="BU84" s="284"/>
      <c r="BV84" s="284"/>
      <c r="BW84" s="284"/>
      <c r="BX84" s="284"/>
      <c r="BY84" s="284"/>
      <c r="BZ84" s="284"/>
      <c r="CA84" s="284"/>
      <c r="CB84" s="284"/>
      <c r="CC84" s="284"/>
      <c r="CD84" s="284"/>
      <c r="CE84" s="295"/>
    </row>
    <row r="85" spans="1:83" hidden="1" x14ac:dyDescent="0.25">
      <c r="B85" s="265">
        <v>11</v>
      </c>
      <c r="C85" s="265">
        <v>2</v>
      </c>
      <c r="D85" s="265" t="str">
        <f t="shared" si="51"/>
        <v>TRANSFER_WEST_L_2_14</v>
      </c>
      <c r="E85" s="265" t="s">
        <v>21</v>
      </c>
      <c r="F85" s="49" t="s">
        <v>21</v>
      </c>
      <c r="G85" s="3" t="s">
        <v>19</v>
      </c>
      <c r="H85" s="3">
        <v>2</v>
      </c>
      <c r="I85" s="3">
        <v>2</v>
      </c>
      <c r="J85" s="3" t="s">
        <v>13</v>
      </c>
      <c r="K85" s="3"/>
      <c r="L85" s="90">
        <f>COUNT(V85:AO85)</f>
        <v>7</v>
      </c>
      <c r="M85" s="30"/>
      <c r="N85" s="292"/>
      <c r="O85" s="290"/>
      <c r="P85" s="290"/>
      <c r="Q85" s="284"/>
      <c r="R85" s="284"/>
      <c r="S85" s="284"/>
      <c r="T85" s="284"/>
      <c r="U85" s="293"/>
      <c r="V85" s="290">
        <v>1</v>
      </c>
      <c r="W85" s="3">
        <f t="shared" ref="W85:X85" si="56">V85+1</f>
        <v>2</v>
      </c>
      <c r="X85" s="3">
        <f t="shared" si="56"/>
        <v>3</v>
      </c>
      <c r="Y85" s="3">
        <f t="shared" si="55"/>
        <v>4</v>
      </c>
      <c r="Z85" s="3">
        <f t="shared" si="55"/>
        <v>5</v>
      </c>
      <c r="AA85" s="31">
        <f t="shared" si="55"/>
        <v>6</v>
      </c>
      <c r="AB85" s="86">
        <f t="shared" si="55"/>
        <v>7</v>
      </c>
      <c r="AC85" s="299"/>
      <c r="AD85" s="299"/>
      <c r="AE85" s="284"/>
      <c r="AF85" s="284"/>
      <c r="AG85" s="284"/>
      <c r="AH85" s="284"/>
      <c r="AI85" s="293"/>
      <c r="AJ85" s="290"/>
      <c r="AK85" s="284"/>
      <c r="AL85" s="284"/>
      <c r="AM85" s="284"/>
      <c r="AN85" s="284"/>
      <c r="AO85" s="284"/>
      <c r="AP85" s="290"/>
      <c r="AQ85" s="290"/>
      <c r="AR85" s="290"/>
      <c r="AS85" s="284"/>
      <c r="AT85" s="284"/>
      <c r="AU85" s="284"/>
      <c r="AV85" s="284"/>
      <c r="AW85" s="284"/>
      <c r="AX85" s="284"/>
      <c r="AY85" s="284"/>
      <c r="AZ85" s="284"/>
      <c r="BA85" s="284"/>
      <c r="BB85" s="284"/>
      <c r="BC85" s="295"/>
      <c r="BD85" s="292"/>
      <c r="BE85" s="290"/>
      <c r="BF85" s="290"/>
      <c r="BG85" s="284"/>
      <c r="BH85" s="284"/>
      <c r="BI85" s="284"/>
      <c r="BJ85" s="284"/>
      <c r="BK85" s="284"/>
      <c r="BL85" s="284"/>
      <c r="BM85" s="284"/>
      <c r="BN85" s="284"/>
      <c r="BO85" s="284"/>
      <c r="BP85" s="284"/>
      <c r="BQ85" s="295"/>
      <c r="BR85" s="292"/>
      <c r="BS85" s="290"/>
      <c r="BT85" s="290"/>
      <c r="BU85" s="284"/>
      <c r="BV85" s="284"/>
      <c r="BW85" s="284"/>
      <c r="BX85" s="284"/>
      <c r="BY85" s="284"/>
      <c r="BZ85" s="284"/>
      <c r="CA85" s="284"/>
      <c r="CB85" s="284"/>
      <c r="CC85" s="284"/>
      <c r="CD85" s="284"/>
      <c r="CE85" s="295"/>
    </row>
    <row r="86" spans="1:83" ht="15" hidden="1" customHeight="1" x14ac:dyDescent="0.25">
      <c r="B86" s="265">
        <v>11</v>
      </c>
      <c r="C86" s="265">
        <v>3</v>
      </c>
      <c r="D86" s="265" t="str">
        <f t="shared" si="51"/>
        <v>SUPPLY_WEST_L_2_14</v>
      </c>
      <c r="E86" s="265" t="s">
        <v>0</v>
      </c>
      <c r="F86" s="34" t="s">
        <v>0</v>
      </c>
      <c r="G86" s="3" t="s">
        <v>19</v>
      </c>
      <c r="H86" s="3">
        <v>2</v>
      </c>
      <c r="I86" s="3">
        <v>2</v>
      </c>
      <c r="J86" s="3" t="s">
        <v>13</v>
      </c>
      <c r="K86" s="30"/>
      <c r="L86" s="90">
        <f>COUNT(AB86:BC86)</f>
        <v>5</v>
      </c>
      <c r="M86" s="30"/>
      <c r="N86" s="292"/>
      <c r="O86" s="290"/>
      <c r="P86" s="290"/>
      <c r="Q86" s="284"/>
      <c r="R86" s="284"/>
      <c r="S86" s="284"/>
      <c r="T86" s="284"/>
      <c r="U86" s="293"/>
      <c r="V86" s="290"/>
      <c r="W86" s="284"/>
      <c r="X86" s="284"/>
      <c r="Y86" s="284"/>
      <c r="Z86" s="284"/>
      <c r="AA86" s="295"/>
      <c r="AB86" s="290">
        <v>1</v>
      </c>
      <c r="AC86" s="86">
        <f>AB86+1</f>
        <v>2</v>
      </c>
      <c r="AD86" s="86">
        <f t="shared" ref="AD86:AF86" si="57">AC86+1</f>
        <v>3</v>
      </c>
      <c r="AE86" s="86">
        <f t="shared" si="57"/>
        <v>4</v>
      </c>
      <c r="AF86" s="86">
        <f t="shared" si="57"/>
        <v>5</v>
      </c>
      <c r="AG86" s="258"/>
      <c r="AH86" s="258"/>
      <c r="AI86" s="300"/>
      <c r="AJ86" s="299"/>
      <c r="AK86" s="258"/>
      <c r="AL86" s="258"/>
      <c r="AM86" s="258"/>
      <c r="AN86" s="258"/>
      <c r="AO86" s="258"/>
      <c r="AP86" s="301"/>
      <c r="AQ86" s="290"/>
      <c r="AR86" s="297"/>
      <c r="AS86" s="284"/>
      <c r="AT86" s="284"/>
      <c r="AU86" s="284"/>
      <c r="AV86" s="284"/>
      <c r="AW86" s="284"/>
      <c r="AX86" s="284"/>
      <c r="AY86" s="284"/>
      <c r="BA86" s="284"/>
      <c r="BB86" s="284"/>
      <c r="BC86" s="295"/>
      <c r="BD86" s="296"/>
      <c r="BE86" s="284"/>
      <c r="BF86" s="284"/>
      <c r="BG86" s="284"/>
      <c r="BH86" s="284"/>
      <c r="BI86" s="284"/>
      <c r="BJ86" s="284"/>
      <c r="BK86" s="284"/>
      <c r="BL86" s="284"/>
      <c r="BM86" s="284"/>
      <c r="BN86" s="284"/>
      <c r="BO86" s="284"/>
      <c r="BP86" s="284"/>
      <c r="BQ86" s="295"/>
      <c r="BR86" s="292"/>
      <c r="BS86" s="284"/>
      <c r="BT86" s="284"/>
      <c r="BU86" s="284"/>
      <c r="BV86" s="284"/>
      <c r="BW86" s="284"/>
      <c r="BX86" s="284"/>
      <c r="BY86" s="284"/>
      <c r="BZ86" s="284"/>
      <c r="CA86" s="284"/>
      <c r="CB86" s="284"/>
      <c r="CC86" s="284"/>
      <c r="CD86" s="284"/>
      <c r="CE86" s="295"/>
    </row>
    <row r="87" spans="1:83" ht="15" customHeight="1" x14ac:dyDescent="0.25">
      <c r="B87" s="265">
        <f>B86</f>
        <v>11</v>
      </c>
      <c r="C87" s="265">
        <v>4</v>
      </c>
      <c r="D87" s="265" t="str">
        <f t="shared" si="51"/>
        <v>EMPTY_WEST_L_2_14</v>
      </c>
      <c r="E87" s="265" t="s">
        <v>0</v>
      </c>
      <c r="F87" s="34" t="s">
        <v>32</v>
      </c>
      <c r="G87" s="3" t="s">
        <v>19</v>
      </c>
      <c r="H87" s="3">
        <v>2</v>
      </c>
      <c r="I87" s="3">
        <v>2</v>
      </c>
      <c r="J87" s="3" t="s">
        <v>13</v>
      </c>
      <c r="K87" s="30">
        <v>2</v>
      </c>
      <c r="L87" s="90">
        <f>COUNT(N87:AO87)</f>
        <v>15</v>
      </c>
      <c r="M87" s="30"/>
      <c r="N87" s="292">
        <v>1</v>
      </c>
      <c r="O87" s="86">
        <f t="shared" ref="O87:AD88" si="58">N87+1</f>
        <v>2</v>
      </c>
      <c r="P87" s="86">
        <f t="shared" si="58"/>
        <v>3</v>
      </c>
      <c r="Q87" s="86">
        <f t="shared" si="58"/>
        <v>4</v>
      </c>
      <c r="R87" s="86">
        <f t="shared" si="58"/>
        <v>5</v>
      </c>
      <c r="S87" s="86">
        <f t="shared" si="58"/>
        <v>6</v>
      </c>
      <c r="T87" s="86">
        <f t="shared" si="58"/>
        <v>7</v>
      </c>
      <c r="U87" s="285">
        <f t="shared" si="58"/>
        <v>8</v>
      </c>
      <c r="V87" s="319">
        <f t="shared" si="58"/>
        <v>9</v>
      </c>
      <c r="W87" s="3">
        <f t="shared" si="58"/>
        <v>10</v>
      </c>
      <c r="X87" s="3">
        <f t="shared" si="58"/>
        <v>11</v>
      </c>
      <c r="Y87" s="3">
        <f t="shared" si="58"/>
        <v>12</v>
      </c>
      <c r="Z87" s="3">
        <f t="shared" si="58"/>
        <v>13</v>
      </c>
      <c r="AA87" s="280">
        <f t="shared" si="58"/>
        <v>14</v>
      </c>
      <c r="AB87" s="319">
        <f t="shared" si="58"/>
        <v>15</v>
      </c>
      <c r="AC87" s="256"/>
      <c r="AD87" s="258"/>
      <c r="AE87" s="284"/>
      <c r="AF87" s="284"/>
      <c r="AG87" s="284"/>
      <c r="AH87" s="284"/>
      <c r="AI87" s="293"/>
      <c r="AJ87" s="290"/>
      <c r="AK87" s="284"/>
      <c r="AL87" s="284"/>
      <c r="AM87" s="284"/>
      <c r="AN87" s="284"/>
      <c r="AO87" s="284"/>
      <c r="AP87" s="290"/>
      <c r="AQ87" s="290"/>
      <c r="AR87" s="290"/>
      <c r="AS87" s="284"/>
      <c r="AT87" s="284"/>
      <c r="AU87" s="284"/>
      <c r="AV87" s="284"/>
      <c r="AW87" s="284"/>
      <c r="AX87" s="284"/>
      <c r="AY87" s="284"/>
      <c r="AZ87" s="284"/>
      <c r="BA87" s="284"/>
      <c r="BB87" s="284"/>
      <c r="BC87" s="295"/>
      <c r="BD87" s="292"/>
      <c r="BE87" s="290"/>
      <c r="BF87" s="290"/>
      <c r="BG87" s="284"/>
      <c r="BH87" s="284"/>
      <c r="BI87" s="284"/>
      <c r="BJ87" s="284"/>
      <c r="BK87" s="284"/>
      <c r="BL87" s="284"/>
      <c r="BM87" s="284"/>
      <c r="BN87" s="284"/>
      <c r="BO87" s="284"/>
      <c r="BP87" s="284"/>
      <c r="BQ87" s="295"/>
      <c r="BR87" s="292"/>
      <c r="BS87" s="290"/>
      <c r="BT87" s="290"/>
      <c r="BU87" s="284"/>
      <c r="BV87" s="284"/>
      <c r="BW87" s="284"/>
      <c r="BX87" s="284"/>
      <c r="BY87" s="284"/>
      <c r="BZ87" s="284"/>
      <c r="CA87" s="284"/>
      <c r="CB87" s="284"/>
      <c r="CC87" s="284"/>
      <c r="CD87" s="284"/>
      <c r="CE87" s="295"/>
    </row>
    <row r="88" spans="1:83" ht="15" hidden="1" customHeight="1" x14ac:dyDescent="0.25">
      <c r="B88" s="265">
        <v>11</v>
      </c>
      <c r="C88" s="265">
        <v>5</v>
      </c>
      <c r="D88" s="265" t="str">
        <f t="shared" si="51"/>
        <v>PREPARE_WEST_L_2_14</v>
      </c>
      <c r="E88" s="265" t="s">
        <v>0</v>
      </c>
      <c r="F88" s="49" t="s">
        <v>46</v>
      </c>
      <c r="G88" s="3" t="s">
        <v>19</v>
      </c>
      <c r="H88" s="3">
        <v>2</v>
      </c>
      <c r="I88" s="3">
        <v>2</v>
      </c>
      <c r="J88" s="3" t="s">
        <v>13</v>
      </c>
      <c r="K88" s="3"/>
      <c r="L88" s="90">
        <f>COUNT(N88:AO88)</f>
        <v>17</v>
      </c>
      <c r="M88" s="30"/>
      <c r="N88" s="292">
        <v>1</v>
      </c>
      <c r="O88" s="86">
        <f t="shared" si="58"/>
        <v>2</v>
      </c>
      <c r="P88" s="86">
        <f t="shared" si="58"/>
        <v>3</v>
      </c>
      <c r="Q88" s="86">
        <f t="shared" si="58"/>
        <v>4</v>
      </c>
      <c r="R88" s="86">
        <f t="shared" si="58"/>
        <v>5</v>
      </c>
      <c r="S88" s="86">
        <f t="shared" si="58"/>
        <v>6</v>
      </c>
      <c r="T88" s="86">
        <f t="shared" si="58"/>
        <v>7</v>
      </c>
      <c r="U88" s="285">
        <f t="shared" si="58"/>
        <v>8</v>
      </c>
      <c r="V88" s="86">
        <f t="shared" si="58"/>
        <v>9</v>
      </c>
      <c r="W88" s="86">
        <f t="shared" si="58"/>
        <v>10</v>
      </c>
      <c r="X88" s="86">
        <f t="shared" si="58"/>
        <v>11</v>
      </c>
      <c r="Y88" s="86">
        <f t="shared" si="58"/>
        <v>12</v>
      </c>
      <c r="Z88" s="86">
        <f t="shared" si="58"/>
        <v>13</v>
      </c>
      <c r="AA88" s="287">
        <f t="shared" si="58"/>
        <v>14</v>
      </c>
      <c r="AB88" s="86">
        <f t="shared" si="58"/>
        <v>15</v>
      </c>
      <c r="AC88" s="86">
        <f t="shared" si="58"/>
        <v>16</v>
      </c>
      <c r="AD88" s="86">
        <f t="shared" si="58"/>
        <v>17</v>
      </c>
      <c r="AE88" s="258"/>
      <c r="AF88" s="258"/>
      <c r="AG88" s="284"/>
      <c r="AH88" s="284"/>
      <c r="AI88" s="293"/>
      <c r="AJ88" s="290"/>
      <c r="AK88" s="284"/>
      <c r="AL88" s="284"/>
      <c r="AM88" s="284"/>
      <c r="AN88" s="284"/>
      <c r="AO88" s="284"/>
      <c r="AP88" s="290"/>
      <c r="AQ88" s="290"/>
      <c r="AR88" s="290"/>
      <c r="AS88" s="284"/>
      <c r="AT88" s="284"/>
      <c r="AU88" s="284"/>
      <c r="AV88" s="284"/>
      <c r="AW88" s="284"/>
      <c r="AX88" s="284"/>
      <c r="AY88" s="284"/>
      <c r="AZ88" s="284"/>
      <c r="BA88" s="284"/>
      <c r="BB88" s="284"/>
      <c r="BC88" s="295"/>
      <c r="BD88" s="292"/>
      <c r="BE88" s="290"/>
      <c r="BF88" s="290"/>
      <c r="BG88" s="284"/>
      <c r="BH88" s="284"/>
      <c r="BI88" s="284"/>
      <c r="BJ88" s="284"/>
      <c r="BK88" s="284"/>
      <c r="BL88" s="284"/>
      <c r="BM88" s="284"/>
      <c r="BN88" s="284"/>
      <c r="BO88" s="284"/>
      <c r="BP88" s="284"/>
      <c r="BQ88" s="295"/>
      <c r="BR88" s="292"/>
      <c r="BS88" s="290"/>
      <c r="BT88" s="290"/>
      <c r="BU88" s="284"/>
      <c r="BV88" s="284"/>
      <c r="BW88" s="284"/>
      <c r="BX88" s="284"/>
      <c r="BY88" s="284"/>
      <c r="BZ88" s="284"/>
      <c r="CA88" s="284"/>
      <c r="CB88" s="284"/>
      <c r="CC88" s="284"/>
      <c r="CD88" s="284"/>
      <c r="CE88" s="295"/>
    </row>
    <row r="89" spans="1:83" ht="15" hidden="1" customHeight="1" x14ac:dyDescent="0.25">
      <c r="B89" s="265">
        <f>B87</f>
        <v>11</v>
      </c>
      <c r="C89" s="265">
        <v>6</v>
      </c>
      <c r="D89" s="265" t="str">
        <f t="shared" si="51"/>
        <v>COUNTDOWN_WEST_L_2_14</v>
      </c>
      <c r="E89" s="265"/>
      <c r="F89" s="34" t="s">
        <v>33</v>
      </c>
      <c r="G89" s="3" t="s">
        <v>19</v>
      </c>
      <c r="H89" s="3">
        <v>2</v>
      </c>
      <c r="I89" s="3">
        <v>2</v>
      </c>
      <c r="J89" s="3" t="s">
        <v>13</v>
      </c>
      <c r="K89" s="32"/>
      <c r="L89" s="32"/>
      <c r="M89" s="30"/>
      <c r="N89" s="292">
        <v>4</v>
      </c>
      <c r="O89" s="290">
        <v>3</v>
      </c>
      <c r="P89" s="290">
        <v>2</v>
      </c>
      <c r="Q89" s="284">
        <v>1</v>
      </c>
      <c r="R89" s="284">
        <v>14</v>
      </c>
      <c r="S89" s="284">
        <v>13</v>
      </c>
      <c r="T89" s="284">
        <v>12</v>
      </c>
      <c r="U89" s="293">
        <v>11</v>
      </c>
      <c r="V89" s="290">
        <v>10</v>
      </c>
      <c r="W89" s="284">
        <v>9</v>
      </c>
      <c r="X89" s="284">
        <v>8</v>
      </c>
      <c r="Y89" s="284">
        <v>7</v>
      </c>
      <c r="Z89" s="284">
        <v>6</v>
      </c>
      <c r="AA89" s="295">
        <v>5</v>
      </c>
      <c r="AB89" s="290">
        <v>4</v>
      </c>
      <c r="AC89" s="290">
        <v>3</v>
      </c>
      <c r="AD89" s="290">
        <v>2</v>
      </c>
      <c r="AE89" s="284">
        <v>1</v>
      </c>
      <c r="AF89" s="284">
        <v>14</v>
      </c>
      <c r="AG89" s="284">
        <v>13</v>
      </c>
      <c r="AH89" s="284">
        <v>12</v>
      </c>
      <c r="AI89" s="293">
        <v>11</v>
      </c>
      <c r="AJ89" s="290">
        <v>10</v>
      </c>
      <c r="AK89" s="284">
        <v>9</v>
      </c>
      <c r="AL89" s="284">
        <v>8</v>
      </c>
      <c r="AM89" s="284">
        <v>7</v>
      </c>
      <c r="AN89" s="284">
        <v>6</v>
      </c>
      <c r="AO89" s="284">
        <v>5</v>
      </c>
      <c r="AP89" s="290">
        <v>4</v>
      </c>
      <c r="AQ89" s="290">
        <v>3</v>
      </c>
      <c r="AR89" s="290">
        <v>2</v>
      </c>
      <c r="AS89" s="284">
        <v>1</v>
      </c>
      <c r="AT89" s="284">
        <v>14</v>
      </c>
      <c r="AU89" s="284">
        <v>13</v>
      </c>
      <c r="AV89" s="284">
        <v>12</v>
      </c>
      <c r="AW89" s="284">
        <v>11</v>
      </c>
      <c r="AX89" s="284">
        <v>10</v>
      </c>
      <c r="AY89" s="284">
        <v>9</v>
      </c>
      <c r="AZ89" s="284">
        <v>8</v>
      </c>
      <c r="BA89" s="284">
        <v>7</v>
      </c>
      <c r="BB89" s="284">
        <v>6</v>
      </c>
      <c r="BC89" s="295">
        <v>5</v>
      </c>
      <c r="BD89" s="292">
        <v>4</v>
      </c>
      <c r="BE89" s="290">
        <v>3</v>
      </c>
      <c r="BF89" s="290">
        <v>2</v>
      </c>
      <c r="BG89" s="284">
        <v>1</v>
      </c>
      <c r="BH89" s="284">
        <v>14</v>
      </c>
      <c r="BI89" s="284">
        <v>13</v>
      </c>
      <c r="BJ89" s="284">
        <v>12</v>
      </c>
      <c r="BK89" s="284">
        <v>11</v>
      </c>
      <c r="BL89" s="284">
        <v>10</v>
      </c>
      <c r="BM89" s="284">
        <v>9</v>
      </c>
      <c r="BN89" s="284">
        <v>8</v>
      </c>
      <c r="BO89" s="284">
        <v>7</v>
      </c>
      <c r="BP89" s="284">
        <v>6</v>
      </c>
      <c r="BQ89" s="295">
        <v>5</v>
      </c>
      <c r="BR89" s="292">
        <v>4</v>
      </c>
      <c r="BS89" s="290">
        <v>3</v>
      </c>
      <c r="BT89" s="290">
        <v>2</v>
      </c>
      <c r="BU89" s="284">
        <v>1</v>
      </c>
      <c r="BV89" s="284">
        <v>14</v>
      </c>
      <c r="BW89" s="284">
        <v>13</v>
      </c>
      <c r="BX89" s="284">
        <v>12</v>
      </c>
      <c r="BY89" s="284">
        <v>11</v>
      </c>
      <c r="BZ89" s="284">
        <v>10</v>
      </c>
      <c r="CA89" s="284">
        <v>9</v>
      </c>
      <c r="CB89" s="284">
        <v>8</v>
      </c>
      <c r="CC89" s="284">
        <v>7</v>
      </c>
      <c r="CD89" s="284">
        <v>6</v>
      </c>
      <c r="CE89" s="295">
        <v>5</v>
      </c>
    </row>
    <row r="90" spans="1:83" hidden="1" x14ac:dyDescent="0.25">
      <c r="B90" s="265">
        <v>14</v>
      </c>
      <c r="C90" s="265">
        <v>1</v>
      </c>
      <c r="D90" s="265" t="str">
        <f t="shared" si="51"/>
        <v>SORTING_WEST_N_1_14</v>
      </c>
      <c r="E90" s="265" t="s">
        <v>35</v>
      </c>
      <c r="F90" s="49" t="s">
        <v>45</v>
      </c>
      <c r="G90" s="3" t="s">
        <v>19</v>
      </c>
      <c r="H90" s="3">
        <v>1</v>
      </c>
      <c r="I90" s="3">
        <v>1</v>
      </c>
      <c r="J90" s="3" t="s">
        <v>15</v>
      </c>
      <c r="K90" s="3"/>
      <c r="L90" s="90">
        <f>COUNT(V90:AO90)</f>
        <v>7</v>
      </c>
      <c r="M90" s="30"/>
      <c r="N90" s="292"/>
      <c r="O90" s="290"/>
      <c r="P90" s="290"/>
      <c r="Q90" s="284"/>
      <c r="R90" s="284"/>
      <c r="S90" s="284"/>
      <c r="T90" s="284"/>
      <c r="U90" s="293"/>
      <c r="V90" s="290">
        <v>1</v>
      </c>
      <c r="W90" s="33">
        <f>V90+1</f>
        <v>2</v>
      </c>
      <c r="X90" s="33">
        <f>W90+1</f>
        <v>3</v>
      </c>
      <c r="Y90" s="33">
        <f t="shared" ref="Y90:AH92" si="59">X90+1</f>
        <v>4</v>
      </c>
      <c r="Z90" s="33">
        <f t="shared" si="59"/>
        <v>5</v>
      </c>
      <c r="AA90" s="35">
        <f t="shared" si="59"/>
        <v>6</v>
      </c>
      <c r="AB90" s="279">
        <f t="shared" si="59"/>
        <v>7</v>
      </c>
      <c r="AC90" s="299"/>
      <c r="AD90" s="299"/>
      <c r="AE90" s="284"/>
      <c r="AF90" s="284"/>
      <c r="AG90" s="284"/>
      <c r="AH90" s="284"/>
      <c r="AI90" s="293"/>
      <c r="AJ90" s="290"/>
      <c r="AK90" s="284"/>
      <c r="AL90" s="284"/>
      <c r="AM90" s="284"/>
      <c r="AN90" s="284"/>
      <c r="AO90" s="284"/>
      <c r="AP90" s="290"/>
      <c r="AQ90" s="290"/>
      <c r="AR90" s="290"/>
      <c r="AS90" s="284"/>
      <c r="AT90" s="284"/>
      <c r="AU90" s="284"/>
      <c r="AV90" s="284"/>
      <c r="AW90" s="284"/>
      <c r="AX90" s="284"/>
      <c r="AY90" s="284"/>
      <c r="AZ90" s="284"/>
      <c r="BA90" s="284"/>
      <c r="BB90" s="284"/>
      <c r="BC90" s="295"/>
      <c r="BD90" s="292"/>
      <c r="BE90" s="290"/>
      <c r="BF90" s="290"/>
      <c r="BG90" s="284"/>
      <c r="BH90" s="284"/>
      <c r="BI90" s="284"/>
      <c r="BJ90" s="284"/>
      <c r="BK90" s="284"/>
      <c r="BL90" s="284"/>
      <c r="BM90" s="284"/>
      <c r="BN90" s="284"/>
      <c r="BO90" s="284"/>
      <c r="BP90" s="284"/>
      <c r="BQ90" s="295"/>
      <c r="BR90" s="292"/>
      <c r="BS90" s="290"/>
      <c r="BT90" s="290"/>
      <c r="BU90" s="284"/>
      <c r="BV90" s="284"/>
      <c r="BW90" s="284"/>
      <c r="BX90" s="284"/>
      <c r="BY90" s="284"/>
      <c r="BZ90" s="284"/>
      <c r="CA90" s="284"/>
      <c r="CB90" s="284"/>
      <c r="CC90" s="284"/>
      <c r="CD90" s="284"/>
      <c r="CE90" s="295"/>
    </row>
    <row r="91" spans="1:83" hidden="1" x14ac:dyDescent="0.25">
      <c r="B91" s="265">
        <v>14</v>
      </c>
      <c r="C91" s="265">
        <v>2</v>
      </c>
      <c r="D91" s="265" t="str">
        <f t="shared" si="51"/>
        <v>TRANSFER_WEST_N_1_14</v>
      </c>
      <c r="E91" s="265" t="s">
        <v>21</v>
      </c>
      <c r="F91" s="49" t="s">
        <v>21</v>
      </c>
      <c r="G91" s="3" t="s">
        <v>19</v>
      </c>
      <c r="H91" s="3">
        <v>1</v>
      </c>
      <c r="I91" s="3">
        <v>1</v>
      </c>
      <c r="J91" s="3" t="s">
        <v>15</v>
      </c>
      <c r="K91" s="3"/>
      <c r="L91" s="90">
        <f>COUNT(V91:AO91)</f>
        <v>9</v>
      </c>
      <c r="M91" s="30"/>
      <c r="N91" s="292"/>
      <c r="O91" s="290"/>
      <c r="P91" s="290"/>
      <c r="Q91" s="284"/>
      <c r="R91" s="284"/>
      <c r="S91" s="284"/>
      <c r="T91" s="284"/>
      <c r="U91" s="293"/>
      <c r="V91" s="290">
        <v>1</v>
      </c>
      <c r="W91" s="3">
        <f t="shared" ref="W91:X91" si="60">V91+1</f>
        <v>2</v>
      </c>
      <c r="X91" s="3">
        <f t="shared" si="60"/>
        <v>3</v>
      </c>
      <c r="Y91" s="3">
        <f t="shared" si="59"/>
        <v>4</v>
      </c>
      <c r="Z91" s="3">
        <f t="shared" si="59"/>
        <v>5</v>
      </c>
      <c r="AA91" s="31">
        <f t="shared" si="59"/>
        <v>6</v>
      </c>
      <c r="AB91" s="86">
        <f t="shared" si="59"/>
        <v>7</v>
      </c>
      <c r="AC91" s="3">
        <f t="shared" si="59"/>
        <v>8</v>
      </c>
      <c r="AD91" s="3">
        <f t="shared" si="59"/>
        <v>9</v>
      </c>
      <c r="AE91" s="258"/>
      <c r="AF91" s="284"/>
      <c r="AG91" s="284"/>
      <c r="AH91" s="284"/>
      <c r="AI91" s="293"/>
      <c r="AJ91" s="290"/>
      <c r="AK91" s="284"/>
      <c r="AL91" s="284"/>
      <c r="AM91" s="284"/>
      <c r="AN91" s="284"/>
      <c r="AO91" s="284"/>
      <c r="AP91" s="290"/>
      <c r="AQ91" s="290"/>
      <c r="AR91" s="290"/>
      <c r="AS91" s="284"/>
      <c r="AT91" s="284"/>
      <c r="AU91" s="284"/>
      <c r="AV91" s="284"/>
      <c r="AW91" s="284"/>
      <c r="AX91" s="284"/>
      <c r="AY91" s="284"/>
      <c r="AZ91" s="284"/>
      <c r="BA91" s="284"/>
      <c r="BB91" s="284"/>
      <c r="BC91" s="295"/>
      <c r="BD91" s="292"/>
      <c r="BE91" s="290"/>
      <c r="BF91" s="290"/>
      <c r="BG91" s="284"/>
      <c r="BH91" s="284"/>
      <c r="BI91" s="284"/>
      <c r="BJ91" s="284"/>
      <c r="BK91" s="284"/>
      <c r="BL91" s="284"/>
      <c r="BM91" s="284"/>
      <c r="BN91" s="284"/>
      <c r="BO91" s="284"/>
      <c r="BP91" s="284"/>
      <c r="BQ91" s="295"/>
      <c r="BR91" s="292"/>
      <c r="BS91" s="290"/>
      <c r="BT91" s="290"/>
      <c r="BU91" s="284"/>
      <c r="BV91" s="284"/>
      <c r="BW91" s="284"/>
      <c r="BX91" s="284"/>
      <c r="BY91" s="284"/>
      <c r="BZ91" s="284"/>
      <c r="CA91" s="284"/>
      <c r="CB91" s="284"/>
      <c r="CC91" s="284"/>
      <c r="CD91" s="284"/>
      <c r="CE91" s="295"/>
    </row>
    <row r="92" spans="1:83" ht="15" hidden="1" customHeight="1" x14ac:dyDescent="0.25">
      <c r="B92" s="265">
        <v>14</v>
      </c>
      <c r="C92" s="265">
        <v>3</v>
      </c>
      <c r="D92" s="265" t="str">
        <f t="shared" si="51"/>
        <v>SUPPLY_WEST_N_1_14</v>
      </c>
      <c r="E92" s="265" t="s">
        <v>0</v>
      </c>
      <c r="F92" s="34" t="s">
        <v>0</v>
      </c>
      <c r="G92" s="3" t="s">
        <v>19</v>
      </c>
      <c r="H92" s="3">
        <v>1</v>
      </c>
      <c r="I92" s="3">
        <v>1</v>
      </c>
      <c r="J92" s="3" t="s">
        <v>15</v>
      </c>
      <c r="K92" s="30"/>
      <c r="L92" s="90">
        <f>COUNT(AB92:BC92)</f>
        <v>7</v>
      </c>
      <c r="M92" s="30"/>
      <c r="N92" s="292"/>
      <c r="O92" s="290"/>
      <c r="P92" s="290"/>
      <c r="Q92" s="284"/>
      <c r="R92" s="284"/>
      <c r="S92" s="284"/>
      <c r="T92" s="284"/>
      <c r="U92" s="293"/>
      <c r="V92" s="290"/>
      <c r="W92" s="284"/>
      <c r="X92" s="284"/>
      <c r="Y92" s="284"/>
      <c r="Z92" s="284"/>
      <c r="AA92" s="295"/>
      <c r="AB92" s="290">
        <v>1</v>
      </c>
      <c r="AC92" s="86">
        <f>AB92+1</f>
        <v>2</v>
      </c>
      <c r="AD92" s="86">
        <f t="shared" si="59"/>
        <v>3</v>
      </c>
      <c r="AE92" s="86">
        <f t="shared" si="59"/>
        <v>4</v>
      </c>
      <c r="AF92" s="86">
        <f t="shared" si="59"/>
        <v>5</v>
      </c>
      <c r="AG92" s="86">
        <f t="shared" si="59"/>
        <v>6</v>
      </c>
      <c r="AH92" s="86">
        <f t="shared" si="59"/>
        <v>7</v>
      </c>
      <c r="AI92" s="299"/>
      <c r="AJ92" s="299"/>
      <c r="AK92" s="258"/>
      <c r="AL92" s="258"/>
      <c r="AM92" s="258"/>
      <c r="AN92" s="258"/>
      <c r="AO92" s="258"/>
      <c r="AP92" s="301"/>
      <c r="AQ92" s="301"/>
      <c r="AR92" s="301"/>
      <c r="AS92" s="284"/>
      <c r="AT92" s="284"/>
      <c r="AU92" s="284"/>
      <c r="AV92" s="284"/>
      <c r="AW92" s="284"/>
      <c r="AX92" s="284"/>
      <c r="AY92" s="284"/>
      <c r="AZ92" s="284"/>
      <c r="BA92" s="284"/>
      <c r="BB92" s="284"/>
      <c r="BC92" s="295"/>
      <c r="BD92" s="296"/>
      <c r="BE92" s="284"/>
      <c r="BF92" s="284"/>
      <c r="BG92" s="284"/>
      <c r="BH92" s="284"/>
      <c r="BI92" s="284"/>
      <c r="BJ92" s="284"/>
      <c r="BK92" s="284"/>
      <c r="BL92" s="284"/>
      <c r="BM92" s="284"/>
      <c r="BN92" s="284"/>
      <c r="BO92" s="284"/>
      <c r="BP92" s="284"/>
      <c r="BQ92" s="295"/>
      <c r="BR92" s="292"/>
      <c r="BS92" s="284"/>
      <c r="BT92" s="284"/>
      <c r="BU92" s="284"/>
      <c r="BV92" s="284"/>
      <c r="BW92" s="284"/>
      <c r="BX92" s="284"/>
      <c r="BY92" s="284"/>
      <c r="BZ92" s="284"/>
      <c r="CA92" s="284"/>
      <c r="CB92" s="284"/>
      <c r="CC92" s="284"/>
      <c r="CD92" s="284"/>
      <c r="CE92" s="295"/>
    </row>
    <row r="93" spans="1:83" ht="15" customHeight="1" x14ac:dyDescent="0.25">
      <c r="B93" s="265">
        <f>B92</f>
        <v>14</v>
      </c>
      <c r="C93" s="265">
        <v>4</v>
      </c>
      <c r="D93" s="265" t="str">
        <f t="shared" si="51"/>
        <v>EMPTY_WEST_N_1_14</v>
      </c>
      <c r="E93" s="265" t="s">
        <v>0</v>
      </c>
      <c r="F93" s="34" t="s">
        <v>32</v>
      </c>
      <c r="G93" s="3" t="s">
        <v>19</v>
      </c>
      <c r="H93" s="3">
        <v>1</v>
      </c>
      <c r="I93" s="3">
        <v>1</v>
      </c>
      <c r="J93" s="3" t="s">
        <v>15</v>
      </c>
      <c r="K93" s="30">
        <v>4</v>
      </c>
      <c r="L93" s="90">
        <f>COUNT(N93:AO93)</f>
        <v>17</v>
      </c>
      <c r="M93" s="30"/>
      <c r="N93" s="292">
        <v>1</v>
      </c>
      <c r="O93" s="86">
        <f t="shared" ref="O93:AE94" si="61">N93+1</f>
        <v>2</v>
      </c>
      <c r="P93" s="86">
        <f t="shared" si="61"/>
        <v>3</v>
      </c>
      <c r="Q93" s="86">
        <f t="shared" si="61"/>
        <v>4</v>
      </c>
      <c r="R93" s="86">
        <f t="shared" si="61"/>
        <v>5</v>
      </c>
      <c r="S93" s="86">
        <f t="shared" si="61"/>
        <v>6</v>
      </c>
      <c r="T93" s="86">
        <f t="shared" si="61"/>
        <v>7</v>
      </c>
      <c r="U93" s="285">
        <f t="shared" si="61"/>
        <v>8</v>
      </c>
      <c r="V93" s="319">
        <f t="shared" si="61"/>
        <v>9</v>
      </c>
      <c r="W93" s="3">
        <f t="shared" si="61"/>
        <v>10</v>
      </c>
      <c r="X93" s="3">
        <f t="shared" si="61"/>
        <v>11</v>
      </c>
      <c r="Y93" s="3">
        <f t="shared" si="61"/>
        <v>12</v>
      </c>
      <c r="Z93" s="3">
        <f t="shared" si="61"/>
        <v>13</v>
      </c>
      <c r="AA93" s="280">
        <f t="shared" si="61"/>
        <v>14</v>
      </c>
      <c r="AB93" s="319">
        <f t="shared" si="61"/>
        <v>15</v>
      </c>
      <c r="AC93" s="3">
        <f t="shared" si="61"/>
        <v>16</v>
      </c>
      <c r="AD93" s="3">
        <f t="shared" si="61"/>
        <v>17</v>
      </c>
      <c r="AE93" s="256"/>
      <c r="AF93" s="258"/>
      <c r="AG93" s="284"/>
      <c r="AH93" s="284"/>
      <c r="AI93" s="293"/>
      <c r="AJ93" s="290"/>
      <c r="AK93" s="284"/>
      <c r="AL93" s="284"/>
      <c r="AM93" s="284"/>
      <c r="AN93" s="284"/>
      <c r="AO93" s="284"/>
      <c r="AP93" s="290"/>
      <c r="AQ93" s="290"/>
      <c r="AR93" s="290"/>
      <c r="AS93" s="284"/>
      <c r="AT93" s="284"/>
      <c r="AU93" s="284"/>
      <c r="AV93" s="284"/>
      <c r="AW93" s="284"/>
      <c r="AX93" s="284"/>
      <c r="AY93" s="284"/>
      <c r="AZ93" s="284"/>
      <c r="BA93" s="284"/>
      <c r="BB93" s="284"/>
      <c r="BC93" s="295"/>
      <c r="BD93" s="292"/>
      <c r="BE93" s="290"/>
      <c r="BF93" s="290"/>
      <c r="BG93" s="284"/>
      <c r="BH93" s="284"/>
      <c r="BI93" s="284"/>
      <c r="BJ93" s="284"/>
      <c r="BK93" s="284"/>
      <c r="BL93" s="284"/>
      <c r="BM93" s="284"/>
      <c r="BN93" s="284"/>
      <c r="BO93" s="284"/>
      <c r="BP93" s="284"/>
      <c r="BQ93" s="295"/>
      <c r="BR93" s="292"/>
      <c r="BS93" s="290"/>
      <c r="BT93" s="290"/>
      <c r="BU93" s="284"/>
      <c r="BV93" s="284"/>
      <c r="BW93" s="284"/>
      <c r="BX93" s="284"/>
      <c r="BY93" s="284"/>
      <c r="BZ93" s="284"/>
      <c r="CA93" s="284"/>
      <c r="CB93" s="284"/>
      <c r="CC93" s="284"/>
      <c r="CD93" s="284"/>
      <c r="CE93" s="295"/>
    </row>
    <row r="94" spans="1:83" ht="15" hidden="1" customHeight="1" x14ac:dyDescent="0.25">
      <c r="B94" s="265">
        <v>14</v>
      </c>
      <c r="C94" s="265">
        <v>5</v>
      </c>
      <c r="D94" s="265" t="str">
        <f t="shared" si="51"/>
        <v>PREPARE_WEST_N_1_14</v>
      </c>
      <c r="E94" s="265" t="s">
        <v>0</v>
      </c>
      <c r="F94" s="49" t="s">
        <v>46</v>
      </c>
      <c r="G94" s="3" t="s">
        <v>19</v>
      </c>
      <c r="H94" s="3">
        <v>1</v>
      </c>
      <c r="I94" s="3">
        <v>1</v>
      </c>
      <c r="J94" s="3" t="s">
        <v>15</v>
      </c>
      <c r="K94" s="3"/>
      <c r="L94" s="90">
        <f>COUNT(N94:AO94)</f>
        <v>19</v>
      </c>
      <c r="M94" s="30"/>
      <c r="N94" s="292">
        <v>1</v>
      </c>
      <c r="O94" s="86">
        <f t="shared" si="61"/>
        <v>2</v>
      </c>
      <c r="P94" s="86">
        <f t="shared" si="61"/>
        <v>3</v>
      </c>
      <c r="Q94" s="86">
        <f t="shared" si="61"/>
        <v>4</v>
      </c>
      <c r="R94" s="86">
        <f t="shared" si="61"/>
        <v>5</v>
      </c>
      <c r="S94" s="86">
        <f t="shared" si="61"/>
        <v>6</v>
      </c>
      <c r="T94" s="86">
        <f t="shared" si="61"/>
        <v>7</v>
      </c>
      <c r="U94" s="285">
        <f t="shared" si="61"/>
        <v>8</v>
      </c>
      <c r="V94" s="86">
        <f t="shared" si="61"/>
        <v>9</v>
      </c>
      <c r="W94" s="86">
        <f t="shared" si="61"/>
        <v>10</v>
      </c>
      <c r="X94" s="86">
        <f t="shared" si="61"/>
        <v>11</v>
      </c>
      <c r="Y94" s="86">
        <f t="shared" si="61"/>
        <v>12</v>
      </c>
      <c r="Z94" s="86">
        <f t="shared" si="61"/>
        <v>13</v>
      </c>
      <c r="AA94" s="287">
        <f t="shared" si="61"/>
        <v>14</v>
      </c>
      <c r="AB94" s="86">
        <f t="shared" si="61"/>
        <v>15</v>
      </c>
      <c r="AC94" s="86">
        <f t="shared" si="61"/>
        <v>16</v>
      </c>
      <c r="AD94" s="86">
        <f t="shared" si="61"/>
        <v>17</v>
      </c>
      <c r="AE94" s="86">
        <f t="shared" si="61"/>
        <v>18</v>
      </c>
      <c r="AF94" s="86">
        <f t="shared" ref="AF94" si="62">AE94+1</f>
        <v>19</v>
      </c>
      <c r="AG94" s="258"/>
      <c r="AH94" s="258"/>
      <c r="AI94" s="293"/>
      <c r="AJ94" s="290"/>
      <c r="AK94" s="284"/>
      <c r="AL94" s="284"/>
      <c r="AM94" s="284"/>
      <c r="AN94" s="284"/>
      <c r="AO94" s="284"/>
      <c r="AP94" s="290"/>
      <c r="AQ94" s="290"/>
      <c r="AR94" s="290"/>
      <c r="AS94" s="284"/>
      <c r="AT94" s="284"/>
      <c r="AU94" s="284"/>
      <c r="AV94" s="284"/>
      <c r="AW94" s="284"/>
      <c r="AX94" s="284"/>
      <c r="AY94" s="284"/>
      <c r="AZ94" s="284"/>
      <c r="BA94" s="284"/>
      <c r="BB94" s="284"/>
      <c r="BC94" s="295"/>
      <c r="BD94" s="292"/>
      <c r="BE94" s="290"/>
      <c r="BF94" s="290"/>
      <c r="BG94" s="284"/>
      <c r="BH94" s="284"/>
      <c r="BI94" s="284"/>
      <c r="BJ94" s="284"/>
      <c r="BK94" s="284"/>
      <c r="BL94" s="284"/>
      <c r="BM94" s="284"/>
      <c r="BN94" s="284"/>
      <c r="BO94" s="284"/>
      <c r="BP94" s="284"/>
      <c r="BQ94" s="295"/>
      <c r="BR94" s="292"/>
      <c r="BS94" s="290"/>
      <c r="BT94" s="290"/>
      <c r="BU94" s="284"/>
      <c r="BV94" s="284"/>
      <c r="BW94" s="284"/>
      <c r="BX94" s="284"/>
      <c r="BY94" s="284"/>
      <c r="BZ94" s="284"/>
      <c r="CA94" s="284"/>
      <c r="CB94" s="284"/>
      <c r="CC94" s="284"/>
      <c r="CD94" s="284"/>
      <c r="CE94" s="295"/>
    </row>
    <row r="95" spans="1:83" ht="15" hidden="1" customHeight="1" x14ac:dyDescent="0.25">
      <c r="B95" s="265">
        <f>B93</f>
        <v>14</v>
      </c>
      <c r="C95" s="265">
        <v>6</v>
      </c>
      <c r="D95" s="265" t="str">
        <f t="shared" si="51"/>
        <v>COUNTDOWN_WEST_N_1_14</v>
      </c>
      <c r="E95" s="265"/>
      <c r="F95" s="34" t="s">
        <v>33</v>
      </c>
      <c r="G95" s="3" t="s">
        <v>19</v>
      </c>
      <c r="H95" s="3">
        <v>1</v>
      </c>
      <c r="I95" s="3">
        <v>1</v>
      </c>
      <c r="J95" s="3" t="s">
        <v>15</v>
      </c>
      <c r="K95" s="32"/>
      <c r="L95" s="32"/>
      <c r="M95" s="30"/>
      <c r="N95" s="292">
        <v>7</v>
      </c>
      <c r="O95" s="290">
        <v>6</v>
      </c>
      <c r="P95" s="290">
        <v>5</v>
      </c>
      <c r="Q95" s="284">
        <v>4</v>
      </c>
      <c r="R95" s="284">
        <v>3</v>
      </c>
      <c r="S95" s="284">
        <v>2</v>
      </c>
      <c r="T95" s="284">
        <v>1</v>
      </c>
      <c r="U95" s="293">
        <v>14</v>
      </c>
      <c r="V95" s="290">
        <v>13</v>
      </c>
      <c r="W95" s="284">
        <v>12</v>
      </c>
      <c r="X95" s="284">
        <v>11</v>
      </c>
      <c r="Y95" s="284">
        <v>10</v>
      </c>
      <c r="Z95" s="284">
        <v>9</v>
      </c>
      <c r="AA95" s="295">
        <v>8</v>
      </c>
      <c r="AB95" s="290">
        <v>7</v>
      </c>
      <c r="AC95" s="290">
        <v>6</v>
      </c>
      <c r="AD95" s="290">
        <v>5</v>
      </c>
      <c r="AE95" s="284">
        <v>4</v>
      </c>
      <c r="AF95" s="284">
        <v>3</v>
      </c>
      <c r="AG95" s="284">
        <v>2</v>
      </c>
      <c r="AH95" s="284">
        <v>1</v>
      </c>
      <c r="AI95" s="293">
        <v>14</v>
      </c>
      <c r="AJ95" s="290">
        <v>13</v>
      </c>
      <c r="AK95" s="284">
        <v>12</v>
      </c>
      <c r="AL95" s="284">
        <v>11</v>
      </c>
      <c r="AM95" s="284">
        <v>10</v>
      </c>
      <c r="AN95" s="284">
        <v>9</v>
      </c>
      <c r="AO95" s="284">
        <v>8</v>
      </c>
      <c r="AP95" s="297">
        <v>7</v>
      </c>
      <c r="AQ95" s="297">
        <v>6</v>
      </c>
      <c r="AR95" s="297">
        <v>5</v>
      </c>
      <c r="AS95" s="284">
        <v>4</v>
      </c>
      <c r="AT95" s="284">
        <v>3</v>
      </c>
      <c r="AU95" s="284">
        <v>2</v>
      </c>
      <c r="AV95" s="284">
        <v>1</v>
      </c>
      <c r="AW95" s="284">
        <v>14</v>
      </c>
      <c r="AX95" s="284">
        <v>13</v>
      </c>
      <c r="AY95" s="284">
        <v>12</v>
      </c>
      <c r="AZ95" s="284">
        <v>11</v>
      </c>
      <c r="BA95" s="284">
        <v>10</v>
      </c>
      <c r="BB95" s="284">
        <v>9</v>
      </c>
      <c r="BC95" s="295">
        <v>8</v>
      </c>
      <c r="BD95" s="296">
        <v>7</v>
      </c>
      <c r="BE95" s="297">
        <v>6</v>
      </c>
      <c r="BF95" s="297">
        <v>5</v>
      </c>
      <c r="BG95" s="284">
        <v>4</v>
      </c>
      <c r="BH95" s="284">
        <v>3</v>
      </c>
      <c r="BI95" s="284">
        <v>2</v>
      </c>
      <c r="BJ95" s="284">
        <v>1</v>
      </c>
      <c r="BK95" s="284">
        <v>14</v>
      </c>
      <c r="BL95" s="284">
        <v>13</v>
      </c>
      <c r="BM95" s="284">
        <v>12</v>
      </c>
      <c r="BN95" s="284">
        <v>11</v>
      </c>
      <c r="BO95" s="284">
        <v>10</v>
      </c>
      <c r="BP95" s="284">
        <v>9</v>
      </c>
      <c r="BQ95" s="295">
        <v>8</v>
      </c>
      <c r="BR95" s="292">
        <v>7</v>
      </c>
      <c r="BS95" s="290">
        <v>6</v>
      </c>
      <c r="BT95" s="290">
        <v>5</v>
      </c>
      <c r="BU95" s="284">
        <v>4</v>
      </c>
      <c r="BV95" s="284">
        <v>3</v>
      </c>
      <c r="BW95" s="284">
        <v>2</v>
      </c>
      <c r="BX95" s="284">
        <v>1</v>
      </c>
      <c r="BY95" s="284">
        <v>14</v>
      </c>
      <c r="BZ95" s="284">
        <v>13</v>
      </c>
      <c r="CA95" s="284">
        <v>12</v>
      </c>
      <c r="CB95" s="284">
        <v>11</v>
      </c>
      <c r="CC95" s="284">
        <v>10</v>
      </c>
      <c r="CD95" s="284">
        <v>9</v>
      </c>
      <c r="CE95" s="295">
        <v>8</v>
      </c>
    </row>
    <row r="96" spans="1:83" hidden="1" x14ac:dyDescent="0.25">
      <c r="B96" s="284"/>
      <c r="C96" s="284">
        <v>1</v>
      </c>
      <c r="D96" s="265" t="str">
        <f t="shared" si="51"/>
        <v>SORTING_WEST_J_2_14</v>
      </c>
      <c r="E96" s="284" t="s">
        <v>35</v>
      </c>
      <c r="F96" s="49" t="s">
        <v>45</v>
      </c>
      <c r="G96" s="3" t="s">
        <v>19</v>
      </c>
      <c r="H96" s="3">
        <v>2</v>
      </c>
      <c r="I96" s="3">
        <v>2</v>
      </c>
      <c r="J96" s="3" t="s">
        <v>11</v>
      </c>
      <c r="K96" s="30"/>
      <c r="L96" s="90">
        <f>COUNT(V96:AO96)</f>
        <v>9</v>
      </c>
      <c r="M96" s="30"/>
      <c r="N96" s="292"/>
      <c r="O96" s="290"/>
      <c r="P96" s="290"/>
      <c r="Q96" s="284"/>
      <c r="R96" s="284"/>
      <c r="S96" s="284"/>
      <c r="T96" s="284"/>
      <c r="U96" s="293"/>
      <c r="V96" s="290">
        <v>1</v>
      </c>
      <c r="W96" s="33">
        <f>V96+1</f>
        <v>2</v>
      </c>
      <c r="X96" s="33">
        <f>W96+1</f>
        <v>3</v>
      </c>
      <c r="Y96" s="33">
        <f t="shared" ref="Y96:AJ98" si="63">X96+1</f>
        <v>4</v>
      </c>
      <c r="Z96" s="33">
        <f t="shared" si="63"/>
        <v>5</v>
      </c>
      <c r="AA96" s="35">
        <f t="shared" si="63"/>
        <v>6</v>
      </c>
      <c r="AB96" s="279">
        <f t="shared" si="63"/>
        <v>7</v>
      </c>
      <c r="AC96" s="33">
        <f t="shared" si="63"/>
        <v>8</v>
      </c>
      <c r="AD96" s="33">
        <f t="shared" si="63"/>
        <v>9</v>
      </c>
      <c r="AE96" s="258"/>
      <c r="AF96" s="284"/>
      <c r="AG96" s="284"/>
      <c r="AH96" s="284"/>
      <c r="AI96" s="293"/>
      <c r="AJ96" s="290"/>
      <c r="AK96" s="284"/>
      <c r="AL96" s="284"/>
      <c r="AM96" s="284"/>
      <c r="AN96" s="284"/>
      <c r="AO96" s="284"/>
      <c r="AP96" s="290"/>
      <c r="AQ96" s="284"/>
      <c r="AR96" s="284"/>
      <c r="AS96" s="284"/>
      <c r="AT96" s="284"/>
      <c r="AU96" s="284"/>
      <c r="AV96" s="284"/>
      <c r="AW96" s="284"/>
      <c r="AX96" s="284"/>
      <c r="AY96" s="284"/>
      <c r="AZ96" s="284"/>
      <c r="BA96" s="284"/>
      <c r="BB96" s="284"/>
      <c r="BC96" s="295"/>
      <c r="BD96" s="296"/>
      <c r="BE96" s="297"/>
      <c r="BF96" s="297"/>
      <c r="BG96" s="284"/>
      <c r="BH96" s="284"/>
      <c r="BI96" s="284"/>
      <c r="BJ96" s="284"/>
      <c r="BK96" s="284"/>
      <c r="BL96" s="284"/>
      <c r="BM96" s="284"/>
      <c r="BN96" s="284"/>
      <c r="BO96" s="284"/>
      <c r="BP96" s="284"/>
      <c r="BQ96" s="295"/>
      <c r="BR96" s="292"/>
      <c r="BS96" s="290"/>
      <c r="BT96" s="290"/>
      <c r="BU96" s="284"/>
      <c r="BV96" s="284"/>
      <c r="BW96" s="284"/>
      <c r="BX96" s="284"/>
      <c r="BY96" s="284"/>
      <c r="BZ96" s="284"/>
      <c r="CA96" s="284"/>
      <c r="CB96" s="284"/>
      <c r="CC96" s="284"/>
      <c r="CD96" s="284"/>
      <c r="CE96" s="295"/>
    </row>
    <row r="97" spans="1:83" hidden="1" x14ac:dyDescent="0.25">
      <c r="B97" s="284"/>
      <c r="C97" s="284">
        <v>2</v>
      </c>
      <c r="D97" s="265" t="str">
        <f t="shared" si="51"/>
        <v>TRANSFER_WEST_J_2_14</v>
      </c>
      <c r="E97" s="284" t="s">
        <v>21</v>
      </c>
      <c r="F97" s="34" t="s">
        <v>21</v>
      </c>
      <c r="G97" s="3" t="s">
        <v>19</v>
      </c>
      <c r="H97" s="3">
        <v>2</v>
      </c>
      <c r="I97" s="3">
        <v>2</v>
      </c>
      <c r="J97" s="3" t="s">
        <v>11</v>
      </c>
      <c r="K97" s="30"/>
      <c r="L97" s="90">
        <f>COUNT(V97:AO97)</f>
        <v>10</v>
      </c>
      <c r="M97" s="30"/>
      <c r="N97" s="292"/>
      <c r="O97" s="290"/>
      <c r="P97" s="290"/>
      <c r="Q97" s="284"/>
      <c r="R97" s="284"/>
      <c r="S97" s="284"/>
      <c r="T97" s="284"/>
      <c r="U97" s="293"/>
      <c r="V97" s="290">
        <v>1</v>
      </c>
      <c r="W97" s="3">
        <f t="shared" ref="W97:X97" si="64">V97+1</f>
        <v>2</v>
      </c>
      <c r="X97" s="3">
        <f t="shared" si="64"/>
        <v>3</v>
      </c>
      <c r="Y97" s="3">
        <f t="shared" si="63"/>
        <v>4</v>
      </c>
      <c r="Z97" s="3">
        <f t="shared" si="63"/>
        <v>5</v>
      </c>
      <c r="AA97" s="31">
        <f t="shared" si="63"/>
        <v>6</v>
      </c>
      <c r="AB97" s="86">
        <f t="shared" si="63"/>
        <v>7</v>
      </c>
      <c r="AC97" s="3">
        <f t="shared" si="63"/>
        <v>8</v>
      </c>
      <c r="AD97" s="3">
        <f t="shared" si="63"/>
        <v>9</v>
      </c>
      <c r="AE97" s="3">
        <f t="shared" si="63"/>
        <v>10</v>
      </c>
      <c r="AF97" s="258"/>
      <c r="AG97" s="284"/>
      <c r="AH97" s="284"/>
      <c r="AI97" s="293"/>
      <c r="AJ97" s="290"/>
      <c r="AK97" s="284"/>
      <c r="AL97" s="284"/>
      <c r="AM97" s="284"/>
      <c r="AN97" s="284"/>
      <c r="AO97" s="284"/>
      <c r="AP97" s="290"/>
      <c r="AQ97" s="284"/>
      <c r="AR97" s="284"/>
      <c r="AS97" s="284"/>
      <c r="AT97" s="284"/>
      <c r="AU97" s="284"/>
      <c r="AV97" s="284"/>
      <c r="AW97" s="284"/>
      <c r="AX97" s="284"/>
      <c r="AY97" s="284"/>
      <c r="AZ97" s="284"/>
      <c r="BA97" s="284"/>
      <c r="BB97" s="284"/>
      <c r="BC97" s="295"/>
      <c r="BD97" s="296"/>
      <c r="BE97" s="297"/>
      <c r="BF97" s="297"/>
      <c r="BG97" s="284"/>
      <c r="BH97" s="284"/>
      <c r="BI97" s="284"/>
      <c r="BJ97" s="284"/>
      <c r="BK97" s="284"/>
      <c r="BL97" s="284"/>
      <c r="BM97" s="284"/>
      <c r="BN97" s="284"/>
      <c r="BO97" s="284"/>
      <c r="BP97" s="284"/>
      <c r="BQ97" s="295"/>
      <c r="BR97" s="292"/>
      <c r="BS97" s="290"/>
      <c r="BT97" s="290"/>
      <c r="BU97" s="284"/>
      <c r="BV97" s="284"/>
      <c r="BW97" s="284"/>
      <c r="BX97" s="284"/>
      <c r="BY97" s="284"/>
      <c r="BZ97" s="284"/>
      <c r="CA97" s="284"/>
      <c r="CB97" s="284"/>
      <c r="CC97" s="284"/>
      <c r="CD97" s="284"/>
      <c r="CE97" s="295"/>
    </row>
    <row r="98" spans="1:83" ht="15" hidden="1" customHeight="1" x14ac:dyDescent="0.25">
      <c r="B98" s="284"/>
      <c r="C98" s="284">
        <v>3</v>
      </c>
      <c r="D98" s="265" t="str">
        <f t="shared" si="51"/>
        <v>SUPPLY_WEST_J_2_14</v>
      </c>
      <c r="E98" s="284" t="s">
        <v>0</v>
      </c>
      <c r="F98" s="34" t="s">
        <v>0</v>
      </c>
      <c r="G98" s="3" t="s">
        <v>19</v>
      </c>
      <c r="H98" s="3">
        <v>2</v>
      </c>
      <c r="I98" s="3">
        <v>2</v>
      </c>
      <c r="J98" s="3" t="s">
        <v>11</v>
      </c>
      <c r="K98" s="30"/>
      <c r="L98" s="90">
        <f>COUNT(AB98:BC98)</f>
        <v>9</v>
      </c>
      <c r="M98" s="30"/>
      <c r="N98" s="292"/>
      <c r="O98" s="290"/>
      <c r="P98" s="290"/>
      <c r="Q98" s="284"/>
      <c r="R98" s="284"/>
      <c r="S98" s="284"/>
      <c r="T98" s="284"/>
      <c r="U98" s="293"/>
      <c r="V98" s="290"/>
      <c r="W98" s="284"/>
      <c r="X98" s="284"/>
      <c r="Y98" s="284"/>
      <c r="Z98" s="284"/>
      <c r="AA98" s="295"/>
      <c r="AB98" s="290">
        <v>1</v>
      </c>
      <c r="AC98" s="86">
        <f>AB98+1</f>
        <v>2</v>
      </c>
      <c r="AD98" s="86">
        <f t="shared" si="63"/>
        <v>3</v>
      </c>
      <c r="AE98" s="86">
        <f t="shared" si="63"/>
        <v>4</v>
      </c>
      <c r="AF98" s="86">
        <f t="shared" si="63"/>
        <v>5</v>
      </c>
      <c r="AG98" s="86">
        <f t="shared" si="63"/>
        <v>6</v>
      </c>
      <c r="AH98" s="86">
        <f t="shared" si="63"/>
        <v>7</v>
      </c>
      <c r="AI98" s="285">
        <f t="shared" si="63"/>
        <v>8</v>
      </c>
      <c r="AJ98" s="86">
        <f t="shared" si="63"/>
        <v>9</v>
      </c>
      <c r="AK98" s="258"/>
      <c r="AL98" s="258"/>
      <c r="AM98" s="258"/>
      <c r="AN98" s="258"/>
      <c r="AO98" s="258"/>
      <c r="AP98" s="301"/>
      <c r="AQ98" s="301"/>
      <c r="AR98" s="301"/>
      <c r="AS98" s="258"/>
      <c r="AT98" s="258"/>
      <c r="AU98" s="284"/>
      <c r="AV98" s="284"/>
      <c r="AW98" s="284"/>
      <c r="AX98" s="284"/>
      <c r="AY98" s="284"/>
      <c r="AZ98" s="284"/>
      <c r="BA98" s="284"/>
      <c r="BB98" s="284"/>
      <c r="BC98" s="295"/>
      <c r="BD98" s="296"/>
      <c r="BE98" s="284"/>
      <c r="BF98" s="284"/>
      <c r="BG98" s="284"/>
      <c r="BH98" s="284"/>
      <c r="BI98" s="284"/>
      <c r="BJ98" s="284"/>
      <c r="BK98" s="284"/>
      <c r="BL98" s="284"/>
      <c r="BM98" s="284"/>
      <c r="BN98" s="284"/>
      <c r="BO98" s="284"/>
      <c r="BP98" s="284"/>
      <c r="BQ98" s="295"/>
      <c r="BR98" s="292"/>
      <c r="BS98" s="284"/>
      <c r="BT98" s="284"/>
      <c r="BU98" s="284"/>
      <c r="BV98" s="284"/>
      <c r="BW98" s="284"/>
      <c r="BX98" s="284"/>
      <c r="BY98" s="284"/>
      <c r="BZ98" s="284"/>
      <c r="CA98" s="284"/>
      <c r="CB98" s="284"/>
      <c r="CC98" s="284"/>
      <c r="CD98" s="284"/>
      <c r="CE98" s="295"/>
    </row>
    <row r="99" spans="1:83" ht="15" customHeight="1" x14ac:dyDescent="0.25">
      <c r="B99" s="284"/>
      <c r="C99" s="284">
        <v>4</v>
      </c>
      <c r="D99" s="265" t="str">
        <f t="shared" si="51"/>
        <v>EMPTY_WEST_J_2_14</v>
      </c>
      <c r="E99" s="284" t="s">
        <v>0</v>
      </c>
      <c r="F99" s="34" t="s">
        <v>32</v>
      </c>
      <c r="G99" s="3" t="s">
        <v>19</v>
      </c>
      <c r="H99" s="3">
        <v>2</v>
      </c>
      <c r="I99" s="3">
        <v>2</v>
      </c>
      <c r="J99" s="3" t="s">
        <v>11</v>
      </c>
      <c r="K99" s="30">
        <v>5</v>
      </c>
      <c r="L99" s="90">
        <f>COUNT(N99:AO99)</f>
        <v>19</v>
      </c>
      <c r="M99" s="30"/>
      <c r="N99" s="292">
        <v>1</v>
      </c>
      <c r="O99" s="86">
        <f t="shared" ref="O99:AG100" si="65">N99+1</f>
        <v>2</v>
      </c>
      <c r="P99" s="86">
        <f t="shared" si="65"/>
        <v>3</v>
      </c>
      <c r="Q99" s="86">
        <f t="shared" si="65"/>
        <v>4</v>
      </c>
      <c r="R99" s="86">
        <f t="shared" si="65"/>
        <v>5</v>
      </c>
      <c r="S99" s="86">
        <f t="shared" si="65"/>
        <v>6</v>
      </c>
      <c r="T99" s="86">
        <f t="shared" si="65"/>
        <v>7</v>
      </c>
      <c r="U99" s="285">
        <f t="shared" si="65"/>
        <v>8</v>
      </c>
      <c r="V99" s="319">
        <f t="shared" si="65"/>
        <v>9</v>
      </c>
      <c r="W99" s="3">
        <f t="shared" si="65"/>
        <v>10</v>
      </c>
      <c r="X99" s="3">
        <f t="shared" si="65"/>
        <v>11</v>
      </c>
      <c r="Y99" s="3">
        <f t="shared" si="65"/>
        <v>12</v>
      </c>
      <c r="Z99" s="3">
        <f t="shared" si="65"/>
        <v>13</v>
      </c>
      <c r="AA99" s="280">
        <f t="shared" si="65"/>
        <v>14</v>
      </c>
      <c r="AB99" s="319">
        <f t="shared" si="65"/>
        <v>15</v>
      </c>
      <c r="AC99" s="3">
        <f t="shared" si="65"/>
        <v>16</v>
      </c>
      <c r="AD99" s="3">
        <f t="shared" si="65"/>
        <v>17</v>
      </c>
      <c r="AE99" s="3">
        <f t="shared" si="65"/>
        <v>18</v>
      </c>
      <c r="AF99" s="3">
        <f t="shared" si="65"/>
        <v>19</v>
      </c>
      <c r="AG99" s="256"/>
      <c r="AH99" s="300"/>
      <c r="AI99" s="293"/>
      <c r="AJ99" s="290"/>
      <c r="AK99" s="284"/>
      <c r="AL99" s="284"/>
      <c r="AM99" s="284"/>
      <c r="AN99" s="284"/>
      <c r="AO99" s="284"/>
      <c r="AP99" s="297"/>
      <c r="AQ99" s="297"/>
      <c r="AR99" s="297"/>
      <c r="AS99" s="284"/>
      <c r="AT99" s="284"/>
      <c r="AU99" s="284"/>
      <c r="AV99" s="284"/>
      <c r="AW99" s="284"/>
      <c r="AX99" s="284"/>
      <c r="AY99" s="284"/>
      <c r="AZ99" s="284"/>
      <c r="BA99" s="284"/>
      <c r="BB99" s="284"/>
      <c r="BC99" s="295"/>
      <c r="BD99" s="296"/>
      <c r="BE99" s="297"/>
      <c r="BF99" s="297"/>
      <c r="BG99" s="284"/>
      <c r="BH99" s="284"/>
      <c r="BI99" s="284"/>
      <c r="BJ99" s="284"/>
      <c r="BK99" s="284"/>
      <c r="BL99" s="284"/>
      <c r="BM99" s="284"/>
      <c r="BN99" s="284"/>
      <c r="BO99" s="284"/>
      <c r="BP99" s="284"/>
      <c r="BQ99" s="295"/>
      <c r="BR99" s="292"/>
      <c r="BS99" s="290"/>
      <c r="BT99" s="290"/>
      <c r="BU99" s="284"/>
      <c r="BV99" s="284"/>
      <c r="BW99" s="284"/>
      <c r="BX99" s="284"/>
      <c r="BY99" s="284"/>
      <c r="BZ99" s="284"/>
      <c r="CA99" s="284"/>
      <c r="CB99" s="284"/>
      <c r="CC99" s="284"/>
      <c r="CD99" s="284"/>
      <c r="CE99" s="295"/>
    </row>
    <row r="100" spans="1:83" ht="15" hidden="1" customHeight="1" x14ac:dyDescent="0.25">
      <c r="B100" s="284"/>
      <c r="C100" s="284">
        <v>5</v>
      </c>
      <c r="D100" s="265" t="str">
        <f t="shared" si="51"/>
        <v>PREPARE_WEST_J_2_14</v>
      </c>
      <c r="E100" s="284" t="s">
        <v>0</v>
      </c>
      <c r="F100" s="49" t="s">
        <v>46</v>
      </c>
      <c r="G100" s="3" t="s">
        <v>19</v>
      </c>
      <c r="H100" s="3">
        <v>2</v>
      </c>
      <c r="I100" s="3">
        <v>2</v>
      </c>
      <c r="J100" s="3" t="s">
        <v>11</v>
      </c>
      <c r="K100" s="30"/>
      <c r="L100" s="90">
        <f>COUNT(N100:AO100)</f>
        <v>21</v>
      </c>
      <c r="M100" s="30"/>
      <c r="N100" s="292">
        <v>1</v>
      </c>
      <c r="O100" s="86">
        <f t="shared" si="65"/>
        <v>2</v>
      </c>
      <c r="P100" s="86">
        <f t="shared" si="65"/>
        <v>3</v>
      </c>
      <c r="Q100" s="86">
        <f t="shared" si="65"/>
        <v>4</v>
      </c>
      <c r="R100" s="86">
        <f t="shared" si="65"/>
        <v>5</v>
      </c>
      <c r="S100" s="86">
        <f t="shared" si="65"/>
        <v>6</v>
      </c>
      <c r="T100" s="86">
        <f t="shared" si="65"/>
        <v>7</v>
      </c>
      <c r="U100" s="285">
        <f t="shared" si="65"/>
        <v>8</v>
      </c>
      <c r="V100" s="86">
        <f t="shared" si="65"/>
        <v>9</v>
      </c>
      <c r="W100" s="86">
        <f t="shared" si="65"/>
        <v>10</v>
      </c>
      <c r="X100" s="86">
        <f t="shared" si="65"/>
        <v>11</v>
      </c>
      <c r="Y100" s="86">
        <f t="shared" si="65"/>
        <v>12</v>
      </c>
      <c r="Z100" s="86">
        <f t="shared" si="65"/>
        <v>13</v>
      </c>
      <c r="AA100" s="287">
        <f t="shared" si="65"/>
        <v>14</v>
      </c>
      <c r="AB100" s="86">
        <f t="shared" si="65"/>
        <v>15</v>
      </c>
      <c r="AC100" s="86">
        <f t="shared" si="65"/>
        <v>16</v>
      </c>
      <c r="AD100" s="86">
        <f t="shared" si="65"/>
        <v>17</v>
      </c>
      <c r="AE100" s="86">
        <f t="shared" si="65"/>
        <v>18</v>
      </c>
      <c r="AF100" s="86">
        <f t="shared" si="65"/>
        <v>19</v>
      </c>
      <c r="AG100" s="86">
        <f t="shared" si="65"/>
        <v>20</v>
      </c>
      <c r="AH100" s="86">
        <f>AG100+1</f>
        <v>21</v>
      </c>
      <c r="AI100" s="300"/>
      <c r="AJ100" s="300"/>
      <c r="AK100" s="284"/>
      <c r="AL100" s="284"/>
      <c r="AM100" s="284"/>
      <c r="AN100" s="284"/>
      <c r="AO100" s="284"/>
      <c r="AP100" s="297"/>
      <c r="AQ100" s="297"/>
      <c r="AR100" s="297"/>
      <c r="AS100" s="284"/>
      <c r="AT100" s="284"/>
      <c r="AU100" s="284"/>
      <c r="AV100" s="284"/>
      <c r="AW100" s="284"/>
      <c r="AX100" s="284"/>
      <c r="AY100" s="284"/>
      <c r="AZ100" s="284"/>
      <c r="BA100" s="284"/>
      <c r="BB100" s="284"/>
      <c r="BC100" s="295"/>
      <c r="BD100" s="296"/>
      <c r="BE100" s="297"/>
      <c r="BF100" s="297"/>
      <c r="BG100" s="284"/>
      <c r="BH100" s="284"/>
      <c r="BI100" s="284"/>
      <c r="BJ100" s="284"/>
      <c r="BK100" s="284"/>
      <c r="BL100" s="284"/>
      <c r="BM100" s="284"/>
      <c r="BN100" s="284"/>
      <c r="BO100" s="284"/>
      <c r="BP100" s="284"/>
      <c r="BQ100" s="295"/>
      <c r="BR100" s="292"/>
      <c r="BS100" s="290"/>
      <c r="BT100" s="290"/>
      <c r="BU100" s="284"/>
      <c r="BV100" s="284"/>
      <c r="BW100" s="284"/>
      <c r="BX100" s="284"/>
      <c r="BY100" s="284"/>
      <c r="BZ100" s="284"/>
      <c r="CA100" s="284"/>
      <c r="CB100" s="284"/>
      <c r="CC100" s="284"/>
      <c r="CD100" s="284"/>
      <c r="CE100" s="295"/>
    </row>
    <row r="101" spans="1:83" ht="15" hidden="1" customHeight="1" x14ac:dyDescent="0.25">
      <c r="B101" s="284"/>
      <c r="C101" s="284">
        <v>6</v>
      </c>
      <c r="D101" s="265" t="str">
        <f t="shared" si="51"/>
        <v>COUNTDOWN_WEST_J_2_14</v>
      </c>
      <c r="E101" s="284"/>
      <c r="F101" s="34" t="s">
        <v>33</v>
      </c>
      <c r="G101" s="3" t="s">
        <v>19</v>
      </c>
      <c r="H101" s="3">
        <v>2</v>
      </c>
      <c r="I101" s="3">
        <v>2</v>
      </c>
      <c r="J101" s="3" t="s">
        <v>11</v>
      </c>
      <c r="K101" s="302"/>
      <c r="L101" s="302"/>
      <c r="M101" s="30"/>
      <c r="N101" s="292">
        <v>8</v>
      </c>
      <c r="O101" s="290">
        <v>7</v>
      </c>
      <c r="P101" s="290">
        <v>6</v>
      </c>
      <c r="Q101" s="284">
        <v>5</v>
      </c>
      <c r="R101" s="284">
        <v>4</v>
      </c>
      <c r="S101" s="284">
        <v>3</v>
      </c>
      <c r="T101" s="284">
        <v>2</v>
      </c>
      <c r="U101" s="293">
        <v>1</v>
      </c>
      <c r="V101" s="290">
        <v>14</v>
      </c>
      <c r="W101" s="284">
        <v>13</v>
      </c>
      <c r="X101" s="284">
        <v>12</v>
      </c>
      <c r="Y101" s="284">
        <v>11</v>
      </c>
      <c r="Z101" s="284">
        <v>10</v>
      </c>
      <c r="AA101" s="295">
        <v>9</v>
      </c>
      <c r="AB101" s="290">
        <v>8</v>
      </c>
      <c r="AC101" s="290">
        <v>7</v>
      </c>
      <c r="AD101" s="290">
        <v>6</v>
      </c>
      <c r="AE101" s="284">
        <v>5</v>
      </c>
      <c r="AF101" s="284">
        <v>4</v>
      </c>
      <c r="AG101" s="284">
        <v>3</v>
      </c>
      <c r="AH101" s="284">
        <v>2</v>
      </c>
      <c r="AI101" s="293">
        <v>1</v>
      </c>
      <c r="AJ101" s="290">
        <v>14</v>
      </c>
      <c r="AK101" s="284">
        <v>13</v>
      </c>
      <c r="AL101" s="284">
        <v>12</v>
      </c>
      <c r="AM101" s="284">
        <v>11</v>
      </c>
      <c r="AN101" s="284">
        <v>10</v>
      </c>
      <c r="AO101" s="284">
        <v>9</v>
      </c>
      <c r="AP101" s="297">
        <v>8</v>
      </c>
      <c r="AQ101" s="297">
        <v>7</v>
      </c>
      <c r="AR101" s="297">
        <v>6</v>
      </c>
      <c r="AS101" s="284">
        <v>5</v>
      </c>
      <c r="AT101" s="284">
        <v>4</v>
      </c>
      <c r="AU101" s="284">
        <v>3</v>
      </c>
      <c r="AV101" s="284">
        <v>2</v>
      </c>
      <c r="AW101" s="284">
        <v>1</v>
      </c>
      <c r="AX101" s="284">
        <v>14</v>
      </c>
      <c r="AY101" s="284">
        <v>13</v>
      </c>
      <c r="AZ101" s="284">
        <v>12</v>
      </c>
      <c r="BA101" s="284">
        <v>11</v>
      </c>
      <c r="BB101" s="284">
        <v>10</v>
      </c>
      <c r="BC101" s="295">
        <v>9</v>
      </c>
      <c r="BD101" s="296">
        <v>8</v>
      </c>
      <c r="BE101" s="297">
        <v>7</v>
      </c>
      <c r="BF101" s="297">
        <v>6</v>
      </c>
      <c r="BG101" s="284">
        <v>5</v>
      </c>
      <c r="BH101" s="284">
        <v>4</v>
      </c>
      <c r="BI101" s="284">
        <v>3</v>
      </c>
      <c r="BJ101" s="284">
        <v>2</v>
      </c>
      <c r="BK101" s="284">
        <v>1</v>
      </c>
      <c r="BL101" s="284">
        <v>14</v>
      </c>
      <c r="BM101" s="284">
        <v>13</v>
      </c>
      <c r="BN101" s="284">
        <v>12</v>
      </c>
      <c r="BO101" s="284">
        <v>11</v>
      </c>
      <c r="BP101" s="284">
        <v>10</v>
      </c>
      <c r="BQ101" s="295">
        <v>9</v>
      </c>
      <c r="BR101" s="292">
        <v>8</v>
      </c>
      <c r="BS101" s="290">
        <v>7</v>
      </c>
      <c r="BT101" s="290">
        <v>6</v>
      </c>
      <c r="BU101" s="284">
        <v>5</v>
      </c>
      <c r="BV101" s="284">
        <v>4</v>
      </c>
      <c r="BW101" s="284">
        <v>3</v>
      </c>
      <c r="BX101" s="284">
        <v>2</v>
      </c>
      <c r="BY101" s="284">
        <v>1</v>
      </c>
      <c r="BZ101" s="284">
        <v>14</v>
      </c>
      <c r="CA101" s="284">
        <v>13</v>
      </c>
      <c r="CB101" s="284">
        <v>12</v>
      </c>
      <c r="CC101" s="284">
        <v>11</v>
      </c>
      <c r="CD101" s="284">
        <v>10</v>
      </c>
      <c r="CE101" s="295">
        <v>9</v>
      </c>
    </row>
    <row r="102" spans="1:83" ht="15" hidden="1" customHeight="1" x14ac:dyDescent="0.25">
      <c r="B102" s="284"/>
      <c r="C102" s="284">
        <v>1</v>
      </c>
      <c r="D102" s="265" t="str">
        <f t="shared" si="51"/>
        <v>SORTING_WEST_Q_1_14</v>
      </c>
      <c r="E102" s="284" t="s">
        <v>35</v>
      </c>
      <c r="F102" s="49" t="s">
        <v>45</v>
      </c>
      <c r="G102" s="3" t="s">
        <v>19</v>
      </c>
      <c r="H102" s="3">
        <v>1</v>
      </c>
      <c r="I102" s="3">
        <v>1</v>
      </c>
      <c r="J102" s="3" t="s">
        <v>59</v>
      </c>
      <c r="K102" s="30"/>
      <c r="L102" s="90">
        <f>COUNT(V102:AO102)</f>
        <v>10</v>
      </c>
      <c r="M102" s="30"/>
      <c r="N102" s="292"/>
      <c r="O102" s="290"/>
      <c r="P102" s="290"/>
      <c r="Q102" s="284"/>
      <c r="R102" s="284"/>
      <c r="S102" s="284"/>
      <c r="T102" s="284"/>
      <c r="U102" s="293"/>
      <c r="V102" s="290">
        <v>1</v>
      </c>
      <c r="W102" s="33">
        <f>V102+1</f>
        <v>2</v>
      </c>
      <c r="X102" s="33">
        <f>W102+1</f>
        <v>3</v>
      </c>
      <c r="Y102" s="33">
        <f t="shared" ref="Y102:AI106" si="66">X102+1</f>
        <v>4</v>
      </c>
      <c r="Z102" s="33">
        <f t="shared" si="66"/>
        <v>5</v>
      </c>
      <c r="AA102" s="35">
        <f t="shared" si="66"/>
        <v>6</v>
      </c>
      <c r="AB102" s="279">
        <f t="shared" si="66"/>
        <v>7</v>
      </c>
      <c r="AC102" s="33">
        <f t="shared" si="66"/>
        <v>8</v>
      </c>
      <c r="AD102" s="33">
        <f t="shared" si="66"/>
        <v>9</v>
      </c>
      <c r="AE102" s="33">
        <f t="shared" si="66"/>
        <v>10</v>
      </c>
      <c r="AF102" s="258"/>
      <c r="AG102" s="284"/>
      <c r="AH102" s="284"/>
      <c r="AI102" s="293"/>
      <c r="AJ102" s="290"/>
      <c r="AK102" s="284"/>
      <c r="AL102" s="284"/>
      <c r="AM102" s="284"/>
      <c r="AN102" s="284"/>
      <c r="AO102" s="284"/>
      <c r="AP102" s="290"/>
      <c r="AQ102" s="284"/>
      <c r="AR102" s="284"/>
      <c r="AS102" s="284"/>
      <c r="AT102" s="284"/>
      <c r="AU102" s="284"/>
      <c r="AV102" s="284"/>
      <c r="AW102" s="284"/>
      <c r="AX102" s="284"/>
      <c r="AY102" s="284"/>
      <c r="AZ102" s="284"/>
      <c r="BA102" s="284"/>
      <c r="BB102" s="284"/>
      <c r="BC102" s="295"/>
      <c r="BD102" s="296"/>
      <c r="BE102" s="297"/>
      <c r="BF102" s="297"/>
      <c r="BG102" s="284"/>
      <c r="BH102" s="284"/>
      <c r="BI102" s="284"/>
      <c r="BJ102" s="284"/>
      <c r="BK102" s="284"/>
      <c r="BL102" s="284"/>
      <c r="BM102" s="284"/>
      <c r="BN102" s="284"/>
      <c r="BO102" s="284"/>
      <c r="BP102" s="284"/>
      <c r="BQ102" s="295"/>
      <c r="BR102" s="292"/>
      <c r="BS102" s="290"/>
      <c r="BT102" s="290"/>
      <c r="BU102" s="284"/>
      <c r="BV102" s="284"/>
      <c r="BW102" s="284"/>
      <c r="BX102" s="284"/>
      <c r="BY102" s="284"/>
      <c r="BZ102" s="284"/>
      <c r="CA102" s="284"/>
      <c r="CB102" s="284"/>
      <c r="CC102" s="284"/>
      <c r="CD102" s="284"/>
      <c r="CE102" s="295"/>
    </row>
    <row r="103" spans="1:83" ht="15" hidden="1" customHeight="1" x14ac:dyDescent="0.25">
      <c r="B103" s="284"/>
      <c r="C103" s="284">
        <v>2</v>
      </c>
      <c r="D103" s="265" t="str">
        <f t="shared" si="51"/>
        <v>TRANSFER_WEST_Q_1_14</v>
      </c>
      <c r="E103" s="284" t="s">
        <v>21</v>
      </c>
      <c r="F103" s="34" t="s">
        <v>21</v>
      </c>
      <c r="G103" s="3" t="s">
        <v>19</v>
      </c>
      <c r="H103" s="3">
        <v>1</v>
      </c>
      <c r="I103" s="3">
        <v>1</v>
      </c>
      <c r="J103" s="3" t="s">
        <v>59</v>
      </c>
      <c r="K103" s="30"/>
      <c r="L103" s="90">
        <f>COUNT(V103:AO103)</f>
        <v>11</v>
      </c>
      <c r="M103" s="30"/>
      <c r="N103" s="292"/>
      <c r="O103" s="290"/>
      <c r="P103" s="290"/>
      <c r="Q103" s="284"/>
      <c r="R103" s="284"/>
      <c r="S103" s="284"/>
      <c r="T103" s="284"/>
      <c r="U103" s="293"/>
      <c r="V103" s="290">
        <v>1</v>
      </c>
      <c r="W103" s="3">
        <f t="shared" ref="W103:X103" si="67">V103+1</f>
        <v>2</v>
      </c>
      <c r="X103" s="3">
        <f t="shared" si="67"/>
        <v>3</v>
      </c>
      <c r="Y103" s="3">
        <f t="shared" si="66"/>
        <v>4</v>
      </c>
      <c r="Z103" s="3">
        <f t="shared" si="66"/>
        <v>5</v>
      </c>
      <c r="AA103" s="31">
        <f t="shared" si="66"/>
        <v>6</v>
      </c>
      <c r="AB103" s="86">
        <f t="shared" si="66"/>
        <v>7</v>
      </c>
      <c r="AC103" s="3">
        <f t="shared" si="66"/>
        <v>8</v>
      </c>
      <c r="AD103" s="3">
        <f t="shared" si="66"/>
        <v>9</v>
      </c>
      <c r="AE103" s="3">
        <f t="shared" si="66"/>
        <v>10</v>
      </c>
      <c r="AF103" s="3">
        <f t="shared" si="66"/>
        <v>11</v>
      </c>
      <c r="AG103" s="258"/>
      <c r="AH103" s="258"/>
      <c r="AI103" s="293"/>
      <c r="AJ103" s="290"/>
      <c r="AK103" s="284"/>
      <c r="AL103" s="284"/>
      <c r="AM103" s="284"/>
      <c r="AN103" s="284"/>
      <c r="AO103" s="284"/>
      <c r="AP103" s="290"/>
      <c r="AQ103" s="284"/>
      <c r="AR103" s="284"/>
      <c r="AS103" s="284"/>
      <c r="AT103" s="284"/>
      <c r="AU103" s="284"/>
      <c r="AV103" s="284"/>
      <c r="AW103" s="284"/>
      <c r="AX103" s="284"/>
      <c r="AY103" s="284"/>
      <c r="AZ103" s="284"/>
      <c r="BA103" s="284"/>
      <c r="BB103" s="284"/>
      <c r="BC103" s="295"/>
      <c r="BD103" s="296"/>
      <c r="BE103" s="297"/>
      <c r="BF103" s="297"/>
      <c r="BG103" s="284"/>
      <c r="BH103" s="284"/>
      <c r="BI103" s="284"/>
      <c r="BJ103" s="284"/>
      <c r="BK103" s="284"/>
      <c r="BL103" s="284"/>
      <c r="BM103" s="284"/>
      <c r="BN103" s="284"/>
      <c r="BO103" s="284"/>
      <c r="BP103" s="284"/>
      <c r="BQ103" s="295"/>
      <c r="BR103" s="292"/>
      <c r="BS103" s="290"/>
      <c r="BT103" s="290"/>
      <c r="BU103" s="284"/>
      <c r="BV103" s="284"/>
      <c r="BW103" s="284"/>
      <c r="BX103" s="284"/>
      <c r="BY103" s="284"/>
      <c r="BZ103" s="284"/>
      <c r="CA103" s="284"/>
      <c r="CB103" s="284"/>
      <c r="CC103" s="284"/>
      <c r="CD103" s="284"/>
      <c r="CE103" s="295"/>
    </row>
    <row r="104" spans="1:83" ht="15" hidden="1" customHeight="1" x14ac:dyDescent="0.25">
      <c r="B104" s="284"/>
      <c r="C104" s="284">
        <v>3</v>
      </c>
      <c r="D104" s="265" t="str">
        <f t="shared" si="51"/>
        <v>SUPPLY_WEST_Q_1_14</v>
      </c>
      <c r="E104" s="284" t="s">
        <v>0</v>
      </c>
      <c r="F104" s="34" t="s">
        <v>0</v>
      </c>
      <c r="G104" s="3" t="s">
        <v>19</v>
      </c>
      <c r="H104" s="3">
        <v>1</v>
      </c>
      <c r="I104" s="3">
        <v>1</v>
      </c>
      <c r="J104" s="3" t="s">
        <v>59</v>
      </c>
      <c r="K104" s="30"/>
      <c r="L104" s="90">
        <f>COUNT(AB104:BC104)</f>
        <v>10</v>
      </c>
      <c r="M104" s="30"/>
      <c r="N104" s="292"/>
      <c r="O104" s="290"/>
      <c r="P104" s="290"/>
      <c r="Q104" s="284"/>
      <c r="R104" s="284"/>
      <c r="S104" s="284"/>
      <c r="T104" s="284"/>
      <c r="U104" s="293"/>
      <c r="V104" s="290"/>
      <c r="W104" s="303"/>
      <c r="X104" s="303"/>
      <c r="Y104" s="303"/>
      <c r="Z104" s="303"/>
      <c r="AA104" s="304"/>
      <c r="AB104" s="290">
        <v>1</v>
      </c>
      <c r="AC104" s="86">
        <f>AB104+1</f>
        <v>2</v>
      </c>
      <c r="AD104" s="86">
        <f t="shared" si="66"/>
        <v>3</v>
      </c>
      <c r="AE104" s="86">
        <f t="shared" si="66"/>
        <v>4</v>
      </c>
      <c r="AF104" s="86">
        <f t="shared" si="66"/>
        <v>5</v>
      </c>
      <c r="AG104" s="86">
        <f t="shared" si="66"/>
        <v>6</v>
      </c>
      <c r="AH104" s="86">
        <f t="shared" si="66"/>
        <v>7</v>
      </c>
      <c r="AI104" s="285">
        <f t="shared" si="66"/>
        <v>8</v>
      </c>
      <c r="AJ104" s="86">
        <f>AI104+1</f>
        <v>9</v>
      </c>
      <c r="AK104" s="86">
        <f t="shared" ref="AK104" si="68">AJ104+1</f>
        <v>10</v>
      </c>
      <c r="AL104" s="258"/>
      <c r="AM104" s="258"/>
      <c r="AN104" s="258"/>
      <c r="AO104" s="258"/>
      <c r="AP104" s="299"/>
      <c r="AQ104" s="258"/>
      <c r="AR104" s="258"/>
      <c r="AS104" s="258"/>
      <c r="AT104" s="258"/>
      <c r="AU104" s="258"/>
      <c r="AV104" s="258"/>
      <c r="AW104" s="284"/>
      <c r="AX104" s="284"/>
      <c r="AY104" s="284"/>
      <c r="AZ104" s="284"/>
      <c r="BA104" s="284"/>
      <c r="BB104" s="284"/>
      <c r="BC104" s="295"/>
      <c r="BD104" s="296"/>
      <c r="BE104" s="297"/>
      <c r="BF104" s="297"/>
      <c r="BG104" s="284"/>
      <c r="BH104" s="284"/>
      <c r="BI104" s="284"/>
      <c r="BJ104" s="284"/>
      <c r="BK104" s="284"/>
      <c r="BL104" s="284"/>
      <c r="BM104" s="284"/>
      <c r="BN104" s="284"/>
      <c r="BO104" s="284"/>
      <c r="BP104" s="284"/>
      <c r="BQ104" s="295"/>
      <c r="BR104" s="292"/>
      <c r="BS104" s="290"/>
      <c r="BT104" s="290"/>
      <c r="BU104" s="284"/>
      <c r="BV104" s="284"/>
      <c r="BW104" s="284"/>
      <c r="BX104" s="284"/>
      <c r="BY104" s="284"/>
      <c r="BZ104" s="284"/>
      <c r="CA104" s="284"/>
      <c r="CB104" s="284"/>
      <c r="CC104" s="284"/>
      <c r="CD104" s="284"/>
      <c r="CE104" s="295"/>
    </row>
    <row r="105" spans="1:83" ht="15" customHeight="1" x14ac:dyDescent="0.25">
      <c r="B105" s="284"/>
      <c r="C105" s="284">
        <v>4</v>
      </c>
      <c r="D105" s="265" t="str">
        <f t="shared" si="51"/>
        <v>EMPTY_WEST_Q_1_14</v>
      </c>
      <c r="E105" s="284" t="s">
        <v>0</v>
      </c>
      <c r="F105" s="34" t="s">
        <v>32</v>
      </c>
      <c r="G105" s="3" t="s">
        <v>19</v>
      </c>
      <c r="H105" s="3">
        <v>1</v>
      </c>
      <c r="I105" s="3">
        <v>1</v>
      </c>
      <c r="J105" s="3" t="s">
        <v>59</v>
      </c>
      <c r="K105" s="30">
        <v>5</v>
      </c>
      <c r="L105" s="90">
        <f>COUNT(N105:AO105)</f>
        <v>21</v>
      </c>
      <c r="M105" s="30"/>
      <c r="N105" s="292">
        <v>1</v>
      </c>
      <c r="O105" s="86">
        <f t="shared" ref="O105:AC106" si="69">N105+1</f>
        <v>2</v>
      </c>
      <c r="P105" s="86">
        <f t="shared" si="69"/>
        <v>3</v>
      </c>
      <c r="Q105" s="86">
        <f t="shared" si="69"/>
        <v>4</v>
      </c>
      <c r="R105" s="86">
        <f t="shared" si="69"/>
        <v>5</v>
      </c>
      <c r="S105" s="86">
        <f t="shared" si="69"/>
        <v>6</v>
      </c>
      <c r="T105" s="86">
        <f t="shared" si="69"/>
        <v>7</v>
      </c>
      <c r="U105" s="285">
        <f t="shared" si="69"/>
        <v>8</v>
      </c>
      <c r="V105" s="319">
        <f t="shared" si="69"/>
        <v>9</v>
      </c>
      <c r="W105" s="3">
        <f t="shared" si="69"/>
        <v>10</v>
      </c>
      <c r="X105" s="3">
        <f t="shared" si="69"/>
        <v>11</v>
      </c>
      <c r="Y105" s="3">
        <f t="shared" si="69"/>
        <v>12</v>
      </c>
      <c r="Z105" s="3">
        <f t="shared" si="69"/>
        <v>13</v>
      </c>
      <c r="AA105" s="280">
        <f t="shared" si="69"/>
        <v>14</v>
      </c>
      <c r="AB105" s="319">
        <f t="shared" si="69"/>
        <v>15</v>
      </c>
      <c r="AC105" s="3">
        <f t="shared" si="69"/>
        <v>16</v>
      </c>
      <c r="AD105" s="3">
        <f t="shared" si="66"/>
        <v>17</v>
      </c>
      <c r="AE105" s="3">
        <f t="shared" si="66"/>
        <v>18</v>
      </c>
      <c r="AF105" s="3">
        <f t="shared" si="66"/>
        <v>19</v>
      </c>
      <c r="AG105" s="3">
        <f t="shared" si="66"/>
        <v>20</v>
      </c>
      <c r="AH105" s="3">
        <f t="shared" si="66"/>
        <v>21</v>
      </c>
      <c r="AI105" s="341"/>
      <c r="AJ105" s="290"/>
      <c r="AK105" s="284"/>
      <c r="AL105" s="284"/>
      <c r="AM105" s="284"/>
      <c r="AN105" s="284"/>
      <c r="AO105" s="284"/>
      <c r="AP105" s="297"/>
      <c r="AQ105" s="297"/>
      <c r="AR105" s="297"/>
      <c r="AS105" s="284"/>
      <c r="AT105" s="284"/>
      <c r="AU105" s="284"/>
      <c r="AV105" s="284"/>
      <c r="AW105" s="284"/>
      <c r="AX105" s="284"/>
      <c r="AY105" s="284"/>
      <c r="AZ105" s="284"/>
      <c r="BA105" s="284"/>
      <c r="BB105" s="284"/>
      <c r="BC105" s="295"/>
      <c r="BD105" s="296"/>
      <c r="BE105" s="297"/>
      <c r="BF105" s="297"/>
      <c r="BG105" s="284"/>
      <c r="BH105" s="284"/>
      <c r="BI105" s="284"/>
      <c r="BJ105" s="284"/>
      <c r="BK105" s="284"/>
      <c r="BL105" s="284"/>
      <c r="BM105" s="284"/>
      <c r="BN105" s="284"/>
      <c r="BO105" s="284"/>
      <c r="BP105" s="284"/>
      <c r="BQ105" s="295"/>
      <c r="BR105" s="292"/>
      <c r="BS105" s="290"/>
      <c r="BT105" s="290"/>
      <c r="BU105" s="284"/>
      <c r="BV105" s="284"/>
      <c r="BW105" s="284"/>
      <c r="BX105" s="284"/>
      <c r="BY105" s="284"/>
      <c r="BZ105" s="284"/>
      <c r="CA105" s="284"/>
      <c r="CB105" s="284"/>
      <c r="CC105" s="284"/>
      <c r="CD105" s="284"/>
      <c r="CE105" s="295"/>
    </row>
    <row r="106" spans="1:83" ht="15" hidden="1" customHeight="1" x14ac:dyDescent="0.25">
      <c r="B106" s="284"/>
      <c r="C106" s="284">
        <v>5</v>
      </c>
      <c r="D106" s="265" t="str">
        <f t="shared" si="51"/>
        <v>PREPARE_WEST_Q_1_14</v>
      </c>
      <c r="E106" s="284" t="s">
        <v>0</v>
      </c>
      <c r="F106" s="49" t="s">
        <v>46</v>
      </c>
      <c r="G106" s="3" t="s">
        <v>19</v>
      </c>
      <c r="H106" s="3">
        <v>1</v>
      </c>
      <c r="I106" s="3">
        <v>1</v>
      </c>
      <c r="J106" s="3" t="s">
        <v>59</v>
      </c>
      <c r="K106" s="30"/>
      <c r="L106" s="90">
        <f>COUNT(N106:AO106)</f>
        <v>22</v>
      </c>
      <c r="M106" s="30"/>
      <c r="N106" s="292">
        <v>1</v>
      </c>
      <c r="O106" s="86">
        <f t="shared" si="69"/>
        <v>2</v>
      </c>
      <c r="P106" s="86">
        <f t="shared" si="69"/>
        <v>3</v>
      </c>
      <c r="Q106" s="86">
        <f t="shared" si="69"/>
        <v>4</v>
      </c>
      <c r="R106" s="86">
        <f t="shared" si="69"/>
        <v>5</v>
      </c>
      <c r="S106" s="86">
        <f t="shared" si="69"/>
        <v>6</v>
      </c>
      <c r="T106" s="86">
        <f t="shared" si="69"/>
        <v>7</v>
      </c>
      <c r="U106" s="285">
        <f t="shared" si="69"/>
        <v>8</v>
      </c>
      <c r="V106" s="86">
        <f t="shared" si="69"/>
        <v>9</v>
      </c>
      <c r="W106" s="86">
        <f t="shared" si="69"/>
        <v>10</v>
      </c>
      <c r="X106" s="86">
        <f t="shared" si="69"/>
        <v>11</v>
      </c>
      <c r="Y106" s="86">
        <f t="shared" si="69"/>
        <v>12</v>
      </c>
      <c r="Z106" s="86">
        <f t="shared" si="69"/>
        <v>13</v>
      </c>
      <c r="AA106" s="287">
        <f t="shared" si="69"/>
        <v>14</v>
      </c>
      <c r="AB106" s="86">
        <f t="shared" si="69"/>
        <v>15</v>
      </c>
      <c r="AC106" s="86">
        <f t="shared" si="69"/>
        <v>16</v>
      </c>
      <c r="AD106" s="86">
        <f t="shared" si="66"/>
        <v>17</v>
      </c>
      <c r="AE106" s="86">
        <f t="shared" si="66"/>
        <v>18</v>
      </c>
      <c r="AF106" s="86">
        <f t="shared" si="66"/>
        <v>19</v>
      </c>
      <c r="AG106" s="86">
        <f t="shared" si="66"/>
        <v>20</v>
      </c>
      <c r="AH106" s="86">
        <f>AG106+1</f>
        <v>21</v>
      </c>
      <c r="AI106" s="285">
        <f>AH106+1</f>
        <v>22</v>
      </c>
      <c r="AJ106" s="299"/>
      <c r="AK106" s="299"/>
      <c r="AL106" s="284"/>
      <c r="AM106" s="284"/>
      <c r="AN106" s="284"/>
      <c r="AO106" s="284"/>
      <c r="AP106" s="297"/>
      <c r="AQ106" s="297"/>
      <c r="AR106" s="297"/>
      <c r="AS106" s="284"/>
      <c r="AT106" s="284"/>
      <c r="AU106" s="284"/>
      <c r="AV106" s="284"/>
      <c r="AW106" s="284"/>
      <c r="AX106" s="284"/>
      <c r="AY106" s="284"/>
      <c r="AZ106" s="284"/>
      <c r="BA106" s="284"/>
      <c r="BB106" s="284"/>
      <c r="BC106" s="295"/>
      <c r="BD106" s="296"/>
      <c r="BE106" s="297"/>
      <c r="BF106" s="297"/>
      <c r="BG106" s="284"/>
      <c r="BH106" s="284"/>
      <c r="BI106" s="284"/>
      <c r="BJ106" s="284"/>
      <c r="BK106" s="284"/>
      <c r="BL106" s="284"/>
      <c r="BM106" s="284"/>
      <c r="BN106" s="284"/>
      <c r="BO106" s="284"/>
      <c r="BP106" s="284"/>
      <c r="BQ106" s="295"/>
      <c r="BR106" s="292"/>
      <c r="BS106" s="290"/>
      <c r="BT106" s="290"/>
      <c r="BU106" s="284"/>
      <c r="BV106" s="284"/>
      <c r="BW106" s="284"/>
      <c r="BX106" s="284"/>
      <c r="BY106" s="284"/>
      <c r="BZ106" s="284"/>
      <c r="CA106" s="284"/>
      <c r="CB106" s="284"/>
      <c r="CC106" s="284"/>
      <c r="CD106" s="284"/>
      <c r="CE106" s="295"/>
    </row>
    <row r="107" spans="1:83" ht="15" hidden="1" customHeight="1" x14ac:dyDescent="0.25">
      <c r="B107" s="284"/>
      <c r="C107" s="284">
        <v>6</v>
      </c>
      <c r="D107" s="265" t="str">
        <f t="shared" si="51"/>
        <v>COUNTDOWN_WEST_Q_1_14</v>
      </c>
      <c r="E107" s="284"/>
      <c r="F107" s="34" t="s">
        <v>33</v>
      </c>
      <c r="G107" s="3" t="s">
        <v>19</v>
      </c>
      <c r="H107" s="3">
        <v>1</v>
      </c>
      <c r="I107" s="3">
        <v>1</v>
      </c>
      <c r="J107" s="3" t="s">
        <v>59</v>
      </c>
      <c r="K107" s="302"/>
      <c r="L107" s="302"/>
      <c r="M107" s="30"/>
      <c r="N107" s="292"/>
      <c r="O107" s="290"/>
      <c r="P107" s="290"/>
      <c r="Q107" s="284"/>
      <c r="R107" s="284"/>
      <c r="S107" s="284"/>
      <c r="T107" s="284"/>
      <c r="U107" s="293"/>
      <c r="V107" s="290"/>
      <c r="W107" s="303"/>
      <c r="X107" s="303"/>
      <c r="Y107" s="303"/>
      <c r="Z107" s="303"/>
      <c r="AA107" s="304"/>
      <c r="AB107" s="305"/>
      <c r="AC107" s="305"/>
      <c r="AD107" s="305"/>
      <c r="AE107" s="303"/>
      <c r="AF107" s="303"/>
      <c r="AG107" s="284"/>
      <c r="AH107" s="284"/>
      <c r="AI107" s="293"/>
      <c r="AJ107" s="290"/>
      <c r="AK107" s="284"/>
      <c r="AL107" s="284"/>
      <c r="AM107" s="284"/>
      <c r="AN107" s="284"/>
      <c r="AO107" s="284"/>
      <c r="AP107" s="297"/>
      <c r="AQ107" s="297"/>
      <c r="AR107" s="297"/>
      <c r="AS107" s="284"/>
      <c r="AT107" s="284"/>
      <c r="AU107" s="284"/>
      <c r="AV107" s="284"/>
      <c r="AW107" s="284"/>
      <c r="AX107" s="284"/>
      <c r="AY107" s="284"/>
      <c r="AZ107" s="284"/>
      <c r="BA107" s="284"/>
      <c r="BB107" s="284"/>
      <c r="BC107" s="295"/>
      <c r="BD107" s="296"/>
      <c r="BE107" s="297"/>
      <c r="BF107" s="297"/>
      <c r="BG107" s="284"/>
      <c r="BH107" s="284"/>
      <c r="BI107" s="284"/>
      <c r="BJ107" s="284"/>
      <c r="BK107" s="284"/>
      <c r="BL107" s="284"/>
      <c r="BM107" s="284"/>
      <c r="BN107" s="284"/>
      <c r="BO107" s="284"/>
      <c r="BP107" s="284"/>
      <c r="BQ107" s="295"/>
      <c r="BR107" s="292"/>
      <c r="BS107" s="290"/>
      <c r="BT107" s="290"/>
      <c r="BU107" s="284"/>
      <c r="BV107" s="284"/>
      <c r="BW107" s="284"/>
      <c r="BX107" s="284"/>
      <c r="BY107" s="284"/>
      <c r="BZ107" s="284"/>
      <c r="CA107" s="284"/>
      <c r="CB107" s="284"/>
      <c r="CC107" s="284"/>
      <c r="CD107" s="284"/>
      <c r="CE107" s="295"/>
    </row>
    <row r="108" spans="1:83" hidden="1" x14ac:dyDescent="0.25">
      <c r="A108" s="2" t="s">
        <v>7</v>
      </c>
      <c r="B108" s="284"/>
      <c r="C108" s="284">
        <v>1</v>
      </c>
      <c r="D108" s="265" t="str">
        <f t="shared" si="51"/>
        <v>SORTING_WEST_F_2_14</v>
      </c>
      <c r="E108" s="284" t="s">
        <v>35</v>
      </c>
      <c r="F108" s="49" t="s">
        <v>45</v>
      </c>
      <c r="G108" s="3" t="s">
        <v>19</v>
      </c>
      <c r="H108" s="3">
        <v>2</v>
      </c>
      <c r="I108" s="3">
        <v>2</v>
      </c>
      <c r="J108" s="3" t="s">
        <v>7</v>
      </c>
      <c r="K108" s="30"/>
      <c r="L108" s="90">
        <f>COUNT(V108:AO108)</f>
        <v>11</v>
      </c>
      <c r="M108" s="30"/>
      <c r="N108" s="292"/>
      <c r="O108" s="290"/>
      <c r="P108" s="290"/>
      <c r="Q108" s="284"/>
      <c r="R108" s="284"/>
      <c r="S108" s="284"/>
      <c r="T108" s="284"/>
      <c r="U108" s="293"/>
      <c r="V108" s="290">
        <v>1</v>
      </c>
      <c r="W108" s="33">
        <f>V108+1</f>
        <v>2</v>
      </c>
      <c r="X108" s="33">
        <f>W108+1</f>
        <v>3</v>
      </c>
      <c r="Y108" s="33">
        <f t="shared" ref="Y108:AI110" si="70">X108+1</f>
        <v>4</v>
      </c>
      <c r="Z108" s="33">
        <f t="shared" si="70"/>
        <v>5</v>
      </c>
      <c r="AA108" s="35">
        <f t="shared" si="70"/>
        <v>6</v>
      </c>
      <c r="AB108" s="279">
        <f t="shared" si="70"/>
        <v>7</v>
      </c>
      <c r="AC108" s="33">
        <f t="shared" si="70"/>
        <v>8</v>
      </c>
      <c r="AD108" s="33">
        <f t="shared" si="70"/>
        <v>9</v>
      </c>
      <c r="AE108" s="33">
        <f t="shared" si="70"/>
        <v>10</v>
      </c>
      <c r="AF108" s="33">
        <f t="shared" si="70"/>
        <v>11</v>
      </c>
      <c r="AG108" s="258"/>
      <c r="AH108" s="258"/>
      <c r="AI108" s="293"/>
      <c r="AJ108" s="290"/>
      <c r="AK108" s="284"/>
      <c r="AL108" s="284"/>
      <c r="AM108" s="284"/>
      <c r="AN108" s="284"/>
      <c r="AO108" s="284"/>
      <c r="AP108" s="290"/>
      <c r="AQ108" s="284"/>
      <c r="AR108" s="284"/>
      <c r="AS108" s="284"/>
      <c r="AT108" s="284"/>
      <c r="AU108" s="284"/>
      <c r="AV108" s="284"/>
      <c r="AW108" s="284"/>
      <c r="AX108" s="284"/>
      <c r="AY108" s="284"/>
      <c r="AZ108" s="284"/>
      <c r="BA108" s="284"/>
      <c r="BB108" s="284"/>
      <c r="BC108" s="295"/>
      <c r="BD108" s="296"/>
      <c r="BE108" s="297"/>
      <c r="BF108" s="297"/>
      <c r="BG108" s="284"/>
      <c r="BH108" s="284"/>
      <c r="BI108" s="284"/>
      <c r="BJ108" s="284"/>
      <c r="BK108" s="284"/>
      <c r="BL108" s="284"/>
      <c r="BM108" s="284"/>
      <c r="BN108" s="284"/>
      <c r="BO108" s="284"/>
      <c r="BP108" s="284"/>
      <c r="BQ108" s="295"/>
      <c r="BR108" s="292"/>
      <c r="BS108" s="290"/>
      <c r="BT108" s="290"/>
      <c r="BU108" s="284"/>
      <c r="BV108" s="284"/>
      <c r="BW108" s="284"/>
      <c r="BX108" s="284"/>
      <c r="BY108" s="284"/>
      <c r="BZ108" s="284"/>
      <c r="CA108" s="284"/>
      <c r="CB108" s="284"/>
      <c r="CC108" s="284"/>
      <c r="CD108" s="284"/>
      <c r="CE108" s="295"/>
    </row>
    <row r="109" spans="1:83" hidden="1" x14ac:dyDescent="0.25">
      <c r="A109" s="2" t="s">
        <v>7</v>
      </c>
      <c r="B109" s="284"/>
      <c r="C109" s="284">
        <v>2</v>
      </c>
      <c r="D109" s="265" t="str">
        <f t="shared" si="51"/>
        <v>TRANSFER_WEST_F_2_14</v>
      </c>
      <c r="E109" s="284" t="s">
        <v>21</v>
      </c>
      <c r="F109" s="34" t="s">
        <v>21</v>
      </c>
      <c r="G109" s="3" t="s">
        <v>19</v>
      </c>
      <c r="H109" s="3">
        <v>2</v>
      </c>
      <c r="I109" s="3">
        <v>2</v>
      </c>
      <c r="J109" s="3" t="s">
        <v>7</v>
      </c>
      <c r="K109" s="30"/>
      <c r="L109" s="90">
        <f>COUNT(V109:AO109)</f>
        <v>13</v>
      </c>
      <c r="M109" s="30"/>
      <c r="N109" s="292"/>
      <c r="O109" s="290"/>
      <c r="P109" s="290"/>
      <c r="Q109" s="284"/>
      <c r="R109" s="284"/>
      <c r="S109" s="284"/>
      <c r="T109" s="284"/>
      <c r="U109" s="293"/>
      <c r="V109" s="290">
        <v>1</v>
      </c>
      <c r="W109" s="3">
        <f t="shared" ref="W109:X109" si="71">V109+1</f>
        <v>2</v>
      </c>
      <c r="X109" s="3">
        <f t="shared" si="71"/>
        <v>3</v>
      </c>
      <c r="Y109" s="3">
        <f t="shared" si="70"/>
        <v>4</v>
      </c>
      <c r="Z109" s="3">
        <f t="shared" si="70"/>
        <v>5</v>
      </c>
      <c r="AA109" s="31">
        <f t="shared" si="70"/>
        <v>6</v>
      </c>
      <c r="AB109" s="86">
        <f t="shared" si="70"/>
        <v>7</v>
      </c>
      <c r="AC109" s="3">
        <f t="shared" si="70"/>
        <v>8</v>
      </c>
      <c r="AD109" s="3">
        <f t="shared" si="70"/>
        <v>9</v>
      </c>
      <c r="AE109" s="3">
        <f t="shared" si="70"/>
        <v>10</v>
      </c>
      <c r="AF109" s="3">
        <f t="shared" si="70"/>
        <v>11</v>
      </c>
      <c r="AG109" s="3">
        <f t="shared" si="70"/>
        <v>12</v>
      </c>
      <c r="AH109" s="3">
        <f t="shared" si="70"/>
        <v>13</v>
      </c>
      <c r="AI109" s="300"/>
      <c r="AJ109" s="290"/>
      <c r="AK109" s="284"/>
      <c r="AL109" s="284"/>
      <c r="AM109" s="284"/>
      <c r="AN109" s="284"/>
      <c r="AO109" s="284"/>
      <c r="AP109" s="290"/>
      <c r="AQ109" s="284"/>
      <c r="AR109" s="284"/>
      <c r="AS109" s="284"/>
      <c r="AT109" s="284"/>
      <c r="AU109" s="284"/>
      <c r="AV109" s="284"/>
      <c r="AW109" s="284"/>
      <c r="AX109" s="284"/>
      <c r="AY109" s="284"/>
      <c r="AZ109" s="284"/>
      <c r="BA109" s="284"/>
      <c r="BB109" s="284"/>
      <c r="BC109" s="295"/>
      <c r="BD109" s="296"/>
      <c r="BE109" s="297"/>
      <c r="BF109" s="297"/>
      <c r="BG109" s="284"/>
      <c r="BH109" s="284"/>
      <c r="BI109" s="284"/>
      <c r="BJ109" s="284"/>
      <c r="BK109" s="284"/>
      <c r="BL109" s="284"/>
      <c r="BM109" s="284"/>
      <c r="BN109" s="284"/>
      <c r="BO109" s="284"/>
      <c r="BP109" s="284"/>
      <c r="BQ109" s="295"/>
      <c r="BR109" s="292"/>
      <c r="BS109" s="290"/>
      <c r="BT109" s="290"/>
      <c r="BU109" s="284"/>
      <c r="BV109" s="284"/>
      <c r="BW109" s="284"/>
      <c r="BX109" s="284"/>
      <c r="BY109" s="284"/>
      <c r="BZ109" s="284"/>
      <c r="CA109" s="284"/>
      <c r="CB109" s="284"/>
      <c r="CC109" s="284"/>
      <c r="CD109" s="284"/>
      <c r="CE109" s="295"/>
    </row>
    <row r="110" spans="1:83" ht="15" hidden="1" customHeight="1" x14ac:dyDescent="0.25">
      <c r="A110" s="2" t="s">
        <v>7</v>
      </c>
      <c r="B110" s="284"/>
      <c r="C110" s="284">
        <v>3</v>
      </c>
      <c r="D110" s="265" t="str">
        <f t="shared" si="51"/>
        <v>SUPPLY_WEST_F_2_14</v>
      </c>
      <c r="E110" s="284" t="s">
        <v>0</v>
      </c>
      <c r="F110" s="34" t="s">
        <v>0</v>
      </c>
      <c r="G110" s="3" t="s">
        <v>19</v>
      </c>
      <c r="H110" s="3">
        <v>2</v>
      </c>
      <c r="I110" s="3">
        <v>2</v>
      </c>
      <c r="J110" s="3" t="s">
        <v>7</v>
      </c>
      <c r="K110" s="30"/>
      <c r="L110" s="90">
        <f>COUNT(AB110:BC110)</f>
        <v>12</v>
      </c>
      <c r="M110" s="30"/>
      <c r="N110" s="292"/>
      <c r="O110" s="290"/>
      <c r="P110" s="290"/>
      <c r="Q110" s="284"/>
      <c r="R110" s="284"/>
      <c r="S110" s="284"/>
      <c r="T110" s="284"/>
      <c r="U110" s="293"/>
      <c r="V110" s="290"/>
      <c r="W110" s="284"/>
      <c r="X110" s="284"/>
      <c r="Y110" s="284"/>
      <c r="Z110" s="284"/>
      <c r="AA110" s="295"/>
      <c r="AB110" s="290">
        <v>1</v>
      </c>
      <c r="AC110" s="86">
        <f>AB110+1</f>
        <v>2</v>
      </c>
      <c r="AD110" s="86">
        <f t="shared" si="70"/>
        <v>3</v>
      </c>
      <c r="AE110" s="86">
        <f t="shared" si="70"/>
        <v>4</v>
      </c>
      <c r="AF110" s="86">
        <f t="shared" si="70"/>
        <v>5</v>
      </c>
      <c r="AG110" s="86">
        <f t="shared" si="70"/>
        <v>6</v>
      </c>
      <c r="AH110" s="86">
        <f t="shared" si="70"/>
        <v>7</v>
      </c>
      <c r="AI110" s="285">
        <f t="shared" si="70"/>
        <v>8</v>
      </c>
      <c r="AJ110" s="86">
        <f>AI110+1</f>
        <v>9</v>
      </c>
      <c r="AK110" s="86">
        <f t="shared" ref="AK110:AM110" si="72">AJ110+1</f>
        <v>10</v>
      </c>
      <c r="AL110" s="86">
        <f t="shared" si="72"/>
        <v>11</v>
      </c>
      <c r="AM110" s="86">
        <f t="shared" si="72"/>
        <v>12</v>
      </c>
      <c r="AN110" s="258"/>
      <c r="AO110" s="258"/>
      <c r="AP110" s="301"/>
      <c r="AQ110" s="301"/>
      <c r="AR110" s="301"/>
      <c r="AS110" s="258"/>
      <c r="AT110" s="258"/>
      <c r="AU110" s="258"/>
      <c r="AV110" s="258"/>
      <c r="AW110" s="258"/>
      <c r="AX110" s="284"/>
      <c r="AY110" s="284"/>
      <c r="AZ110" s="284"/>
      <c r="BA110" s="284"/>
      <c r="BB110" s="284"/>
      <c r="BC110" s="295"/>
      <c r="BD110" s="296"/>
      <c r="BE110" s="284"/>
      <c r="BF110" s="284"/>
      <c r="BG110" s="284"/>
      <c r="BH110" s="284"/>
      <c r="BI110" s="284"/>
      <c r="BJ110" s="284"/>
      <c r="BK110" s="284"/>
      <c r="BL110" s="284"/>
      <c r="BM110" s="284"/>
      <c r="BN110" s="284"/>
      <c r="BO110" s="284"/>
      <c r="BP110" s="284"/>
      <c r="BQ110" s="295"/>
      <c r="BR110" s="292"/>
      <c r="BS110" s="284"/>
      <c r="BT110" s="284"/>
      <c r="BU110" s="284"/>
      <c r="BV110" s="284"/>
      <c r="BW110" s="284"/>
      <c r="BX110" s="284"/>
      <c r="BY110" s="284"/>
      <c r="BZ110" s="284"/>
      <c r="CA110" s="284"/>
      <c r="CB110" s="284"/>
      <c r="CC110" s="284"/>
      <c r="CD110" s="284"/>
      <c r="CE110" s="295"/>
    </row>
    <row r="111" spans="1:83" ht="15" customHeight="1" x14ac:dyDescent="0.25">
      <c r="A111" s="286" t="s">
        <v>7</v>
      </c>
      <c r="B111" s="284"/>
      <c r="C111" s="284">
        <v>4</v>
      </c>
      <c r="D111" s="265" t="str">
        <f t="shared" si="51"/>
        <v>EMPTY_WEST_F_2_14</v>
      </c>
      <c r="E111" s="284" t="s">
        <v>0</v>
      </c>
      <c r="F111" s="34" t="s">
        <v>32</v>
      </c>
      <c r="G111" s="3" t="s">
        <v>19</v>
      </c>
      <c r="H111" s="3">
        <v>2</v>
      </c>
      <c r="I111" s="3">
        <v>2</v>
      </c>
      <c r="J111" s="3" t="s">
        <v>7</v>
      </c>
      <c r="K111" s="30">
        <v>7</v>
      </c>
      <c r="L111" s="90">
        <f>COUNT(N111:AO111)</f>
        <v>22</v>
      </c>
      <c r="M111" s="30"/>
      <c r="N111" s="292">
        <v>1</v>
      </c>
      <c r="O111" s="86">
        <f t="shared" ref="O111:AH112" si="73">N111+1</f>
        <v>2</v>
      </c>
      <c r="P111" s="86">
        <f t="shared" si="73"/>
        <v>3</v>
      </c>
      <c r="Q111" s="86">
        <f t="shared" si="73"/>
        <v>4</v>
      </c>
      <c r="R111" s="86">
        <f t="shared" si="73"/>
        <v>5</v>
      </c>
      <c r="S111" s="86">
        <f t="shared" si="73"/>
        <v>6</v>
      </c>
      <c r="T111" s="86">
        <f t="shared" si="73"/>
        <v>7</v>
      </c>
      <c r="U111" s="285">
        <f t="shared" si="73"/>
        <v>8</v>
      </c>
      <c r="V111" s="319">
        <f t="shared" si="73"/>
        <v>9</v>
      </c>
      <c r="W111" s="3">
        <f t="shared" si="73"/>
        <v>10</v>
      </c>
      <c r="X111" s="3">
        <f t="shared" si="73"/>
        <v>11</v>
      </c>
      <c r="Y111" s="3">
        <f t="shared" si="73"/>
        <v>12</v>
      </c>
      <c r="Z111" s="3">
        <f t="shared" si="73"/>
        <v>13</v>
      </c>
      <c r="AA111" s="280">
        <f t="shared" si="73"/>
        <v>14</v>
      </c>
      <c r="AB111" s="319">
        <f t="shared" si="73"/>
        <v>15</v>
      </c>
      <c r="AC111" s="3">
        <f t="shared" si="73"/>
        <v>16</v>
      </c>
      <c r="AD111" s="3">
        <f t="shared" si="73"/>
        <v>17</v>
      </c>
      <c r="AE111" s="3">
        <f t="shared" si="73"/>
        <v>18</v>
      </c>
      <c r="AF111" s="3">
        <f t="shared" si="73"/>
        <v>19</v>
      </c>
      <c r="AG111" s="3">
        <f t="shared" si="73"/>
        <v>20</v>
      </c>
      <c r="AH111" s="3">
        <f t="shared" si="73"/>
        <v>21</v>
      </c>
      <c r="AI111" s="280">
        <f>AH111+1</f>
        <v>22</v>
      </c>
      <c r="AJ111" s="133"/>
      <c r="AK111" s="258"/>
      <c r="AL111" s="284"/>
      <c r="AM111" s="284"/>
      <c r="AN111" s="284"/>
      <c r="AO111" s="284"/>
      <c r="AP111" s="297"/>
      <c r="AQ111" s="297"/>
      <c r="AR111" s="297"/>
      <c r="AS111" s="284"/>
      <c r="AT111" s="284"/>
      <c r="AU111" s="284"/>
      <c r="AV111" s="284"/>
      <c r="AW111" s="284"/>
      <c r="AX111" s="284"/>
      <c r="AY111" s="284"/>
      <c r="AZ111" s="284"/>
      <c r="BA111" s="284"/>
      <c r="BB111" s="284"/>
      <c r="BC111" s="295"/>
      <c r="BD111" s="296"/>
      <c r="BE111" s="297"/>
      <c r="BF111" s="297"/>
      <c r="BG111" s="284"/>
      <c r="BH111" s="284"/>
      <c r="BI111" s="284"/>
      <c r="BJ111" s="284"/>
      <c r="BK111" s="284"/>
      <c r="BL111" s="284"/>
      <c r="BM111" s="284"/>
      <c r="BN111" s="284"/>
      <c r="BO111" s="284"/>
      <c r="BP111" s="284"/>
      <c r="BQ111" s="295"/>
      <c r="BR111" s="292"/>
      <c r="BS111" s="290"/>
      <c r="BT111" s="290"/>
      <c r="BU111" s="284"/>
      <c r="BV111" s="284"/>
      <c r="BW111" s="284"/>
      <c r="BX111" s="284"/>
      <c r="BY111" s="284"/>
      <c r="BZ111" s="284"/>
      <c r="CA111" s="284"/>
      <c r="CB111" s="284"/>
      <c r="CC111" s="284"/>
      <c r="CD111" s="284"/>
      <c r="CE111" s="295"/>
    </row>
    <row r="112" spans="1:83" ht="15" hidden="1" customHeight="1" x14ac:dyDescent="0.25">
      <c r="A112" s="286" t="s">
        <v>7</v>
      </c>
      <c r="B112" s="284"/>
      <c r="C112" s="284">
        <v>5</v>
      </c>
      <c r="D112" s="265" t="str">
        <f t="shared" si="51"/>
        <v>PREPARE_WEST_F_2_14</v>
      </c>
      <c r="E112" s="284" t="s">
        <v>0</v>
      </c>
      <c r="F112" s="49" t="s">
        <v>46</v>
      </c>
      <c r="G112" s="3" t="s">
        <v>19</v>
      </c>
      <c r="H112" s="3">
        <v>2</v>
      </c>
      <c r="I112" s="3">
        <v>2</v>
      </c>
      <c r="J112" s="3" t="s">
        <v>7</v>
      </c>
      <c r="K112" s="30"/>
      <c r="L112" s="90">
        <f>COUNT(N112:AO112)</f>
        <v>24</v>
      </c>
      <c r="M112" s="30"/>
      <c r="N112" s="292">
        <v>1</v>
      </c>
      <c r="O112" s="86">
        <f t="shared" si="73"/>
        <v>2</v>
      </c>
      <c r="P112" s="86">
        <f t="shared" si="73"/>
        <v>3</v>
      </c>
      <c r="Q112" s="86">
        <f t="shared" si="73"/>
        <v>4</v>
      </c>
      <c r="R112" s="86">
        <f t="shared" si="73"/>
        <v>5</v>
      </c>
      <c r="S112" s="86">
        <f t="shared" si="73"/>
        <v>6</v>
      </c>
      <c r="T112" s="86">
        <f t="shared" si="73"/>
        <v>7</v>
      </c>
      <c r="U112" s="285">
        <f t="shared" si="73"/>
        <v>8</v>
      </c>
      <c r="V112" s="86">
        <f t="shared" si="73"/>
        <v>9</v>
      </c>
      <c r="W112" s="86">
        <f t="shared" si="73"/>
        <v>10</v>
      </c>
      <c r="X112" s="86">
        <f t="shared" si="73"/>
        <v>11</v>
      </c>
      <c r="Y112" s="86">
        <f t="shared" si="73"/>
        <v>12</v>
      </c>
      <c r="Z112" s="86">
        <f t="shared" si="73"/>
        <v>13</v>
      </c>
      <c r="AA112" s="287">
        <f t="shared" si="73"/>
        <v>14</v>
      </c>
      <c r="AB112" s="86">
        <f t="shared" si="73"/>
        <v>15</v>
      </c>
      <c r="AC112" s="86">
        <f t="shared" si="73"/>
        <v>16</v>
      </c>
      <c r="AD112" s="86">
        <f t="shared" si="73"/>
        <v>17</v>
      </c>
      <c r="AE112" s="86">
        <f t="shared" si="73"/>
        <v>18</v>
      </c>
      <c r="AF112" s="86">
        <f t="shared" si="73"/>
        <v>19</v>
      </c>
      <c r="AG112" s="86">
        <f t="shared" si="73"/>
        <v>20</v>
      </c>
      <c r="AH112" s="86">
        <f>AG112+1</f>
        <v>21</v>
      </c>
      <c r="AI112" s="285">
        <f t="shared" ref="AI112:AK112" si="74">AH112+1</f>
        <v>22</v>
      </c>
      <c r="AJ112" s="86">
        <f t="shared" si="74"/>
        <v>23</v>
      </c>
      <c r="AK112" s="86">
        <f t="shared" si="74"/>
        <v>24</v>
      </c>
      <c r="AL112" s="258"/>
      <c r="AM112" s="258"/>
      <c r="AN112" s="284"/>
      <c r="AO112" s="284"/>
      <c r="AP112" s="297"/>
      <c r="AQ112" s="297"/>
      <c r="AR112" s="297"/>
      <c r="AS112" s="284"/>
      <c r="AT112" s="284"/>
      <c r="AU112" s="284"/>
      <c r="AV112" s="284"/>
      <c r="AW112" s="284"/>
      <c r="AX112" s="284"/>
      <c r="AY112" s="284"/>
      <c r="AZ112" s="284"/>
      <c r="BA112" s="284"/>
      <c r="BB112" s="284"/>
      <c r="BC112" s="295"/>
      <c r="BD112" s="296"/>
      <c r="BE112" s="297"/>
      <c r="BF112" s="297"/>
      <c r="BG112" s="284"/>
      <c r="BH112" s="284"/>
      <c r="BI112" s="284"/>
      <c r="BJ112" s="284"/>
      <c r="BK112" s="284"/>
      <c r="BL112" s="284"/>
      <c r="BM112" s="284"/>
      <c r="BN112" s="284"/>
      <c r="BO112" s="284"/>
      <c r="BP112" s="284"/>
      <c r="BQ112" s="295"/>
      <c r="BR112" s="292"/>
      <c r="BS112" s="290"/>
      <c r="BT112" s="290"/>
      <c r="BU112" s="284"/>
      <c r="BV112" s="284"/>
      <c r="BW112" s="284"/>
      <c r="BX112" s="284"/>
      <c r="BY112" s="284"/>
      <c r="BZ112" s="284"/>
      <c r="CA112" s="284"/>
      <c r="CB112" s="284"/>
      <c r="CC112" s="284"/>
      <c r="CD112" s="284"/>
      <c r="CE112" s="295"/>
    </row>
    <row r="113" spans="1:83" ht="15" hidden="1" customHeight="1" x14ac:dyDescent="0.25">
      <c r="A113" s="286" t="s">
        <v>7</v>
      </c>
      <c r="B113" s="284"/>
      <c r="C113" s="284">
        <v>6</v>
      </c>
      <c r="D113" s="265" t="str">
        <f t="shared" si="51"/>
        <v>COUNTDOWN_WEST_F_2_14</v>
      </c>
      <c r="E113" s="284"/>
      <c r="F113" s="34" t="s">
        <v>33</v>
      </c>
      <c r="G113" s="3" t="s">
        <v>19</v>
      </c>
      <c r="H113" s="3">
        <v>2</v>
      </c>
      <c r="I113" s="3">
        <v>2</v>
      </c>
      <c r="J113" s="3" t="s">
        <v>7</v>
      </c>
      <c r="K113" s="302"/>
      <c r="L113" s="302"/>
      <c r="M113" s="30"/>
      <c r="N113" s="292">
        <v>11</v>
      </c>
      <c r="O113" s="290">
        <v>10</v>
      </c>
      <c r="P113" s="290">
        <v>9</v>
      </c>
      <c r="Q113" s="284">
        <v>8</v>
      </c>
      <c r="R113" s="284">
        <v>7</v>
      </c>
      <c r="S113" s="284">
        <v>6</v>
      </c>
      <c r="T113" s="284">
        <v>5</v>
      </c>
      <c r="U113" s="293">
        <v>4</v>
      </c>
      <c r="V113" s="290">
        <v>3</v>
      </c>
      <c r="W113" s="284">
        <v>2</v>
      </c>
      <c r="X113" s="284">
        <v>1</v>
      </c>
      <c r="Y113" s="284">
        <v>14</v>
      </c>
      <c r="Z113" s="284">
        <v>13</v>
      </c>
      <c r="AA113" s="295">
        <v>12</v>
      </c>
      <c r="AB113" s="290">
        <v>11</v>
      </c>
      <c r="AC113" s="290">
        <v>10</v>
      </c>
      <c r="AD113" s="290">
        <v>9</v>
      </c>
      <c r="AE113" s="284">
        <v>8</v>
      </c>
      <c r="AF113" s="284">
        <v>7</v>
      </c>
      <c r="AG113" s="284">
        <v>6</v>
      </c>
      <c r="AH113" s="284">
        <v>5</v>
      </c>
      <c r="AI113" s="293">
        <v>4</v>
      </c>
      <c r="AJ113" s="290">
        <v>3</v>
      </c>
      <c r="AK113" s="284">
        <v>2</v>
      </c>
      <c r="AL113" s="284">
        <v>1</v>
      </c>
      <c r="AM113" s="284">
        <v>14</v>
      </c>
      <c r="AN113" s="284">
        <v>13</v>
      </c>
      <c r="AO113" s="284">
        <v>12</v>
      </c>
      <c r="AP113" s="297">
        <v>11</v>
      </c>
      <c r="AQ113" s="297">
        <v>10</v>
      </c>
      <c r="AR113" s="297">
        <v>9</v>
      </c>
      <c r="AS113" s="284">
        <v>8</v>
      </c>
      <c r="AT113" s="284">
        <v>7</v>
      </c>
      <c r="AU113" s="284">
        <v>6</v>
      </c>
      <c r="AV113" s="284">
        <v>5</v>
      </c>
      <c r="AW113" s="284">
        <v>4</v>
      </c>
      <c r="AX113" s="284">
        <v>3</v>
      </c>
      <c r="AY113" s="284">
        <v>2</v>
      </c>
      <c r="AZ113" s="284">
        <v>1</v>
      </c>
      <c r="BA113" s="284">
        <v>14</v>
      </c>
      <c r="BB113" s="284">
        <v>13</v>
      </c>
      <c r="BC113" s="295">
        <v>12</v>
      </c>
      <c r="BD113" s="296">
        <v>11</v>
      </c>
      <c r="BE113" s="297">
        <v>10</v>
      </c>
      <c r="BF113" s="297">
        <v>9</v>
      </c>
      <c r="BG113" s="284">
        <v>8</v>
      </c>
      <c r="BH113" s="284">
        <v>7</v>
      </c>
      <c r="BI113" s="284">
        <v>6</v>
      </c>
      <c r="BJ113" s="284">
        <v>5</v>
      </c>
      <c r="BK113" s="284">
        <v>4</v>
      </c>
      <c r="BL113" s="284">
        <v>3</v>
      </c>
      <c r="BM113" s="284">
        <v>2</v>
      </c>
      <c r="BN113" s="284">
        <v>1</v>
      </c>
      <c r="BO113" s="284">
        <v>14</v>
      </c>
      <c r="BP113" s="284">
        <v>13</v>
      </c>
      <c r="BQ113" s="295">
        <v>12</v>
      </c>
      <c r="BR113" s="292">
        <v>11</v>
      </c>
      <c r="BS113" s="290">
        <v>10</v>
      </c>
      <c r="BT113" s="290">
        <v>9</v>
      </c>
      <c r="BU113" s="284">
        <v>8</v>
      </c>
      <c r="BV113" s="284">
        <v>7</v>
      </c>
      <c r="BW113" s="284">
        <v>6</v>
      </c>
      <c r="BX113" s="284">
        <v>5</v>
      </c>
      <c r="BY113" s="284">
        <v>4</v>
      </c>
      <c r="BZ113" s="284">
        <v>3</v>
      </c>
      <c r="CA113" s="284">
        <v>2</v>
      </c>
      <c r="CB113" s="284">
        <v>1</v>
      </c>
      <c r="CC113" s="284">
        <v>14</v>
      </c>
      <c r="CD113" s="284">
        <v>13</v>
      </c>
      <c r="CE113" s="295">
        <v>12</v>
      </c>
    </row>
    <row r="114" spans="1:83" hidden="1" x14ac:dyDescent="0.25">
      <c r="A114" s="286" t="s">
        <v>14</v>
      </c>
      <c r="B114" s="265">
        <v>15</v>
      </c>
      <c r="C114" s="265">
        <v>1</v>
      </c>
      <c r="D114" s="265" t="str">
        <f t="shared" si="51"/>
        <v>SORTING_WEST_M_1_14</v>
      </c>
      <c r="E114" s="265" t="s">
        <v>35</v>
      </c>
      <c r="F114" s="49" t="s">
        <v>45</v>
      </c>
      <c r="G114" s="3" t="s">
        <v>19</v>
      </c>
      <c r="H114" s="3">
        <v>1</v>
      </c>
      <c r="I114" s="3">
        <v>1</v>
      </c>
      <c r="J114" s="3" t="s">
        <v>14</v>
      </c>
      <c r="K114" s="3"/>
      <c r="L114" s="90">
        <f>COUNT(V114:AO114)</f>
        <v>13</v>
      </c>
      <c r="M114" s="30"/>
      <c r="N114" s="292"/>
      <c r="O114" s="290"/>
      <c r="P114" s="290"/>
      <c r="Q114" s="284"/>
      <c r="R114" s="284"/>
      <c r="S114" s="284"/>
      <c r="T114" s="284"/>
      <c r="U114" s="293"/>
      <c r="V114" s="290">
        <v>1</v>
      </c>
      <c r="W114" s="33">
        <f>V114+1</f>
        <v>2</v>
      </c>
      <c r="X114" s="33">
        <f>W114+1</f>
        <v>3</v>
      </c>
      <c r="Y114" s="33">
        <f t="shared" ref="Y114:AI116" si="75">X114+1</f>
        <v>4</v>
      </c>
      <c r="Z114" s="33">
        <f t="shared" si="75"/>
        <v>5</v>
      </c>
      <c r="AA114" s="35">
        <f t="shared" si="75"/>
        <v>6</v>
      </c>
      <c r="AB114" s="279">
        <f t="shared" si="75"/>
        <v>7</v>
      </c>
      <c r="AC114" s="33">
        <f t="shared" si="75"/>
        <v>8</v>
      </c>
      <c r="AD114" s="33">
        <f t="shared" si="75"/>
        <v>9</v>
      </c>
      <c r="AE114" s="33">
        <f t="shared" si="75"/>
        <v>10</v>
      </c>
      <c r="AF114" s="33">
        <f t="shared" si="75"/>
        <v>11</v>
      </c>
      <c r="AG114" s="33">
        <f t="shared" si="75"/>
        <v>12</v>
      </c>
      <c r="AH114" s="33">
        <f t="shared" si="75"/>
        <v>13</v>
      </c>
      <c r="AI114" s="300"/>
      <c r="AJ114" s="290"/>
      <c r="AK114" s="284"/>
      <c r="AL114" s="284"/>
      <c r="AM114" s="284"/>
      <c r="AN114" s="284"/>
      <c r="AO114" s="284"/>
      <c r="AP114" s="290"/>
      <c r="AQ114" s="290"/>
      <c r="AR114" s="290"/>
      <c r="AS114" s="284"/>
      <c r="AT114" s="284"/>
      <c r="AU114" s="284"/>
      <c r="AV114" s="284"/>
      <c r="AW114" s="284"/>
      <c r="AX114" s="284"/>
      <c r="AY114" s="284"/>
      <c r="AZ114" s="284"/>
      <c r="BA114" s="284"/>
      <c r="BB114" s="284"/>
      <c r="BC114" s="295"/>
      <c r="BD114" s="292"/>
      <c r="BE114" s="290"/>
      <c r="BF114" s="290"/>
      <c r="BG114" s="284"/>
      <c r="BH114" s="284"/>
      <c r="BI114" s="284"/>
      <c r="BJ114" s="284"/>
      <c r="BK114" s="284"/>
      <c r="BL114" s="284"/>
      <c r="BM114" s="284"/>
      <c r="BN114" s="284"/>
      <c r="BO114" s="284"/>
      <c r="BP114" s="284"/>
      <c r="BQ114" s="295"/>
      <c r="BR114" s="292"/>
      <c r="BS114" s="290"/>
      <c r="BT114" s="290"/>
      <c r="BU114" s="284"/>
      <c r="BV114" s="284"/>
      <c r="BW114" s="284"/>
      <c r="BX114" s="284"/>
      <c r="BY114" s="284"/>
      <c r="BZ114" s="284"/>
      <c r="CA114" s="284"/>
      <c r="CB114" s="284"/>
      <c r="CC114" s="284"/>
      <c r="CD114" s="284"/>
      <c r="CE114" s="295"/>
    </row>
    <row r="115" spans="1:83" hidden="1" x14ac:dyDescent="0.25">
      <c r="A115" s="286" t="s">
        <v>14</v>
      </c>
      <c r="B115" s="265">
        <v>15</v>
      </c>
      <c r="C115" s="265">
        <v>2</v>
      </c>
      <c r="D115" s="265" t="str">
        <f t="shared" si="51"/>
        <v>TRANSFER_WEST_M_1_14</v>
      </c>
      <c r="E115" s="265" t="s">
        <v>21</v>
      </c>
      <c r="F115" s="49" t="s">
        <v>21</v>
      </c>
      <c r="G115" s="3" t="s">
        <v>19</v>
      </c>
      <c r="H115" s="3">
        <v>1</v>
      </c>
      <c r="I115" s="3">
        <v>1</v>
      </c>
      <c r="J115" s="3" t="s">
        <v>14</v>
      </c>
      <c r="K115" s="3"/>
      <c r="L115" s="90">
        <f>COUNT(V115:AO115)</f>
        <v>14</v>
      </c>
      <c r="M115" s="30"/>
      <c r="N115" s="292"/>
      <c r="O115" s="290"/>
      <c r="P115" s="290"/>
      <c r="Q115" s="284"/>
      <c r="R115" s="284"/>
      <c r="S115" s="284"/>
      <c r="T115" s="284"/>
      <c r="U115" s="293"/>
      <c r="V115" s="290">
        <v>1</v>
      </c>
      <c r="W115" s="3">
        <f t="shared" ref="W115:X115" si="76">V115+1</f>
        <v>2</v>
      </c>
      <c r="X115" s="3">
        <f t="shared" si="76"/>
        <v>3</v>
      </c>
      <c r="Y115" s="3">
        <f t="shared" si="75"/>
        <v>4</v>
      </c>
      <c r="Z115" s="3">
        <f t="shared" si="75"/>
        <v>5</v>
      </c>
      <c r="AA115" s="31">
        <f t="shared" si="75"/>
        <v>6</v>
      </c>
      <c r="AB115" s="86">
        <f t="shared" si="75"/>
        <v>7</v>
      </c>
      <c r="AC115" s="3">
        <f t="shared" si="75"/>
        <v>8</v>
      </c>
      <c r="AD115" s="3">
        <f t="shared" si="75"/>
        <v>9</v>
      </c>
      <c r="AE115" s="3">
        <f t="shared" si="75"/>
        <v>10</v>
      </c>
      <c r="AF115" s="3">
        <f t="shared" si="75"/>
        <v>11</v>
      </c>
      <c r="AG115" s="3">
        <f t="shared" si="75"/>
        <v>12</v>
      </c>
      <c r="AH115" s="3">
        <f t="shared" si="75"/>
        <v>13</v>
      </c>
      <c r="AI115" s="280">
        <f t="shared" si="75"/>
        <v>14</v>
      </c>
      <c r="AJ115" s="299"/>
      <c r="AK115" s="284"/>
      <c r="AL115" s="284"/>
      <c r="AM115" s="284"/>
      <c r="AN115" s="284"/>
      <c r="AO115" s="284"/>
      <c r="AP115" s="290"/>
      <c r="AQ115" s="290"/>
      <c r="AR115" s="290"/>
      <c r="AS115" s="284"/>
      <c r="AT115" s="284"/>
      <c r="AU115" s="284"/>
      <c r="AV115" s="284"/>
      <c r="AW115" s="284"/>
      <c r="AX115" s="284"/>
      <c r="AY115" s="284"/>
      <c r="AZ115" s="284"/>
      <c r="BA115" s="284"/>
      <c r="BB115" s="284"/>
      <c r="BC115" s="295"/>
      <c r="BD115" s="292"/>
      <c r="BE115" s="290"/>
      <c r="BF115" s="290"/>
      <c r="BG115" s="284"/>
      <c r="BH115" s="284"/>
      <c r="BI115" s="284"/>
      <c r="BJ115" s="284"/>
      <c r="BK115" s="284"/>
      <c r="BL115" s="284"/>
      <c r="BM115" s="284"/>
      <c r="BN115" s="284"/>
      <c r="BO115" s="284"/>
      <c r="BP115" s="284"/>
      <c r="BQ115" s="295"/>
      <c r="BR115" s="292"/>
      <c r="BS115" s="290"/>
      <c r="BT115" s="290"/>
      <c r="BU115" s="284"/>
      <c r="BV115" s="284"/>
      <c r="BW115" s="284"/>
      <c r="BX115" s="284"/>
      <c r="BY115" s="284"/>
      <c r="BZ115" s="284"/>
      <c r="CA115" s="284"/>
      <c r="CB115" s="284"/>
      <c r="CC115" s="284"/>
      <c r="CD115" s="284"/>
      <c r="CE115" s="295"/>
    </row>
    <row r="116" spans="1:83" ht="15" hidden="1" customHeight="1" x14ac:dyDescent="0.25">
      <c r="A116" s="286" t="s">
        <v>14</v>
      </c>
      <c r="B116" s="265">
        <v>15</v>
      </c>
      <c r="C116" s="265">
        <v>3</v>
      </c>
      <c r="D116" s="265" t="str">
        <f t="shared" si="51"/>
        <v>SUPPLY_WEST_M_1_14</v>
      </c>
      <c r="E116" s="265" t="s">
        <v>0</v>
      </c>
      <c r="F116" s="34" t="s">
        <v>0</v>
      </c>
      <c r="G116" s="3" t="s">
        <v>19</v>
      </c>
      <c r="H116" s="3">
        <v>1</v>
      </c>
      <c r="I116" s="3">
        <v>1</v>
      </c>
      <c r="J116" s="3" t="s">
        <v>14</v>
      </c>
      <c r="K116" s="30"/>
      <c r="L116" s="90">
        <f>COUNT(AB116:BC116)</f>
        <v>13</v>
      </c>
      <c r="M116" s="30"/>
      <c r="N116" s="292"/>
      <c r="O116" s="290"/>
      <c r="P116" s="290"/>
      <c r="Q116" s="284"/>
      <c r="R116" s="284"/>
      <c r="S116" s="284"/>
      <c r="T116" s="284"/>
      <c r="U116" s="293"/>
      <c r="V116" s="290"/>
      <c r="W116" s="284"/>
      <c r="X116" s="284"/>
      <c r="Y116" s="284"/>
      <c r="Z116" s="284"/>
      <c r="AA116" s="295"/>
      <c r="AB116" s="290">
        <v>1</v>
      </c>
      <c r="AC116" s="86">
        <f>AB116+1</f>
        <v>2</v>
      </c>
      <c r="AD116" s="86">
        <f t="shared" si="75"/>
        <v>3</v>
      </c>
      <c r="AE116" s="86">
        <f t="shared" si="75"/>
        <v>4</v>
      </c>
      <c r="AF116" s="86">
        <f t="shared" si="75"/>
        <v>5</v>
      </c>
      <c r="AG116" s="86">
        <f t="shared" si="75"/>
        <v>6</v>
      </c>
      <c r="AH116" s="86">
        <f t="shared" si="75"/>
        <v>7</v>
      </c>
      <c r="AI116" s="285">
        <f t="shared" si="75"/>
        <v>8</v>
      </c>
      <c r="AJ116" s="86">
        <f>AI116+1</f>
        <v>9</v>
      </c>
      <c r="AK116" s="86">
        <f t="shared" ref="AK116:AL116" si="77">AJ116+1</f>
        <v>10</v>
      </c>
      <c r="AL116" s="86">
        <f t="shared" si="77"/>
        <v>11</v>
      </c>
      <c r="AM116" s="86">
        <f>AL116+1</f>
        <v>12</v>
      </c>
      <c r="AN116" s="86">
        <f>AM116+1</f>
        <v>13</v>
      </c>
      <c r="AO116" s="258"/>
      <c r="AP116" s="301"/>
      <c r="AQ116" s="301"/>
      <c r="AR116" s="301"/>
      <c r="AS116" s="258"/>
      <c r="AT116" s="258"/>
      <c r="AU116" s="258"/>
      <c r="AV116" s="258"/>
      <c r="AW116" s="258"/>
      <c r="AX116" s="258"/>
      <c r="AY116" s="284"/>
      <c r="AZ116" s="284"/>
      <c r="BA116" s="284"/>
      <c r="BB116" s="284"/>
      <c r="BC116" s="295"/>
      <c r="BD116" s="296"/>
      <c r="BE116" s="284"/>
      <c r="BF116" s="284"/>
      <c r="BG116" s="284"/>
      <c r="BH116" s="284"/>
      <c r="BI116" s="284"/>
      <c r="BJ116" s="284"/>
      <c r="BK116" s="284"/>
      <c r="BL116" s="284"/>
      <c r="BM116" s="284"/>
      <c r="BN116" s="284"/>
      <c r="BO116" s="284"/>
      <c r="BP116" s="284"/>
      <c r="BQ116" s="295"/>
      <c r="BR116" s="292"/>
      <c r="BS116" s="284"/>
      <c r="BT116" s="284"/>
      <c r="BU116" s="284"/>
      <c r="BV116" s="284"/>
      <c r="BW116" s="284"/>
      <c r="BX116" s="284"/>
      <c r="BY116" s="284"/>
      <c r="BZ116" s="284"/>
      <c r="CA116" s="284"/>
      <c r="CB116" s="284"/>
      <c r="CC116" s="284"/>
      <c r="CD116" s="284"/>
      <c r="CE116" s="295"/>
    </row>
    <row r="117" spans="1:83" ht="15" customHeight="1" x14ac:dyDescent="0.25">
      <c r="A117" s="286" t="s">
        <v>14</v>
      </c>
      <c r="B117" s="265">
        <f t="shared" ref="B117" si="78">B116</f>
        <v>15</v>
      </c>
      <c r="C117" s="265">
        <v>4</v>
      </c>
      <c r="D117" s="265" t="str">
        <f t="shared" si="51"/>
        <v>EMPTY_WEST_M_1_14</v>
      </c>
      <c r="E117" s="265" t="s">
        <v>0</v>
      </c>
      <c r="F117" s="34" t="s">
        <v>32</v>
      </c>
      <c r="G117" s="3" t="s">
        <v>19</v>
      </c>
      <c r="H117" s="3">
        <v>1</v>
      </c>
      <c r="I117" s="3">
        <v>1</v>
      </c>
      <c r="J117" s="3" t="s">
        <v>14</v>
      </c>
      <c r="K117" s="30">
        <v>8</v>
      </c>
      <c r="L117" s="90">
        <f>COUNT(N117:AO117)</f>
        <v>23</v>
      </c>
      <c r="M117" s="30"/>
      <c r="N117" s="292">
        <v>1</v>
      </c>
      <c r="O117" s="86">
        <f t="shared" ref="O117:AJ118" si="79">N117+1</f>
        <v>2</v>
      </c>
      <c r="P117" s="86">
        <f t="shared" si="79"/>
        <v>3</v>
      </c>
      <c r="Q117" s="86">
        <f t="shared" si="79"/>
        <v>4</v>
      </c>
      <c r="R117" s="86">
        <f t="shared" si="79"/>
        <v>5</v>
      </c>
      <c r="S117" s="86">
        <f t="shared" si="79"/>
        <v>6</v>
      </c>
      <c r="T117" s="86">
        <f t="shared" si="79"/>
        <v>7</v>
      </c>
      <c r="U117" s="285">
        <f t="shared" si="79"/>
        <v>8</v>
      </c>
      <c r="V117" s="319">
        <f t="shared" si="79"/>
        <v>9</v>
      </c>
      <c r="W117" s="3">
        <f t="shared" si="79"/>
        <v>10</v>
      </c>
      <c r="X117" s="3">
        <f t="shared" si="79"/>
        <v>11</v>
      </c>
      <c r="Y117" s="3">
        <f t="shared" si="79"/>
        <v>12</v>
      </c>
      <c r="Z117" s="3">
        <f t="shared" si="79"/>
        <v>13</v>
      </c>
      <c r="AA117" s="280">
        <f t="shared" si="79"/>
        <v>14</v>
      </c>
      <c r="AB117" s="319">
        <f t="shared" si="79"/>
        <v>15</v>
      </c>
      <c r="AC117" s="3">
        <f t="shared" si="79"/>
        <v>16</v>
      </c>
      <c r="AD117" s="3">
        <f t="shared" si="79"/>
        <v>17</v>
      </c>
      <c r="AE117" s="3">
        <f t="shared" si="79"/>
        <v>18</v>
      </c>
      <c r="AF117" s="3">
        <f t="shared" si="79"/>
        <v>19</v>
      </c>
      <c r="AG117" s="3">
        <f t="shared" si="79"/>
        <v>20</v>
      </c>
      <c r="AH117" s="3">
        <f t="shared" si="79"/>
        <v>21</v>
      </c>
      <c r="AI117" s="280">
        <f t="shared" si="79"/>
        <v>22</v>
      </c>
      <c r="AJ117" s="86">
        <f t="shared" si="79"/>
        <v>23</v>
      </c>
      <c r="AK117" s="256"/>
      <c r="AL117" s="258"/>
      <c r="AM117" s="284"/>
      <c r="AN117" s="284"/>
      <c r="AO117" s="284"/>
      <c r="AP117" s="290"/>
      <c r="AQ117" s="290"/>
      <c r="AR117" s="290"/>
      <c r="AS117" s="284"/>
      <c r="AT117" s="284"/>
      <c r="AU117" s="284"/>
      <c r="AV117" s="284"/>
      <c r="AW117" s="284"/>
      <c r="AX117" s="284"/>
      <c r="AY117" s="306"/>
      <c r="AZ117" s="284"/>
      <c r="BA117" s="284"/>
      <c r="BB117" s="284"/>
      <c r="BC117" s="295"/>
      <c r="BD117" s="292"/>
      <c r="BE117" s="290"/>
      <c r="BF117" s="290"/>
      <c r="BG117" s="284"/>
      <c r="BH117" s="284"/>
      <c r="BI117" s="284"/>
      <c r="BJ117" s="284"/>
      <c r="BK117" s="284"/>
      <c r="BL117" s="284"/>
      <c r="BM117" s="306"/>
      <c r="BN117" s="284"/>
      <c r="BO117" s="284"/>
      <c r="BP117" s="284"/>
      <c r="BQ117" s="295"/>
      <c r="BR117" s="292"/>
      <c r="BS117" s="290"/>
      <c r="BT117" s="290"/>
      <c r="BU117" s="284"/>
      <c r="BV117" s="284"/>
      <c r="BW117" s="284"/>
      <c r="BX117" s="284"/>
      <c r="BY117" s="284"/>
      <c r="BZ117" s="284"/>
      <c r="CA117" s="306"/>
      <c r="CB117" s="284"/>
      <c r="CC117" s="284"/>
      <c r="CD117" s="284"/>
      <c r="CE117" s="295"/>
    </row>
    <row r="118" spans="1:83" ht="15" hidden="1" customHeight="1" x14ac:dyDescent="0.25">
      <c r="A118" s="286" t="s">
        <v>14</v>
      </c>
      <c r="B118" s="265">
        <v>15</v>
      </c>
      <c r="C118" s="265">
        <v>5</v>
      </c>
      <c r="D118" s="265" t="str">
        <f t="shared" si="51"/>
        <v>PREPARE_WEST_M_1_14</v>
      </c>
      <c r="E118" s="265" t="s">
        <v>0</v>
      </c>
      <c r="F118" s="49" t="s">
        <v>46</v>
      </c>
      <c r="G118" s="3" t="s">
        <v>19</v>
      </c>
      <c r="H118" s="3">
        <v>1</v>
      </c>
      <c r="I118" s="3">
        <v>1</v>
      </c>
      <c r="J118" s="3" t="s">
        <v>14</v>
      </c>
      <c r="K118" s="3"/>
      <c r="L118" s="90">
        <f>COUNT(N118:AO118)</f>
        <v>25</v>
      </c>
      <c r="M118" s="30"/>
      <c r="N118" s="292">
        <v>1</v>
      </c>
      <c r="O118" s="86">
        <f t="shared" si="79"/>
        <v>2</v>
      </c>
      <c r="P118" s="86">
        <f t="shared" si="79"/>
        <v>3</v>
      </c>
      <c r="Q118" s="86">
        <f t="shared" si="79"/>
        <v>4</v>
      </c>
      <c r="R118" s="86">
        <f t="shared" si="79"/>
        <v>5</v>
      </c>
      <c r="S118" s="86">
        <f t="shared" si="79"/>
        <v>6</v>
      </c>
      <c r="T118" s="86">
        <f t="shared" si="79"/>
        <v>7</v>
      </c>
      <c r="U118" s="285">
        <f t="shared" si="79"/>
        <v>8</v>
      </c>
      <c r="V118" s="86">
        <f t="shared" si="79"/>
        <v>9</v>
      </c>
      <c r="W118" s="86">
        <f t="shared" si="79"/>
        <v>10</v>
      </c>
      <c r="X118" s="86">
        <f t="shared" si="79"/>
        <v>11</v>
      </c>
      <c r="Y118" s="86">
        <f t="shared" si="79"/>
        <v>12</v>
      </c>
      <c r="Z118" s="86">
        <f t="shared" si="79"/>
        <v>13</v>
      </c>
      <c r="AA118" s="287">
        <f t="shared" si="79"/>
        <v>14</v>
      </c>
      <c r="AB118" s="86">
        <f t="shared" si="79"/>
        <v>15</v>
      </c>
      <c r="AC118" s="86">
        <f t="shared" si="79"/>
        <v>16</v>
      </c>
      <c r="AD118" s="86">
        <f t="shared" si="79"/>
        <v>17</v>
      </c>
      <c r="AE118" s="86">
        <f t="shared" si="79"/>
        <v>18</v>
      </c>
      <c r="AF118" s="86">
        <f t="shared" si="79"/>
        <v>19</v>
      </c>
      <c r="AG118" s="86">
        <f t="shared" si="79"/>
        <v>20</v>
      </c>
      <c r="AH118" s="86">
        <f>AG118+1</f>
        <v>21</v>
      </c>
      <c r="AI118" s="285">
        <f t="shared" si="79"/>
        <v>22</v>
      </c>
      <c r="AJ118" s="86">
        <f t="shared" si="79"/>
        <v>23</v>
      </c>
      <c r="AK118" s="86">
        <f>AJ118+1</f>
        <v>24</v>
      </c>
      <c r="AL118" s="86">
        <f>AK118+1</f>
        <v>25</v>
      </c>
      <c r="AM118" s="258"/>
      <c r="AN118" s="258"/>
      <c r="AO118" s="284"/>
      <c r="AP118" s="290"/>
      <c r="AQ118" s="290"/>
      <c r="AR118" s="290"/>
      <c r="AS118" s="284"/>
      <c r="AT118" s="284"/>
      <c r="AU118" s="284"/>
      <c r="AV118" s="284"/>
      <c r="AW118" s="284"/>
      <c r="AX118" s="284"/>
      <c r="AY118" s="284"/>
      <c r="AZ118" s="284"/>
      <c r="BA118" s="284"/>
      <c r="BB118" s="284"/>
      <c r="BC118" s="295"/>
      <c r="BD118" s="292"/>
      <c r="BE118" s="290"/>
      <c r="BF118" s="290"/>
      <c r="BG118" s="284"/>
      <c r="BH118" s="284"/>
      <c r="BI118" s="284"/>
      <c r="BJ118" s="284"/>
      <c r="BK118" s="284"/>
      <c r="BL118" s="284"/>
      <c r="BM118" s="284"/>
      <c r="BN118" s="284"/>
      <c r="BO118" s="284"/>
      <c r="BP118" s="284"/>
      <c r="BQ118" s="295"/>
      <c r="BR118" s="292"/>
      <c r="BS118" s="290"/>
      <c r="BT118" s="290"/>
      <c r="BU118" s="284"/>
      <c r="BV118" s="284"/>
      <c r="BW118" s="284"/>
      <c r="BX118" s="284"/>
      <c r="BY118" s="284"/>
      <c r="BZ118" s="284"/>
      <c r="CA118" s="284"/>
      <c r="CB118" s="284"/>
      <c r="CC118" s="284"/>
      <c r="CD118" s="284"/>
      <c r="CE118" s="295"/>
    </row>
    <row r="119" spans="1:83" ht="15" hidden="1" customHeight="1" x14ac:dyDescent="0.25">
      <c r="A119" s="286" t="s">
        <v>14</v>
      </c>
      <c r="B119" s="265">
        <f>B117</f>
        <v>15</v>
      </c>
      <c r="C119" s="265">
        <v>6</v>
      </c>
      <c r="D119" s="265" t="str">
        <f t="shared" si="51"/>
        <v>COUNTDOWN_WEST_M_1_14</v>
      </c>
      <c r="E119" s="265"/>
      <c r="F119" s="34" t="s">
        <v>33</v>
      </c>
      <c r="G119" s="3" t="s">
        <v>19</v>
      </c>
      <c r="H119" s="3">
        <v>1</v>
      </c>
      <c r="I119" s="3">
        <v>1</v>
      </c>
      <c r="J119" s="3" t="s">
        <v>14</v>
      </c>
      <c r="K119" s="32"/>
      <c r="L119" s="32"/>
      <c r="M119" s="30"/>
      <c r="N119" s="307">
        <v>12</v>
      </c>
      <c r="O119" s="308">
        <v>11</v>
      </c>
      <c r="P119" s="308">
        <v>10</v>
      </c>
      <c r="Q119" s="306">
        <v>9</v>
      </c>
      <c r="R119" s="306">
        <v>8</v>
      </c>
      <c r="S119" s="306">
        <v>7</v>
      </c>
      <c r="T119" s="306">
        <v>6</v>
      </c>
      <c r="U119" s="309">
        <v>5</v>
      </c>
      <c r="V119" s="308">
        <v>4</v>
      </c>
      <c r="W119" s="306">
        <v>3</v>
      </c>
      <c r="X119" s="306">
        <v>2</v>
      </c>
      <c r="Y119" s="306">
        <v>1</v>
      </c>
      <c r="Z119" s="306">
        <v>14</v>
      </c>
      <c r="AA119" s="310">
        <v>13</v>
      </c>
      <c r="AB119" s="308">
        <v>12</v>
      </c>
      <c r="AC119" s="308">
        <v>11</v>
      </c>
      <c r="AD119" s="308">
        <v>10</v>
      </c>
      <c r="AE119" s="306">
        <v>9</v>
      </c>
      <c r="AF119" s="306">
        <v>8</v>
      </c>
      <c r="AG119" s="306">
        <v>7</v>
      </c>
      <c r="AH119" s="284">
        <v>6</v>
      </c>
      <c r="AI119" s="293">
        <v>5</v>
      </c>
      <c r="AJ119" s="290">
        <v>4</v>
      </c>
      <c r="AK119" s="284">
        <v>3</v>
      </c>
      <c r="AL119" s="284">
        <v>2</v>
      </c>
      <c r="AM119" s="284">
        <v>1</v>
      </c>
      <c r="AN119" s="306">
        <v>14</v>
      </c>
      <c r="AO119" s="284">
        <v>13</v>
      </c>
      <c r="AP119" s="311">
        <v>12</v>
      </c>
      <c r="AQ119" s="311">
        <v>11</v>
      </c>
      <c r="AR119" s="311">
        <v>10</v>
      </c>
      <c r="AS119" s="306">
        <v>9</v>
      </c>
      <c r="AT119" s="306">
        <v>8</v>
      </c>
      <c r="AU119" s="306">
        <v>7</v>
      </c>
      <c r="AV119" s="306">
        <v>6</v>
      </c>
      <c r="AW119" s="306">
        <v>5</v>
      </c>
      <c r="AX119" s="306">
        <v>4</v>
      </c>
      <c r="AY119" s="306">
        <v>3</v>
      </c>
      <c r="AZ119" s="306">
        <v>2</v>
      </c>
      <c r="BA119" s="306">
        <v>1</v>
      </c>
      <c r="BB119" s="306">
        <v>14</v>
      </c>
      <c r="BC119" s="310">
        <v>13</v>
      </c>
      <c r="BD119" s="312">
        <v>12</v>
      </c>
      <c r="BE119" s="311">
        <v>11</v>
      </c>
      <c r="BF119" s="311">
        <v>10</v>
      </c>
      <c r="BG119" s="306">
        <v>9</v>
      </c>
      <c r="BH119" s="306">
        <v>8</v>
      </c>
      <c r="BI119" s="306">
        <v>7</v>
      </c>
      <c r="BJ119" s="306">
        <v>6</v>
      </c>
      <c r="BK119" s="306">
        <v>5</v>
      </c>
      <c r="BL119" s="306">
        <v>4</v>
      </c>
      <c r="BM119" s="306">
        <v>3</v>
      </c>
      <c r="BN119" s="306">
        <v>2</v>
      </c>
      <c r="BO119" s="306">
        <v>1</v>
      </c>
      <c r="BP119" s="306">
        <v>14</v>
      </c>
      <c r="BQ119" s="310">
        <v>13</v>
      </c>
      <c r="BR119" s="307">
        <v>12</v>
      </c>
      <c r="BS119" s="308">
        <v>11</v>
      </c>
      <c r="BT119" s="308">
        <v>10</v>
      </c>
      <c r="BU119" s="306">
        <v>9</v>
      </c>
      <c r="BV119" s="306">
        <v>8</v>
      </c>
      <c r="BW119" s="306">
        <v>7</v>
      </c>
      <c r="BX119" s="306">
        <v>6</v>
      </c>
      <c r="BY119" s="306">
        <v>5</v>
      </c>
      <c r="BZ119" s="306">
        <v>4</v>
      </c>
      <c r="CA119" s="306">
        <v>3</v>
      </c>
      <c r="CB119" s="306">
        <v>2</v>
      </c>
      <c r="CC119" s="306">
        <v>1</v>
      </c>
      <c r="CD119" s="306">
        <v>14</v>
      </c>
      <c r="CE119" s="310">
        <v>13</v>
      </c>
    </row>
    <row r="120" spans="1:83" hidden="1" x14ac:dyDescent="0.25">
      <c r="U120" s="313"/>
      <c r="V120" s="314">
        <v>1</v>
      </c>
    </row>
    <row r="121" spans="1:83" hidden="1" x14ac:dyDescent="0.25">
      <c r="U121" s="313"/>
      <c r="V121" s="314">
        <v>11</v>
      </c>
    </row>
    <row r="122" spans="1:83" x14ac:dyDescent="0.25">
      <c r="U122" s="313"/>
      <c r="V122" s="314"/>
    </row>
    <row r="123" spans="1:83" x14ac:dyDescent="0.25">
      <c r="U123" s="313"/>
      <c r="V123" s="314"/>
    </row>
    <row r="124" spans="1:83" x14ac:dyDescent="0.25">
      <c r="U124" s="313"/>
      <c r="V124" s="314"/>
    </row>
    <row r="125" spans="1:83" x14ac:dyDescent="0.25">
      <c r="U125" s="313"/>
      <c r="V125" s="314"/>
    </row>
    <row r="126" spans="1:83" x14ac:dyDescent="0.25">
      <c r="U126" s="313"/>
      <c r="V126" s="314"/>
    </row>
    <row r="127" spans="1:83" x14ac:dyDescent="0.25">
      <c r="U127" s="313"/>
      <c r="V127" s="314"/>
    </row>
    <row r="128" spans="1:83" x14ac:dyDescent="0.25">
      <c r="U128" s="313"/>
      <c r="V128" s="314"/>
    </row>
    <row r="129" spans="21:22" x14ac:dyDescent="0.25">
      <c r="U129" s="313"/>
      <c r="V129" s="314"/>
    </row>
    <row r="130" spans="21:22" x14ac:dyDescent="0.25">
      <c r="U130" s="313"/>
      <c r="V130" s="314"/>
    </row>
    <row r="131" spans="21:22" x14ac:dyDescent="0.25">
      <c r="U131" s="313"/>
      <c r="V131" s="314"/>
    </row>
    <row r="132" spans="21:22" x14ac:dyDescent="0.25">
      <c r="U132" s="313"/>
      <c r="V132" s="314"/>
    </row>
    <row r="133" spans="21:22" x14ac:dyDescent="0.25">
      <c r="U133" s="313"/>
      <c r="V133" s="314"/>
    </row>
    <row r="134" spans="21:22" x14ac:dyDescent="0.25">
      <c r="U134" s="313"/>
      <c r="V134" s="314"/>
    </row>
    <row r="135" spans="21:22" x14ac:dyDescent="0.25">
      <c r="U135" s="313"/>
      <c r="V135" s="314"/>
    </row>
    <row r="136" spans="21:22" x14ac:dyDescent="0.25">
      <c r="U136" s="313"/>
      <c r="V136" s="314"/>
    </row>
    <row r="137" spans="21:22" x14ac:dyDescent="0.25">
      <c r="U137" s="313"/>
      <c r="V137" s="314"/>
    </row>
    <row r="138" spans="21:22" x14ac:dyDescent="0.25">
      <c r="U138" s="313"/>
      <c r="V138" s="314"/>
    </row>
    <row r="139" spans="21:22" x14ac:dyDescent="0.25">
      <c r="U139" s="313"/>
      <c r="V139" s="314"/>
    </row>
    <row r="140" spans="21:22" x14ac:dyDescent="0.25">
      <c r="U140" s="313"/>
      <c r="V140" s="314"/>
    </row>
    <row r="141" spans="21:22" x14ac:dyDescent="0.25">
      <c r="U141" s="313"/>
      <c r="V141" s="314"/>
    </row>
    <row r="142" spans="21:22" x14ac:dyDescent="0.25">
      <c r="U142" s="313"/>
      <c r="V142" s="314"/>
    </row>
    <row r="143" spans="21:22" x14ac:dyDescent="0.25">
      <c r="U143" s="313"/>
      <c r="V143" s="314"/>
    </row>
    <row r="144" spans="21:22" x14ac:dyDescent="0.25">
      <c r="U144" s="313"/>
      <c r="V144" s="314"/>
    </row>
    <row r="145" spans="21:22" x14ac:dyDescent="0.25">
      <c r="U145" s="313"/>
      <c r="V145" s="314"/>
    </row>
    <row r="146" spans="21:22" x14ac:dyDescent="0.25">
      <c r="U146" s="313"/>
      <c r="V146" s="314"/>
    </row>
    <row r="147" spans="21:22" x14ac:dyDescent="0.25">
      <c r="U147" s="313"/>
      <c r="V147" s="314"/>
    </row>
    <row r="148" spans="21:22" x14ac:dyDescent="0.25">
      <c r="U148" s="313"/>
      <c r="V148" s="314"/>
    </row>
    <row r="149" spans="21:22" x14ac:dyDescent="0.25">
      <c r="U149" s="313"/>
      <c r="V149" s="314"/>
    </row>
    <row r="150" spans="21:22" x14ac:dyDescent="0.25">
      <c r="U150" s="313"/>
      <c r="V150" s="314"/>
    </row>
    <row r="151" spans="21:22" x14ac:dyDescent="0.25">
      <c r="U151" s="313"/>
      <c r="V151" s="314"/>
    </row>
    <row r="152" spans="21:22" x14ac:dyDescent="0.25">
      <c r="U152" s="313"/>
      <c r="V152" s="314"/>
    </row>
    <row r="153" spans="21:22" x14ac:dyDescent="0.25">
      <c r="U153" s="313"/>
      <c r="V153" s="314"/>
    </row>
    <row r="154" spans="21:22" x14ac:dyDescent="0.25">
      <c r="U154" s="313"/>
      <c r="V154" s="314"/>
    </row>
    <row r="155" spans="21:22" x14ac:dyDescent="0.25">
      <c r="U155" s="313"/>
      <c r="V155" s="314"/>
    </row>
    <row r="156" spans="21:22" x14ac:dyDescent="0.25">
      <c r="U156" s="313"/>
      <c r="V156" s="314"/>
    </row>
    <row r="157" spans="21:22" x14ac:dyDescent="0.25">
      <c r="U157" s="313"/>
      <c r="V157" s="314"/>
    </row>
    <row r="158" spans="21:22" x14ac:dyDescent="0.25">
      <c r="U158" s="313"/>
      <c r="V158" s="314"/>
    </row>
    <row r="159" spans="21:22" x14ac:dyDescent="0.25">
      <c r="U159" s="313"/>
      <c r="V159" s="314"/>
    </row>
    <row r="160" spans="21:22" x14ac:dyDescent="0.25">
      <c r="U160" s="313"/>
      <c r="V160" s="314"/>
    </row>
    <row r="161" spans="21:22" x14ac:dyDescent="0.25">
      <c r="U161" s="313"/>
      <c r="V161" s="314"/>
    </row>
    <row r="162" spans="21:22" x14ac:dyDescent="0.25">
      <c r="U162" s="313"/>
      <c r="V162" s="314"/>
    </row>
  </sheetData>
  <autoFilter ref="A5:CE121">
    <filterColumn colId="5">
      <filters>
        <filter val="EMPTY"/>
      </filters>
    </filterColumn>
  </autoFilter>
  <mergeCells count="3">
    <mergeCell ref="AA2:AB2"/>
    <mergeCell ref="N3:AA3"/>
    <mergeCell ref="AB3:AO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CJ119"/>
  <sheetViews>
    <sheetView zoomScale="85" zoomScaleNormal="85" workbookViewId="0">
      <selection activeCell="D11" sqref="D11"/>
    </sheetView>
  </sheetViews>
  <sheetFormatPr defaultColWidth="3.28515625" defaultRowHeight="15" x14ac:dyDescent="0.25"/>
  <cols>
    <col min="1" max="1" width="3.28515625" style="2"/>
    <col min="2" max="2" width="9.140625" bestFit="1" customWidth="1"/>
    <col min="3" max="3" width="14.85546875" bestFit="1" customWidth="1"/>
    <col min="4" max="4" width="35.42578125" bestFit="1" customWidth="1"/>
    <col min="5" max="5" width="21.140625" customWidth="1"/>
    <col min="6" max="6" width="21" bestFit="1" customWidth="1"/>
    <col min="7" max="7" width="7.140625" bestFit="1" customWidth="1"/>
    <col min="8" max="8" width="7.140625" customWidth="1"/>
    <col min="9" max="9" width="6.7109375" style="43" customWidth="1"/>
    <col min="10" max="10" width="8.28515625" bestFit="1" customWidth="1"/>
    <col min="11" max="11" width="10.5703125" bestFit="1" customWidth="1"/>
    <col min="12" max="12" width="11" bestFit="1" customWidth="1"/>
    <col min="13" max="13" width="8.85546875" bestFit="1" customWidth="1"/>
    <col min="14" max="22" width="3.7109375" style="255" customWidth="1"/>
    <col min="23" max="23" width="3.7109375" style="316" customWidth="1"/>
    <col min="24" max="36" width="3.7109375" style="255" customWidth="1"/>
    <col min="37" max="37" width="3.7109375" style="313" customWidth="1"/>
    <col min="38" max="88" width="3.7109375" style="255" customWidth="1"/>
    <col min="89" max="16384" width="3.28515625" style="2"/>
  </cols>
  <sheetData>
    <row r="1" spans="1:88" customFormat="1" ht="21" x14ac:dyDescent="0.35">
      <c r="A1" s="2"/>
      <c r="B1" s="250" t="s">
        <v>61</v>
      </c>
      <c r="D1" s="335">
        <v>15</v>
      </c>
      <c r="E1" s="334" t="s">
        <v>63</v>
      </c>
      <c r="I1" s="43"/>
      <c r="N1" s="251"/>
      <c r="O1" s="251"/>
      <c r="P1" s="251"/>
      <c r="Q1" s="251"/>
      <c r="R1" s="251"/>
      <c r="S1" s="251"/>
      <c r="T1" s="251"/>
      <c r="U1" s="251"/>
      <c r="V1" s="251"/>
      <c r="W1" s="252"/>
      <c r="X1" s="251"/>
      <c r="Y1" s="251"/>
      <c r="Z1" s="251"/>
      <c r="AA1" s="251"/>
      <c r="AB1" s="251"/>
      <c r="AC1" s="251"/>
      <c r="AD1" s="251"/>
      <c r="AE1" s="251"/>
      <c r="AF1" s="251"/>
      <c r="AG1" s="251"/>
      <c r="AH1" s="251"/>
      <c r="AI1" s="251"/>
      <c r="AJ1" s="251"/>
      <c r="AK1" s="254"/>
      <c r="AL1" s="251"/>
      <c r="AM1" s="251"/>
      <c r="AN1" s="251"/>
      <c r="AO1" s="251"/>
      <c r="AP1" s="251"/>
      <c r="AQ1" s="251"/>
      <c r="AR1" s="251"/>
      <c r="AS1" s="251"/>
      <c r="AT1" s="251"/>
      <c r="AU1" s="251"/>
      <c r="AV1" s="251"/>
      <c r="AW1" s="251"/>
      <c r="AX1" s="251"/>
      <c r="AY1" s="251"/>
      <c r="AZ1" s="251"/>
      <c r="BA1" s="251"/>
      <c r="BB1" s="251"/>
      <c r="BC1" s="251"/>
      <c r="BD1" s="251"/>
      <c r="BE1" s="251"/>
      <c r="BF1" s="251"/>
      <c r="BG1" s="251"/>
      <c r="BH1" s="251"/>
      <c r="BI1" s="251"/>
      <c r="BJ1" s="251"/>
      <c r="BK1" s="251"/>
      <c r="BL1" s="251"/>
      <c r="BM1" s="251"/>
      <c r="BN1" s="251"/>
      <c r="BO1" s="251"/>
      <c r="BP1" s="251"/>
      <c r="BQ1" s="251"/>
      <c r="BR1" s="251"/>
      <c r="BS1" s="251"/>
      <c r="BT1" s="251"/>
      <c r="BU1" s="251"/>
      <c r="BV1" s="251"/>
      <c r="BW1" s="251"/>
      <c r="BX1" s="251"/>
      <c r="BY1" s="251"/>
      <c r="BZ1" s="251"/>
      <c r="CA1" s="251"/>
      <c r="CB1" s="251"/>
      <c r="CC1" s="251"/>
      <c r="CD1" s="251"/>
      <c r="CE1" s="251"/>
      <c r="CF1" s="251"/>
      <c r="CG1" s="251"/>
      <c r="CH1" s="251"/>
      <c r="CI1" s="251"/>
      <c r="CJ1" s="251"/>
    </row>
    <row r="2" spans="1:88" customFormat="1" x14ac:dyDescent="0.25">
      <c r="A2" s="2"/>
      <c r="I2" s="45"/>
      <c r="N2" s="251"/>
      <c r="O2" s="251"/>
      <c r="P2" s="251"/>
      <c r="Q2" s="251"/>
      <c r="R2" s="251"/>
      <c r="S2" s="251"/>
      <c r="T2" s="251"/>
      <c r="U2" s="251"/>
      <c r="V2" s="251"/>
      <c r="W2" s="252"/>
      <c r="X2" s="251"/>
      <c r="Y2" s="251"/>
      <c r="Z2" s="251"/>
      <c r="AA2" s="251"/>
      <c r="AB2" s="356" t="s">
        <v>37</v>
      </c>
      <c r="AC2" s="356"/>
      <c r="AD2" s="251"/>
      <c r="AE2" s="251"/>
      <c r="AF2" s="251"/>
      <c r="AG2" s="251"/>
      <c r="AH2" s="251"/>
      <c r="AI2" s="251"/>
      <c r="AJ2" s="251"/>
      <c r="AK2" s="254"/>
      <c r="AL2" s="251"/>
      <c r="AM2" s="251"/>
      <c r="AN2" s="251"/>
      <c r="AO2" s="251"/>
      <c r="AP2" s="251"/>
      <c r="AQ2" s="251"/>
      <c r="AR2" s="251"/>
      <c r="AS2" s="251"/>
      <c r="AT2" s="251"/>
      <c r="AU2" s="251"/>
      <c r="AV2" s="251"/>
      <c r="AW2" s="251"/>
      <c r="AX2" s="251"/>
      <c r="AY2" s="251"/>
      <c r="AZ2" s="251"/>
      <c r="BA2" s="251"/>
      <c r="BB2" s="251"/>
      <c r="BC2" s="251"/>
      <c r="BD2" s="251"/>
      <c r="BE2" s="251"/>
      <c r="BF2" s="251"/>
      <c r="BG2" s="251"/>
      <c r="BH2" s="251"/>
      <c r="BI2" s="251"/>
      <c r="BJ2" s="251"/>
      <c r="BK2" s="251"/>
      <c r="BL2" s="251"/>
      <c r="BM2" s="251"/>
      <c r="BN2" s="251"/>
      <c r="BO2" s="251"/>
      <c r="BP2" s="251"/>
      <c r="BQ2" s="251"/>
      <c r="BR2" s="251"/>
      <c r="BS2" s="251"/>
      <c r="BT2" s="251"/>
      <c r="BU2" s="251"/>
      <c r="BV2" s="251"/>
      <c r="BW2" s="251"/>
      <c r="BX2" s="251"/>
      <c r="BY2" s="251"/>
      <c r="BZ2" s="251"/>
      <c r="CA2" s="251"/>
      <c r="CB2" s="251"/>
      <c r="CC2" s="251"/>
      <c r="CD2" s="251"/>
      <c r="CE2" s="251"/>
      <c r="CF2" s="251"/>
      <c r="CG2" s="251"/>
      <c r="CH2" s="251"/>
      <c r="CI2" s="251"/>
      <c r="CJ2" s="251"/>
    </row>
    <row r="3" spans="1:88" s="251" customFormat="1" x14ac:dyDescent="0.25">
      <c r="A3" s="255"/>
      <c r="B3" s="256" t="s">
        <v>26</v>
      </c>
      <c r="C3" s="256" t="s">
        <v>25</v>
      </c>
      <c r="D3" s="256"/>
      <c r="E3" s="256" t="s">
        <v>36</v>
      </c>
      <c r="F3" s="256" t="s">
        <v>29</v>
      </c>
      <c r="G3" s="256" t="s">
        <v>17</v>
      </c>
      <c r="H3" s="256"/>
      <c r="I3" s="3" t="s">
        <v>20</v>
      </c>
      <c r="J3" s="256" t="s">
        <v>1</v>
      </c>
      <c r="K3" s="256" t="s">
        <v>30</v>
      </c>
      <c r="L3" s="256" t="s">
        <v>31</v>
      </c>
      <c r="M3" s="256" t="s">
        <v>27</v>
      </c>
      <c r="N3" s="357">
        <v>9</v>
      </c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  <c r="AA3" s="358"/>
      <c r="AB3" s="358"/>
      <c r="AC3" s="357">
        <v>8</v>
      </c>
      <c r="AD3" s="358"/>
      <c r="AE3" s="358"/>
      <c r="AF3" s="358"/>
      <c r="AG3" s="358"/>
      <c r="AH3" s="358"/>
      <c r="AI3" s="358"/>
      <c r="AJ3" s="358"/>
      <c r="AK3" s="358"/>
      <c r="AL3" s="358"/>
      <c r="AM3" s="358"/>
      <c r="AN3" s="358"/>
      <c r="AO3" s="358"/>
      <c r="AP3" s="358"/>
      <c r="AQ3" s="358"/>
    </row>
    <row r="4" spans="1:88" customFormat="1" x14ac:dyDescent="0.25">
      <c r="A4" s="2"/>
      <c r="B4" s="257"/>
      <c r="C4" s="257"/>
      <c r="D4" s="257"/>
      <c r="E4" s="257"/>
      <c r="F4" s="257"/>
      <c r="G4" s="257"/>
      <c r="H4" s="257"/>
      <c r="I4" s="45"/>
      <c r="J4" s="257"/>
      <c r="K4" s="257"/>
      <c r="L4" s="257">
        <v>15</v>
      </c>
      <c r="M4" s="257"/>
      <c r="N4" s="258">
        <v>15</v>
      </c>
      <c r="O4" s="258">
        <v>14</v>
      </c>
      <c r="P4" s="258">
        <v>13</v>
      </c>
      <c r="Q4" s="258">
        <v>12</v>
      </c>
      <c r="R4" s="258">
        <v>11</v>
      </c>
      <c r="S4" s="258">
        <v>10</v>
      </c>
      <c r="T4" s="258">
        <v>9</v>
      </c>
      <c r="U4" s="258">
        <v>8</v>
      </c>
      <c r="V4" s="258">
        <v>7</v>
      </c>
      <c r="W4" s="258">
        <v>6</v>
      </c>
      <c r="X4" s="258">
        <v>5</v>
      </c>
      <c r="Y4" s="258">
        <v>4</v>
      </c>
      <c r="Z4" s="258">
        <v>3</v>
      </c>
      <c r="AA4" s="258">
        <v>2</v>
      </c>
      <c r="AB4" s="258">
        <v>1</v>
      </c>
      <c r="AC4" s="261">
        <v>15</v>
      </c>
      <c r="AD4" s="261">
        <v>14</v>
      </c>
      <c r="AE4" s="261">
        <v>13</v>
      </c>
      <c r="AF4" s="261">
        <v>12</v>
      </c>
      <c r="AG4" s="261">
        <v>11</v>
      </c>
      <c r="AH4" s="261">
        <v>10</v>
      </c>
      <c r="AI4" s="261">
        <v>9</v>
      </c>
      <c r="AJ4" s="261">
        <v>8</v>
      </c>
      <c r="AK4" s="261">
        <v>7</v>
      </c>
      <c r="AL4" s="261">
        <v>6</v>
      </c>
      <c r="AM4" s="261">
        <v>5</v>
      </c>
      <c r="AN4" s="261">
        <v>4</v>
      </c>
      <c r="AO4" s="261">
        <v>3</v>
      </c>
      <c r="AP4" s="261">
        <v>2</v>
      </c>
      <c r="AQ4" s="261">
        <v>1</v>
      </c>
      <c r="AR4" s="263">
        <v>15</v>
      </c>
      <c r="AS4" s="263">
        <v>14</v>
      </c>
      <c r="AT4" s="263">
        <v>13</v>
      </c>
      <c r="AU4" s="263">
        <v>12</v>
      </c>
      <c r="AV4" s="263">
        <v>11</v>
      </c>
      <c r="AW4" s="263">
        <v>10</v>
      </c>
      <c r="AX4" s="263">
        <v>9</v>
      </c>
      <c r="AY4" s="263">
        <v>8</v>
      </c>
      <c r="AZ4" s="263">
        <v>7</v>
      </c>
      <c r="BA4" s="263">
        <v>6</v>
      </c>
      <c r="BB4" s="263">
        <v>5</v>
      </c>
      <c r="BC4" s="263">
        <v>4</v>
      </c>
      <c r="BD4" s="263">
        <v>3</v>
      </c>
      <c r="BE4" s="263">
        <v>2</v>
      </c>
      <c r="BF4" s="263">
        <v>1</v>
      </c>
      <c r="BG4" s="264">
        <v>15</v>
      </c>
      <c r="BH4" s="264">
        <v>14</v>
      </c>
      <c r="BI4" s="264">
        <v>13</v>
      </c>
      <c r="BJ4" s="264">
        <v>12</v>
      </c>
      <c r="BK4" s="264">
        <v>11</v>
      </c>
      <c r="BL4" s="264">
        <v>10</v>
      </c>
      <c r="BM4" s="264">
        <v>9</v>
      </c>
      <c r="BN4" s="264">
        <v>8</v>
      </c>
      <c r="BO4" s="264">
        <v>7</v>
      </c>
      <c r="BP4" s="264">
        <v>6</v>
      </c>
      <c r="BQ4" s="264">
        <v>5</v>
      </c>
      <c r="BR4" s="264">
        <v>4</v>
      </c>
      <c r="BS4" s="264">
        <v>3</v>
      </c>
      <c r="BT4" s="264">
        <v>2</v>
      </c>
      <c r="BU4" s="264">
        <v>1</v>
      </c>
      <c r="BV4" s="265">
        <v>15</v>
      </c>
      <c r="BW4" s="265">
        <v>14</v>
      </c>
      <c r="BX4" s="265">
        <v>13</v>
      </c>
      <c r="BY4" s="265">
        <v>12</v>
      </c>
      <c r="BZ4" s="265">
        <v>11</v>
      </c>
      <c r="CA4" s="265">
        <v>10</v>
      </c>
      <c r="CB4" s="265">
        <v>9</v>
      </c>
      <c r="CC4" s="265">
        <v>8</v>
      </c>
      <c r="CD4" s="265">
        <v>7</v>
      </c>
      <c r="CE4" s="265">
        <v>6</v>
      </c>
      <c r="CF4" s="265">
        <v>5</v>
      </c>
      <c r="CG4" s="265">
        <v>4</v>
      </c>
      <c r="CH4" s="265">
        <v>3</v>
      </c>
      <c r="CI4" s="265">
        <v>2</v>
      </c>
      <c r="CJ4" s="265">
        <v>1</v>
      </c>
    </row>
    <row r="5" spans="1:88" s="277" customFormat="1" x14ac:dyDescent="0.25">
      <c r="A5" s="266"/>
      <c r="B5" s="267">
        <v>0</v>
      </c>
      <c r="C5" s="267">
        <v>0</v>
      </c>
      <c r="D5" s="267"/>
      <c r="E5" s="267"/>
      <c r="F5" s="267" t="s">
        <v>23</v>
      </c>
      <c r="G5" s="267"/>
      <c r="H5" s="267"/>
      <c r="I5" s="34"/>
      <c r="J5" s="267"/>
      <c r="K5" s="267">
        <v>-6</v>
      </c>
      <c r="L5" s="268">
        <v>6</v>
      </c>
      <c r="M5" s="268"/>
      <c r="N5" s="269">
        <v>9</v>
      </c>
      <c r="O5" s="269">
        <v>8</v>
      </c>
      <c r="P5" s="269">
        <v>7</v>
      </c>
      <c r="Q5" s="269">
        <v>6</v>
      </c>
      <c r="R5" s="269">
        <v>5</v>
      </c>
      <c r="S5" s="269">
        <v>4</v>
      </c>
      <c r="T5" s="269">
        <v>3</v>
      </c>
      <c r="U5" s="269">
        <v>2</v>
      </c>
      <c r="V5" s="270">
        <v>1</v>
      </c>
      <c r="W5" s="271">
        <v>15</v>
      </c>
      <c r="X5" s="271">
        <v>14</v>
      </c>
      <c r="Y5" s="271">
        <v>13</v>
      </c>
      <c r="Z5" s="271">
        <v>12</v>
      </c>
      <c r="AA5" s="271">
        <v>11</v>
      </c>
      <c r="AB5" s="271">
        <v>10</v>
      </c>
      <c r="AC5" s="271">
        <v>9</v>
      </c>
      <c r="AD5" s="271">
        <v>8</v>
      </c>
      <c r="AE5" s="271">
        <v>7</v>
      </c>
      <c r="AF5" s="271">
        <v>6</v>
      </c>
      <c r="AG5" s="271">
        <v>5</v>
      </c>
      <c r="AH5" s="271">
        <v>4</v>
      </c>
      <c r="AI5" s="271">
        <v>3</v>
      </c>
      <c r="AJ5" s="271">
        <v>2</v>
      </c>
      <c r="AK5" s="271">
        <v>1</v>
      </c>
      <c r="AL5" s="276">
        <v>15</v>
      </c>
      <c r="AM5" s="276">
        <v>14</v>
      </c>
      <c r="AN5" s="276">
        <v>13</v>
      </c>
      <c r="AO5" s="276">
        <v>12</v>
      </c>
      <c r="AP5" s="276">
        <v>11</v>
      </c>
      <c r="AQ5" s="276">
        <v>10</v>
      </c>
      <c r="AR5" s="276">
        <v>9</v>
      </c>
      <c r="AS5" s="276">
        <v>8</v>
      </c>
      <c r="AT5" s="276">
        <v>7</v>
      </c>
      <c r="AU5" s="276">
        <v>6</v>
      </c>
      <c r="AV5" s="276">
        <v>5</v>
      </c>
      <c r="AW5" s="276">
        <v>4</v>
      </c>
      <c r="AX5" s="276">
        <v>3</v>
      </c>
      <c r="AY5" s="276">
        <v>2</v>
      </c>
      <c r="AZ5" s="276">
        <v>1</v>
      </c>
      <c r="BA5" s="264">
        <v>15</v>
      </c>
      <c r="BB5" s="264">
        <v>14</v>
      </c>
      <c r="BC5" s="264">
        <v>13</v>
      </c>
      <c r="BD5" s="264">
        <v>12</v>
      </c>
      <c r="BE5" s="264">
        <v>11</v>
      </c>
      <c r="BF5" s="264">
        <v>10</v>
      </c>
      <c r="BG5" s="264">
        <v>9</v>
      </c>
      <c r="BH5" s="264">
        <v>8</v>
      </c>
      <c r="BI5" s="264">
        <v>7</v>
      </c>
      <c r="BJ5" s="264">
        <v>6</v>
      </c>
      <c r="BK5" s="264">
        <v>5</v>
      </c>
      <c r="BL5" s="264">
        <v>4</v>
      </c>
      <c r="BM5" s="264">
        <v>3</v>
      </c>
      <c r="BN5" s="264">
        <v>2</v>
      </c>
      <c r="BO5" s="264">
        <v>1</v>
      </c>
      <c r="BP5" s="267">
        <v>15</v>
      </c>
      <c r="BQ5" s="267">
        <v>14</v>
      </c>
      <c r="BR5" s="267">
        <v>13</v>
      </c>
      <c r="BS5" s="267">
        <v>12</v>
      </c>
      <c r="BT5" s="267">
        <v>11</v>
      </c>
      <c r="BU5" s="267">
        <v>10</v>
      </c>
      <c r="BV5" s="267">
        <v>9</v>
      </c>
      <c r="BW5" s="267">
        <v>8</v>
      </c>
      <c r="BX5" s="267">
        <v>7</v>
      </c>
      <c r="BY5" s="267">
        <v>6</v>
      </c>
      <c r="BZ5" s="267">
        <v>5</v>
      </c>
      <c r="CA5" s="267">
        <v>4</v>
      </c>
      <c r="CB5" s="267">
        <v>3</v>
      </c>
      <c r="CC5" s="267">
        <v>2</v>
      </c>
      <c r="CD5" s="267">
        <v>1</v>
      </c>
      <c r="CE5" s="267">
        <v>15</v>
      </c>
      <c r="CF5" s="267">
        <v>14</v>
      </c>
      <c r="CG5" s="267">
        <v>13</v>
      </c>
      <c r="CH5" s="267">
        <v>12</v>
      </c>
      <c r="CI5" s="267">
        <v>11</v>
      </c>
      <c r="CJ5" s="267">
        <v>10</v>
      </c>
    </row>
    <row r="6" spans="1:88" hidden="1" x14ac:dyDescent="0.25">
      <c r="B6" s="265">
        <v>1</v>
      </c>
      <c r="C6" s="265">
        <v>1</v>
      </c>
      <c r="D6" s="265" t="str">
        <f>F6&amp;"_"&amp;G6&amp;"_"&amp;J6&amp;"_"&amp;H6&amp;"_"&amp;$D$1</f>
        <v>SORTING_EAST_UNP_1_15</v>
      </c>
      <c r="E6" s="265" t="s">
        <v>35</v>
      </c>
      <c r="F6" s="49" t="s">
        <v>45</v>
      </c>
      <c r="G6" s="3" t="s">
        <v>18</v>
      </c>
      <c r="H6" s="3">
        <v>1</v>
      </c>
      <c r="I6" s="3">
        <v>1</v>
      </c>
      <c r="J6" s="3" t="s">
        <v>42</v>
      </c>
      <c r="K6" s="37"/>
      <c r="L6" s="90">
        <f>COUNT(W6:AQ6)</f>
        <v>0</v>
      </c>
      <c r="M6" s="30" t="s">
        <v>28</v>
      </c>
      <c r="N6" s="247"/>
      <c r="O6" s="317"/>
      <c r="P6" s="317"/>
      <c r="Q6" s="317"/>
      <c r="R6" s="248"/>
      <c r="S6" s="248"/>
      <c r="T6" s="248"/>
      <c r="U6" s="248"/>
      <c r="V6" s="193"/>
      <c r="W6" s="333"/>
      <c r="X6" s="3"/>
      <c r="Y6" s="3"/>
      <c r="Z6" s="3"/>
      <c r="AA6" s="3"/>
      <c r="AB6" s="280"/>
      <c r="AC6" s="319"/>
      <c r="AD6" s="3"/>
      <c r="AE6" s="3"/>
      <c r="AF6" s="3"/>
      <c r="AG6" s="3"/>
      <c r="AH6" s="3"/>
      <c r="AI6" s="3"/>
      <c r="AJ6" s="3"/>
      <c r="AK6" s="280"/>
      <c r="AL6" s="279"/>
      <c r="AM6" s="33"/>
      <c r="AN6" s="33"/>
      <c r="AO6" s="33"/>
      <c r="AP6" s="33"/>
      <c r="AQ6" s="35"/>
      <c r="AR6" s="278"/>
      <c r="AS6" s="279"/>
      <c r="AT6" s="279"/>
      <c r="AU6" s="279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5"/>
      <c r="BG6" s="278"/>
      <c r="BH6" s="279"/>
      <c r="BI6" s="279"/>
      <c r="BJ6" s="279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5"/>
      <c r="BV6" s="278"/>
      <c r="BW6" s="279"/>
      <c r="BX6" s="279"/>
      <c r="BY6" s="279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5"/>
    </row>
    <row r="7" spans="1:88" hidden="1" x14ac:dyDescent="0.25">
      <c r="B7" s="265">
        <v>1</v>
      </c>
      <c r="C7" s="265">
        <v>2</v>
      </c>
      <c r="D7" s="265" t="str">
        <f t="shared" ref="D7:D76" si="0">F7&amp;"_"&amp;G7&amp;"_"&amp;J7&amp;"_"&amp;H7&amp;"_"&amp;$D$1</f>
        <v>TRANSFER_EAST_UNP_1_15</v>
      </c>
      <c r="E7" s="265" t="s">
        <v>21</v>
      </c>
      <c r="F7" s="49" t="s">
        <v>21</v>
      </c>
      <c r="G7" s="3" t="s">
        <v>18</v>
      </c>
      <c r="H7" s="3">
        <v>1</v>
      </c>
      <c r="I7" s="3">
        <v>1</v>
      </c>
      <c r="J7" s="3" t="s">
        <v>42</v>
      </c>
      <c r="K7" s="37"/>
      <c r="L7" s="90">
        <f>COUNT(W7:AQ7)</f>
        <v>1</v>
      </c>
      <c r="M7" s="30" t="s">
        <v>28</v>
      </c>
      <c r="N7" s="42"/>
      <c r="O7" s="133"/>
      <c r="P7" s="133"/>
      <c r="Q7" s="133"/>
      <c r="R7" s="46"/>
      <c r="S7" s="46"/>
      <c r="T7" s="46"/>
      <c r="U7" s="46"/>
      <c r="V7" s="101"/>
      <c r="W7" s="319">
        <v>1</v>
      </c>
      <c r="X7" s="4"/>
      <c r="Y7" s="33"/>
      <c r="Z7" s="33"/>
      <c r="AA7" s="3"/>
      <c r="AB7" s="280"/>
      <c r="AC7" s="319"/>
      <c r="AD7" s="3"/>
      <c r="AE7" s="3"/>
      <c r="AF7" s="3"/>
      <c r="AG7" s="3"/>
      <c r="AH7" s="3"/>
      <c r="AI7" s="3"/>
      <c r="AJ7" s="3"/>
      <c r="AK7" s="280"/>
      <c r="AL7" s="86"/>
      <c r="AM7" s="3"/>
      <c r="AN7" s="3"/>
      <c r="AO7" s="3"/>
      <c r="AP7" s="3"/>
      <c r="AQ7" s="31"/>
      <c r="AR7" s="8"/>
      <c r="AS7" s="86"/>
      <c r="AT7" s="86"/>
      <c r="AU7" s="86"/>
      <c r="AV7" s="3"/>
      <c r="AW7" s="3"/>
      <c r="AX7" s="3"/>
      <c r="AY7" s="3"/>
      <c r="AZ7" s="3"/>
      <c r="BA7" s="3"/>
      <c r="BB7" s="3"/>
      <c r="BC7" s="3"/>
      <c r="BD7" s="3"/>
      <c r="BE7" s="3"/>
      <c r="BF7" s="31"/>
      <c r="BG7" s="8"/>
      <c r="BH7" s="86"/>
      <c r="BI7" s="86"/>
      <c r="BJ7" s="86"/>
      <c r="BK7" s="3"/>
      <c r="BL7" s="3"/>
      <c r="BM7" s="3"/>
      <c r="BN7" s="3"/>
      <c r="BO7" s="3"/>
      <c r="BP7" s="3"/>
      <c r="BQ7" s="3"/>
      <c r="BR7" s="3"/>
      <c r="BS7" s="3"/>
      <c r="BT7" s="3"/>
      <c r="BU7" s="31"/>
      <c r="BV7" s="8"/>
      <c r="BW7" s="86"/>
      <c r="BX7" s="86"/>
      <c r="BY7" s="86"/>
      <c r="BZ7" s="3"/>
      <c r="CA7" s="3"/>
      <c r="CB7" s="3"/>
      <c r="CC7" s="3"/>
      <c r="CD7" s="3"/>
      <c r="CE7" s="3"/>
      <c r="CF7" s="3"/>
      <c r="CG7" s="3"/>
      <c r="CH7" s="3"/>
      <c r="CI7" s="3"/>
      <c r="CJ7" s="31"/>
    </row>
    <row r="8" spans="1:88" hidden="1" x14ac:dyDescent="0.25">
      <c r="B8" s="265">
        <v>1</v>
      </c>
      <c r="C8" s="265">
        <v>3</v>
      </c>
      <c r="D8" s="265" t="str">
        <f t="shared" si="0"/>
        <v>SUPPLY_EAST_UNP_1_15</v>
      </c>
      <c r="E8" s="265" t="s">
        <v>0</v>
      </c>
      <c r="F8" s="34" t="s">
        <v>0</v>
      </c>
      <c r="G8" s="3" t="s">
        <v>18</v>
      </c>
      <c r="H8" s="3">
        <v>1</v>
      </c>
      <c r="I8" s="3">
        <v>1</v>
      </c>
      <c r="J8" s="3" t="s">
        <v>42</v>
      </c>
      <c r="K8" s="90"/>
      <c r="L8" s="90">
        <f>COUNT(AC8:BF8)</f>
        <v>0</v>
      </c>
      <c r="M8" s="30" t="s">
        <v>28</v>
      </c>
      <c r="N8" s="42"/>
      <c r="O8" s="133"/>
      <c r="P8" s="133"/>
      <c r="Q8" s="133"/>
      <c r="R8" s="46"/>
      <c r="S8" s="46"/>
      <c r="T8" s="46"/>
      <c r="U8" s="46"/>
      <c r="V8" s="101"/>
      <c r="W8" s="320"/>
      <c r="X8" s="46"/>
      <c r="Y8" s="46"/>
      <c r="Z8" s="46"/>
      <c r="AA8" s="46"/>
      <c r="AB8" s="340"/>
      <c r="AC8" s="333"/>
      <c r="AD8" s="4"/>
      <c r="AE8" s="4"/>
      <c r="AF8" s="4"/>
      <c r="AG8" s="4"/>
      <c r="AH8" s="4"/>
      <c r="AI8" s="4"/>
      <c r="AJ8" s="4"/>
      <c r="AK8" s="283"/>
      <c r="AL8" s="93"/>
      <c r="AM8" s="4"/>
      <c r="AN8" s="284"/>
      <c r="AO8" s="3"/>
      <c r="AP8" s="3"/>
      <c r="AQ8" s="31"/>
      <c r="AR8" s="8"/>
      <c r="AS8" s="86"/>
      <c r="AT8" s="86"/>
      <c r="AU8" s="86"/>
      <c r="AV8" s="3"/>
      <c r="AW8" s="3"/>
      <c r="AX8" s="3"/>
      <c r="AY8" s="3"/>
      <c r="AZ8" s="3"/>
      <c r="BA8" s="3"/>
      <c r="BB8" s="3"/>
      <c r="BD8" s="3"/>
      <c r="BE8" s="3"/>
      <c r="BF8" s="31"/>
      <c r="BG8" s="8"/>
      <c r="BH8" s="86"/>
      <c r="BI8" s="86"/>
      <c r="BJ8" s="86"/>
      <c r="BK8" s="3"/>
      <c r="BL8" s="3"/>
      <c r="BM8" s="3"/>
      <c r="BN8" s="3"/>
      <c r="BO8" s="3"/>
      <c r="BP8" s="3"/>
      <c r="BQ8" s="3"/>
      <c r="BS8" s="3"/>
      <c r="BT8" s="3"/>
      <c r="BU8" s="31"/>
      <c r="BV8" s="8"/>
      <c r="BW8" s="86"/>
      <c r="BX8" s="86"/>
      <c r="BY8" s="86"/>
      <c r="BZ8" s="3"/>
      <c r="CA8" s="3"/>
      <c r="CB8" s="3"/>
      <c r="CC8" s="3"/>
      <c r="CD8" s="3"/>
      <c r="CE8" s="3"/>
      <c r="CF8" s="3"/>
      <c r="CH8" s="3"/>
      <c r="CI8" s="3"/>
      <c r="CJ8" s="31"/>
    </row>
    <row r="9" spans="1:88" x14ac:dyDescent="0.25">
      <c r="B9" s="265">
        <f>B8</f>
        <v>1</v>
      </c>
      <c r="C9" s="265">
        <v>4</v>
      </c>
      <c r="D9" s="265" t="str">
        <f t="shared" si="0"/>
        <v>EMPTY_EAST_UNP_1_15</v>
      </c>
      <c r="E9" s="265" t="s">
        <v>0</v>
      </c>
      <c r="F9" s="34" t="s">
        <v>32</v>
      </c>
      <c r="G9" s="3" t="s">
        <v>18</v>
      </c>
      <c r="H9" s="3">
        <v>1</v>
      </c>
      <c r="I9" s="3">
        <v>1</v>
      </c>
      <c r="J9" s="3" t="s">
        <v>42</v>
      </c>
      <c r="K9" s="90"/>
      <c r="L9" s="90">
        <f>COUNT(N9:AQ9)</f>
        <v>11</v>
      </c>
      <c r="M9" s="30" t="s">
        <v>28</v>
      </c>
      <c r="N9" s="8">
        <v>1</v>
      </c>
      <c r="O9" s="86">
        <f>N9+1</f>
        <v>2</v>
      </c>
      <c r="P9" s="86">
        <f t="shared" ref="P9:Z10" si="1">O9+1</f>
        <v>3</v>
      </c>
      <c r="Q9" s="86">
        <f t="shared" si="1"/>
        <v>4</v>
      </c>
      <c r="R9" s="86">
        <f t="shared" si="1"/>
        <v>5</v>
      </c>
      <c r="S9" s="86">
        <f t="shared" si="1"/>
        <v>6</v>
      </c>
      <c r="T9" s="86">
        <f t="shared" si="1"/>
        <v>7</v>
      </c>
      <c r="U9" s="86">
        <f t="shared" si="1"/>
        <v>8</v>
      </c>
      <c r="V9" s="336">
        <f t="shared" si="1"/>
        <v>9</v>
      </c>
      <c r="W9" s="319">
        <f t="shared" si="1"/>
        <v>10</v>
      </c>
      <c r="X9" s="3">
        <f t="shared" si="1"/>
        <v>11</v>
      </c>
      <c r="Y9" s="46"/>
      <c r="Z9" s="4"/>
      <c r="AA9" s="3"/>
      <c r="AB9" s="280"/>
      <c r="AC9" s="319"/>
      <c r="AD9" s="3"/>
      <c r="AE9" s="3"/>
      <c r="AF9" s="3"/>
      <c r="AG9" s="3"/>
      <c r="AH9" s="3"/>
      <c r="AI9" s="3"/>
      <c r="AJ9" s="3"/>
      <c r="AK9" s="280"/>
      <c r="AL9" s="86"/>
      <c r="AM9" s="3"/>
      <c r="AN9" s="33"/>
      <c r="AO9" s="3"/>
      <c r="AP9" s="3"/>
      <c r="AQ9" s="31"/>
      <c r="AR9" s="8"/>
      <c r="AS9" s="86"/>
      <c r="AT9" s="86"/>
      <c r="AU9" s="86"/>
      <c r="AV9" s="3"/>
      <c r="AW9" s="3"/>
      <c r="AX9" s="3"/>
      <c r="AY9" s="3"/>
      <c r="AZ9" s="3"/>
      <c r="BA9" s="3"/>
      <c r="BB9" s="3"/>
      <c r="BC9" s="3"/>
      <c r="BD9" s="3"/>
      <c r="BE9" s="3"/>
      <c r="BF9" s="31"/>
      <c r="BG9" s="8"/>
      <c r="BH9" s="86"/>
      <c r="BI9" s="86"/>
      <c r="BJ9" s="86"/>
      <c r="BK9" s="3"/>
      <c r="BL9" s="3"/>
      <c r="BM9" s="3"/>
      <c r="BN9" s="3"/>
      <c r="BO9" s="3"/>
      <c r="BP9" s="3"/>
      <c r="BQ9" s="3"/>
      <c r="BR9" s="3"/>
      <c r="BS9" s="3"/>
      <c r="BT9" s="3"/>
      <c r="BU9" s="31"/>
      <c r="BV9" s="8"/>
      <c r="BW9" s="86"/>
      <c r="BX9" s="86"/>
      <c r="BY9" s="86"/>
      <c r="BZ9" s="3"/>
      <c r="CA9" s="3"/>
      <c r="CB9" s="3"/>
      <c r="CC9" s="3"/>
      <c r="CD9" s="3"/>
      <c r="CE9" s="3"/>
      <c r="CF9" s="3"/>
      <c r="CG9" s="3"/>
      <c r="CH9" s="3"/>
      <c r="CI9" s="3"/>
      <c r="CJ9" s="31"/>
    </row>
    <row r="10" spans="1:88" hidden="1" x14ac:dyDescent="0.25">
      <c r="B10" s="265">
        <v>1</v>
      </c>
      <c r="C10" s="265">
        <v>5</v>
      </c>
      <c r="D10" s="265" t="str">
        <f t="shared" si="0"/>
        <v>PREPARE_EAST_UNP_1_15</v>
      </c>
      <c r="E10" s="265" t="s">
        <v>0</v>
      </c>
      <c r="F10" s="49" t="s">
        <v>46</v>
      </c>
      <c r="G10" s="3" t="s">
        <v>18</v>
      </c>
      <c r="H10" s="3">
        <v>1</v>
      </c>
      <c r="I10" s="3">
        <v>1</v>
      </c>
      <c r="J10" s="3" t="s">
        <v>42</v>
      </c>
      <c r="K10" s="37"/>
      <c r="L10" s="90">
        <f>COUNT(N10:AQ10)</f>
        <v>13</v>
      </c>
      <c r="M10" s="30" t="s">
        <v>28</v>
      </c>
      <c r="N10" s="8">
        <v>1</v>
      </c>
      <c r="O10" s="86">
        <f>N10+1</f>
        <v>2</v>
      </c>
      <c r="P10" s="86">
        <f t="shared" si="1"/>
        <v>3</v>
      </c>
      <c r="Q10" s="86">
        <f t="shared" si="1"/>
        <v>4</v>
      </c>
      <c r="R10" s="86">
        <f t="shared" si="1"/>
        <v>5</v>
      </c>
      <c r="S10" s="86">
        <f t="shared" si="1"/>
        <v>6</v>
      </c>
      <c r="T10" s="86">
        <f t="shared" si="1"/>
        <v>7</v>
      </c>
      <c r="U10" s="86">
        <f t="shared" si="1"/>
        <v>8</v>
      </c>
      <c r="V10" s="336">
        <f t="shared" si="1"/>
        <v>9</v>
      </c>
      <c r="W10" s="319">
        <f t="shared" si="1"/>
        <v>10</v>
      </c>
      <c r="X10" s="3">
        <f t="shared" si="1"/>
        <v>11</v>
      </c>
      <c r="Y10" s="3">
        <f t="shared" si="1"/>
        <v>12</v>
      </c>
      <c r="Z10" s="3">
        <f t="shared" si="1"/>
        <v>13</v>
      </c>
      <c r="AA10" s="4"/>
      <c r="AB10" s="283"/>
      <c r="AC10" s="319"/>
      <c r="AD10" s="3"/>
      <c r="AE10" s="3"/>
      <c r="AF10" s="3"/>
      <c r="AG10" s="3"/>
      <c r="AH10" s="3"/>
      <c r="AI10" s="3"/>
      <c r="AJ10" s="3"/>
      <c r="AK10" s="280"/>
      <c r="AL10" s="86"/>
      <c r="AM10" s="3"/>
      <c r="AN10" s="3"/>
      <c r="AO10" s="3"/>
      <c r="AP10" s="3"/>
      <c r="AQ10" s="31"/>
      <c r="AR10" s="8"/>
      <c r="AS10" s="86"/>
      <c r="AT10" s="86"/>
      <c r="AU10" s="86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1"/>
      <c r="BG10" s="8"/>
      <c r="BH10" s="86"/>
      <c r="BI10" s="86"/>
      <c r="BJ10" s="86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1"/>
      <c r="BV10" s="8"/>
      <c r="BW10" s="86"/>
      <c r="BX10" s="86"/>
      <c r="BY10" s="86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1"/>
    </row>
    <row r="11" spans="1:88" hidden="1" x14ac:dyDescent="0.25">
      <c r="B11" s="265">
        <f>B9</f>
        <v>1</v>
      </c>
      <c r="C11" s="265">
        <v>6</v>
      </c>
      <c r="D11" s="265" t="str">
        <f t="shared" si="0"/>
        <v>COUNTDOWN_EAST_UNP_1_15</v>
      </c>
      <c r="E11" s="265"/>
      <c r="F11" s="34" t="s">
        <v>33</v>
      </c>
      <c r="G11" s="3" t="s">
        <v>18</v>
      </c>
      <c r="H11" s="3">
        <v>1</v>
      </c>
      <c r="I11" s="3">
        <v>1</v>
      </c>
      <c r="J11" s="3" t="s">
        <v>42</v>
      </c>
      <c r="K11" s="32"/>
      <c r="L11" s="32"/>
      <c r="M11" s="30" t="s">
        <v>28</v>
      </c>
      <c r="N11" s="8">
        <v>15</v>
      </c>
      <c r="O11" s="86">
        <v>14</v>
      </c>
      <c r="P11" s="86">
        <v>13</v>
      </c>
      <c r="Q11" s="86">
        <v>12</v>
      </c>
      <c r="R11" s="3">
        <v>11</v>
      </c>
      <c r="S11" s="3">
        <v>10</v>
      </c>
      <c r="T11" s="3">
        <v>9</v>
      </c>
      <c r="U11" s="3">
        <v>8</v>
      </c>
      <c r="V11" s="30">
        <v>7</v>
      </c>
      <c r="W11" s="319">
        <v>6</v>
      </c>
      <c r="X11" s="3">
        <v>5</v>
      </c>
      <c r="Y11" s="3">
        <v>4</v>
      </c>
      <c r="Z11" s="3">
        <v>3</v>
      </c>
      <c r="AA11" s="3">
        <v>2</v>
      </c>
      <c r="AB11" s="280">
        <v>1</v>
      </c>
      <c r="AC11" s="319">
        <v>15</v>
      </c>
      <c r="AD11" s="3">
        <v>14</v>
      </c>
      <c r="AE11" s="3">
        <v>13</v>
      </c>
      <c r="AF11" s="3">
        <v>12</v>
      </c>
      <c r="AG11" s="3">
        <v>11</v>
      </c>
      <c r="AH11" s="3">
        <v>10</v>
      </c>
      <c r="AI11" s="3">
        <v>9</v>
      </c>
      <c r="AJ11" s="3">
        <v>8</v>
      </c>
      <c r="AK11" s="280">
        <v>7</v>
      </c>
      <c r="AL11" s="86">
        <v>6</v>
      </c>
      <c r="AM11" s="3">
        <v>5</v>
      </c>
      <c r="AN11" s="3">
        <v>4</v>
      </c>
      <c r="AO11" s="3">
        <v>3</v>
      </c>
      <c r="AP11" s="3">
        <v>2</v>
      </c>
      <c r="AQ11" s="31">
        <v>1</v>
      </c>
      <c r="AR11" s="8">
        <v>15</v>
      </c>
      <c r="AS11" s="86">
        <v>14</v>
      </c>
      <c r="AT11" s="86">
        <v>13</v>
      </c>
      <c r="AU11" s="86">
        <v>12</v>
      </c>
      <c r="AV11" s="3">
        <v>11</v>
      </c>
      <c r="AW11" s="3">
        <v>10</v>
      </c>
      <c r="AX11" s="3">
        <v>9</v>
      </c>
      <c r="AY11" s="3">
        <v>8</v>
      </c>
      <c r="AZ11" s="3">
        <v>7</v>
      </c>
      <c r="BA11" s="3">
        <v>6</v>
      </c>
      <c r="BB11" s="3">
        <v>5</v>
      </c>
      <c r="BC11" s="3">
        <v>4</v>
      </c>
      <c r="BD11" s="3">
        <v>3</v>
      </c>
      <c r="BE11" s="3">
        <v>2</v>
      </c>
      <c r="BF11" s="31">
        <v>1</v>
      </c>
      <c r="BG11" s="8">
        <v>15</v>
      </c>
      <c r="BH11" s="86">
        <v>14</v>
      </c>
      <c r="BI11" s="86">
        <v>13</v>
      </c>
      <c r="BJ11" s="86">
        <v>12</v>
      </c>
      <c r="BK11" s="3">
        <v>11</v>
      </c>
      <c r="BL11" s="3">
        <v>10</v>
      </c>
      <c r="BM11" s="3">
        <v>9</v>
      </c>
      <c r="BN11" s="3">
        <v>8</v>
      </c>
      <c r="BO11" s="3">
        <v>7</v>
      </c>
      <c r="BP11" s="3">
        <v>6</v>
      </c>
      <c r="BQ11" s="3">
        <v>5</v>
      </c>
      <c r="BR11" s="3">
        <v>4</v>
      </c>
      <c r="BS11" s="3">
        <v>3</v>
      </c>
      <c r="BT11" s="3">
        <v>2</v>
      </c>
      <c r="BU11" s="31">
        <v>1</v>
      </c>
      <c r="BV11" s="8">
        <v>15</v>
      </c>
      <c r="BW11" s="86">
        <v>14</v>
      </c>
      <c r="BX11" s="86">
        <v>13</v>
      </c>
      <c r="BY11" s="86">
        <v>12</v>
      </c>
      <c r="BZ11" s="3">
        <v>11</v>
      </c>
      <c r="CA11" s="3">
        <v>10</v>
      </c>
      <c r="CB11" s="3">
        <v>9</v>
      </c>
      <c r="CC11" s="3">
        <v>8</v>
      </c>
      <c r="CD11" s="3">
        <v>7</v>
      </c>
      <c r="CE11" s="3">
        <v>6</v>
      </c>
      <c r="CF11" s="3">
        <v>5</v>
      </c>
      <c r="CG11" s="3">
        <v>4</v>
      </c>
      <c r="CH11" s="3">
        <v>3</v>
      </c>
      <c r="CI11" s="3">
        <v>2</v>
      </c>
      <c r="CJ11" s="31">
        <v>1</v>
      </c>
    </row>
    <row r="12" spans="1:88" hidden="1" x14ac:dyDescent="0.25">
      <c r="B12" s="265">
        <v>2</v>
      </c>
      <c r="C12" s="265">
        <v>1</v>
      </c>
      <c r="D12" s="265" t="str">
        <f t="shared" si="0"/>
        <v>SORTING_EAST_A_2_15</v>
      </c>
      <c r="E12" s="265" t="s">
        <v>35</v>
      </c>
      <c r="F12" s="49" t="s">
        <v>45</v>
      </c>
      <c r="G12" s="3" t="s">
        <v>18</v>
      </c>
      <c r="H12" s="3">
        <v>2</v>
      </c>
      <c r="I12" s="3">
        <v>2</v>
      </c>
      <c r="J12" s="3" t="s">
        <v>2</v>
      </c>
      <c r="K12" s="37"/>
      <c r="L12" s="90">
        <f>COUNT(W12:AQ12)</f>
        <v>1</v>
      </c>
      <c r="M12" s="30"/>
      <c r="N12" s="42"/>
      <c r="O12" s="133"/>
      <c r="P12" s="133"/>
      <c r="Q12" s="133"/>
      <c r="R12" s="46"/>
      <c r="S12" s="46"/>
      <c r="T12" s="46"/>
      <c r="U12" s="46"/>
      <c r="V12" s="101"/>
      <c r="W12" s="321">
        <v>1</v>
      </c>
      <c r="X12" s="61"/>
      <c r="Y12" s="33"/>
      <c r="Z12" s="33"/>
      <c r="AA12" s="33"/>
      <c r="AB12" s="282"/>
      <c r="AC12" s="321"/>
      <c r="AD12" s="33"/>
      <c r="AE12" s="33"/>
      <c r="AF12" s="33"/>
      <c r="AG12" s="33"/>
      <c r="AH12" s="33"/>
      <c r="AI12" s="33"/>
      <c r="AJ12" s="33"/>
      <c r="AK12" s="282"/>
      <c r="AL12" s="86"/>
      <c r="AM12" s="3"/>
      <c r="AN12" s="3"/>
      <c r="AO12" s="3"/>
      <c r="AP12" s="3"/>
      <c r="AQ12" s="31"/>
      <c r="AR12" s="8"/>
      <c r="AS12" s="86"/>
      <c r="AT12" s="86"/>
      <c r="AU12" s="86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1"/>
      <c r="BG12" s="8"/>
      <c r="BH12" s="86"/>
      <c r="BI12" s="86"/>
      <c r="BJ12" s="86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1"/>
      <c r="BV12" s="8"/>
      <c r="BW12" s="86"/>
      <c r="BX12" s="86"/>
      <c r="BY12" s="86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1"/>
    </row>
    <row r="13" spans="1:88" hidden="1" x14ac:dyDescent="0.25">
      <c r="B13" s="265">
        <v>2</v>
      </c>
      <c r="C13" s="265">
        <v>2</v>
      </c>
      <c r="D13" s="265" t="str">
        <f t="shared" si="0"/>
        <v>TRANSFER_EAST_A_2_15</v>
      </c>
      <c r="E13" s="265" t="s">
        <v>21</v>
      </c>
      <c r="F13" s="49" t="s">
        <v>21</v>
      </c>
      <c r="G13" s="3" t="s">
        <v>18</v>
      </c>
      <c r="H13" s="3">
        <v>2</v>
      </c>
      <c r="I13" s="3">
        <v>2</v>
      </c>
      <c r="J13" s="3" t="s">
        <v>2</v>
      </c>
      <c r="K13" s="37"/>
      <c r="L13" s="90">
        <f>COUNT(W13:AQ13)</f>
        <v>2</v>
      </c>
      <c r="M13" s="30"/>
      <c r="N13" s="42"/>
      <c r="O13" s="133"/>
      <c r="P13" s="133"/>
      <c r="Q13" s="133"/>
      <c r="R13" s="46"/>
      <c r="S13" s="46"/>
      <c r="T13" s="46"/>
      <c r="U13" s="46"/>
      <c r="V13" s="101"/>
      <c r="W13" s="319">
        <v>1</v>
      </c>
      <c r="X13" s="3">
        <f>W13+1</f>
        <v>2</v>
      </c>
      <c r="Y13" s="61"/>
      <c r="Z13" s="33"/>
      <c r="AA13" s="3"/>
      <c r="AB13" s="280"/>
      <c r="AC13" s="319"/>
      <c r="AD13" s="3"/>
      <c r="AE13" s="3"/>
      <c r="AF13" s="3"/>
      <c r="AG13" s="3"/>
      <c r="AH13" s="3"/>
      <c r="AI13" s="3"/>
      <c r="AJ13" s="3"/>
      <c r="AK13" s="280"/>
      <c r="AL13" s="86"/>
      <c r="AM13" s="3"/>
      <c r="AN13" s="3"/>
      <c r="AO13" s="3"/>
      <c r="AP13" s="3"/>
      <c r="AQ13" s="31"/>
      <c r="AR13" s="8"/>
      <c r="AS13" s="86"/>
      <c r="AT13" s="86"/>
      <c r="AU13" s="86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1"/>
      <c r="BG13" s="8"/>
      <c r="BH13" s="86"/>
      <c r="BI13" s="86"/>
      <c r="BJ13" s="86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1"/>
      <c r="BV13" s="8"/>
      <c r="BW13" s="86"/>
      <c r="BX13" s="86"/>
      <c r="BY13" s="86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1"/>
    </row>
    <row r="14" spans="1:88" hidden="1" x14ac:dyDescent="0.25">
      <c r="B14" s="265">
        <v>2</v>
      </c>
      <c r="C14" s="265">
        <v>3</v>
      </c>
      <c r="D14" s="265" t="str">
        <f t="shared" si="0"/>
        <v>SUPPLY_EAST_A_2_15</v>
      </c>
      <c r="E14" s="265" t="s">
        <v>0</v>
      </c>
      <c r="F14" s="34" t="s">
        <v>0</v>
      </c>
      <c r="G14" s="3" t="s">
        <v>18</v>
      </c>
      <c r="H14" s="3">
        <v>2</v>
      </c>
      <c r="I14" s="3">
        <v>2</v>
      </c>
      <c r="J14" s="3" t="s">
        <v>2</v>
      </c>
      <c r="K14" s="90"/>
      <c r="L14" s="90">
        <f>COUNT(AC14:BF14)</f>
        <v>1</v>
      </c>
      <c r="M14" s="30"/>
      <c r="N14" s="42"/>
      <c r="O14" s="133"/>
      <c r="P14" s="133"/>
      <c r="Q14" s="133"/>
      <c r="R14" s="46"/>
      <c r="S14" s="46"/>
      <c r="T14" s="46"/>
      <c r="U14" s="46"/>
      <c r="V14" s="101"/>
      <c r="W14" s="320"/>
      <c r="X14" s="46"/>
      <c r="Y14" s="46"/>
      <c r="Z14" s="46"/>
      <c r="AA14" s="46"/>
      <c r="AB14" s="340"/>
      <c r="AC14" s="319">
        <v>1</v>
      </c>
      <c r="AD14" s="4"/>
      <c r="AE14" s="4"/>
      <c r="AF14" s="4"/>
      <c r="AG14" s="4"/>
      <c r="AH14" s="4"/>
      <c r="AI14" s="4"/>
      <c r="AJ14" s="4"/>
      <c r="AK14" s="283"/>
      <c r="AL14" s="93"/>
      <c r="AM14" s="4"/>
      <c r="AN14" s="258"/>
      <c r="AO14" s="3"/>
      <c r="AP14" s="3"/>
      <c r="AQ14" s="31"/>
      <c r="AR14" s="8"/>
      <c r="AS14" s="86"/>
      <c r="AT14" s="86"/>
      <c r="AU14" s="86"/>
      <c r="AV14" s="3"/>
      <c r="AW14" s="3"/>
      <c r="AX14" s="3"/>
      <c r="AY14" s="3"/>
      <c r="AZ14" s="3"/>
      <c r="BA14" s="3"/>
      <c r="BB14" s="3"/>
      <c r="BC14" s="3"/>
      <c r="BD14" s="3"/>
      <c r="BF14" s="31"/>
      <c r="BG14" s="8"/>
      <c r="BH14" s="86"/>
      <c r="BI14" s="86"/>
      <c r="BJ14" s="86"/>
      <c r="BK14" s="3"/>
      <c r="BL14" s="3"/>
      <c r="BM14" s="3"/>
      <c r="BN14" s="3"/>
      <c r="BO14" s="3"/>
      <c r="BP14" s="3"/>
      <c r="BQ14" s="3"/>
      <c r="BR14" s="3"/>
      <c r="BS14" s="3"/>
      <c r="BU14" s="31"/>
      <c r="BV14" s="8"/>
      <c r="BW14" s="86"/>
      <c r="BX14" s="86"/>
      <c r="BY14" s="86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1"/>
    </row>
    <row r="15" spans="1:88" x14ac:dyDescent="0.25">
      <c r="B15" s="265">
        <f t="shared" ref="B15" si="2">B14</f>
        <v>2</v>
      </c>
      <c r="C15" s="265">
        <v>4</v>
      </c>
      <c r="D15" s="265" t="str">
        <f t="shared" si="0"/>
        <v>EMPTY_EAST_A_2_15</v>
      </c>
      <c r="E15" s="265" t="s">
        <v>0</v>
      </c>
      <c r="F15" s="34" t="s">
        <v>32</v>
      </c>
      <c r="G15" s="3" t="s">
        <v>18</v>
      </c>
      <c r="H15" s="3">
        <v>2</v>
      </c>
      <c r="I15" s="3">
        <v>2</v>
      </c>
      <c r="J15" s="3" t="s">
        <v>2</v>
      </c>
      <c r="K15" s="90"/>
      <c r="L15" s="90">
        <f>COUNT(N15:AQ15)</f>
        <v>12</v>
      </c>
      <c r="M15" s="30"/>
      <c r="N15" s="8">
        <v>1</v>
      </c>
      <c r="O15" s="86">
        <f t="shared" ref="O15:Z16" si="3">N15+1</f>
        <v>2</v>
      </c>
      <c r="P15" s="86">
        <f t="shared" si="3"/>
        <v>3</v>
      </c>
      <c r="Q15" s="86">
        <f t="shared" si="3"/>
        <v>4</v>
      </c>
      <c r="R15" s="86">
        <f t="shared" si="3"/>
        <v>5</v>
      </c>
      <c r="S15" s="86">
        <f t="shared" si="3"/>
        <v>6</v>
      </c>
      <c r="T15" s="86">
        <f t="shared" si="3"/>
        <v>7</v>
      </c>
      <c r="U15" s="86">
        <f t="shared" si="3"/>
        <v>8</v>
      </c>
      <c r="V15" s="336">
        <f t="shared" si="3"/>
        <v>9</v>
      </c>
      <c r="W15" s="319">
        <f t="shared" si="3"/>
        <v>10</v>
      </c>
      <c r="X15" s="3">
        <f t="shared" si="3"/>
        <v>11</v>
      </c>
      <c r="Y15" s="3">
        <f>X15+1</f>
        <v>12</v>
      </c>
      <c r="Z15" s="46"/>
      <c r="AA15" s="4"/>
      <c r="AB15" s="280"/>
      <c r="AC15" s="319"/>
      <c r="AD15" s="3"/>
      <c r="AE15" s="3"/>
      <c r="AF15" s="3"/>
      <c r="AG15" s="3"/>
      <c r="AH15" s="3"/>
      <c r="AI15" s="3"/>
      <c r="AJ15" s="3"/>
      <c r="AK15" s="280"/>
      <c r="AL15" s="86"/>
      <c r="AM15" s="3"/>
      <c r="AN15" s="33"/>
      <c r="AO15" s="3"/>
      <c r="AP15" s="3"/>
      <c r="AQ15" s="31"/>
      <c r="AR15" s="8"/>
      <c r="AS15" s="86"/>
      <c r="AT15" s="86"/>
      <c r="AU15" s="86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1"/>
      <c r="BG15" s="8"/>
      <c r="BH15" s="86"/>
      <c r="BI15" s="86"/>
      <c r="BJ15" s="86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1"/>
      <c r="BV15" s="8"/>
      <c r="BW15" s="86"/>
      <c r="BX15" s="86"/>
      <c r="BY15" s="86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1"/>
    </row>
    <row r="16" spans="1:88" hidden="1" x14ac:dyDescent="0.25">
      <c r="B16" s="265">
        <v>2</v>
      </c>
      <c r="C16" s="265">
        <v>5</v>
      </c>
      <c r="D16" s="265" t="str">
        <f t="shared" si="0"/>
        <v>PREPARE_EAST_A_2_15</v>
      </c>
      <c r="E16" s="265" t="s">
        <v>0</v>
      </c>
      <c r="F16" s="49" t="s">
        <v>46</v>
      </c>
      <c r="G16" s="3" t="s">
        <v>18</v>
      </c>
      <c r="H16" s="3">
        <v>2</v>
      </c>
      <c r="I16" s="3">
        <v>2</v>
      </c>
      <c r="J16" s="3" t="s">
        <v>2</v>
      </c>
      <c r="K16" s="37"/>
      <c r="L16" s="90">
        <f>COUNT(N16:AQ16)</f>
        <v>14</v>
      </c>
      <c r="M16" s="30"/>
      <c r="N16" s="8">
        <v>1</v>
      </c>
      <c r="O16" s="86">
        <f t="shared" si="3"/>
        <v>2</v>
      </c>
      <c r="P16" s="86">
        <f t="shared" si="3"/>
        <v>3</v>
      </c>
      <c r="Q16" s="86">
        <f t="shared" si="3"/>
        <v>4</v>
      </c>
      <c r="R16" s="86">
        <f t="shared" si="3"/>
        <v>5</v>
      </c>
      <c r="S16" s="86">
        <f t="shared" si="3"/>
        <v>6</v>
      </c>
      <c r="T16" s="86">
        <f t="shared" si="3"/>
        <v>7</v>
      </c>
      <c r="U16" s="86">
        <f t="shared" si="3"/>
        <v>8</v>
      </c>
      <c r="V16" s="336">
        <f t="shared" si="3"/>
        <v>9</v>
      </c>
      <c r="W16" s="319">
        <f t="shared" si="3"/>
        <v>10</v>
      </c>
      <c r="X16" s="3">
        <f t="shared" si="3"/>
        <v>11</v>
      </c>
      <c r="Y16" s="3">
        <f t="shared" si="3"/>
        <v>12</v>
      </c>
      <c r="Z16" s="3">
        <f t="shared" si="3"/>
        <v>13</v>
      </c>
      <c r="AA16" s="3">
        <f>Z16+1</f>
        <v>14</v>
      </c>
      <c r="AB16" s="283"/>
      <c r="AC16" s="333"/>
      <c r="AD16" s="3"/>
      <c r="AE16" s="3"/>
      <c r="AF16" s="3"/>
      <c r="AG16" s="3"/>
      <c r="AH16" s="3"/>
      <c r="AI16" s="3"/>
      <c r="AJ16" s="3"/>
      <c r="AK16" s="280"/>
      <c r="AL16" s="86"/>
      <c r="AM16" s="3"/>
      <c r="AN16" s="3"/>
      <c r="AO16" s="3"/>
      <c r="AP16" s="3"/>
      <c r="AQ16" s="31"/>
      <c r="AR16" s="8"/>
      <c r="AS16" s="86"/>
      <c r="AT16" s="86"/>
      <c r="AU16" s="86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1"/>
      <c r="BG16" s="8"/>
      <c r="BH16" s="86"/>
      <c r="BI16" s="86"/>
      <c r="BJ16" s="86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1"/>
      <c r="BV16" s="8"/>
      <c r="BW16" s="86"/>
      <c r="BX16" s="86"/>
      <c r="BY16" s="86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1"/>
    </row>
    <row r="17" spans="1:88" hidden="1" x14ac:dyDescent="0.25">
      <c r="B17" s="265">
        <f>B15</f>
        <v>2</v>
      </c>
      <c r="C17" s="265">
        <v>6</v>
      </c>
      <c r="D17" s="265" t="str">
        <f t="shared" si="0"/>
        <v>COUNTDOWN_EAST_A_2_15</v>
      </c>
      <c r="E17" s="265"/>
      <c r="F17" s="34" t="s">
        <v>33</v>
      </c>
      <c r="G17" s="3" t="s">
        <v>18</v>
      </c>
      <c r="H17" s="3">
        <v>2</v>
      </c>
      <c r="I17" s="3">
        <v>2</v>
      </c>
      <c r="J17" s="3" t="s">
        <v>2</v>
      </c>
      <c r="K17" s="32"/>
      <c r="L17" s="32"/>
      <c r="M17" s="30"/>
      <c r="N17" s="8">
        <v>2</v>
      </c>
      <c r="O17" s="86">
        <v>1</v>
      </c>
      <c r="P17" s="86">
        <v>15</v>
      </c>
      <c r="Q17" s="86">
        <v>14</v>
      </c>
      <c r="R17" s="3">
        <v>13</v>
      </c>
      <c r="S17" s="3">
        <v>12</v>
      </c>
      <c r="T17" s="3">
        <v>11</v>
      </c>
      <c r="U17" s="3">
        <v>10</v>
      </c>
      <c r="V17" s="30">
        <v>9</v>
      </c>
      <c r="W17" s="319">
        <v>8</v>
      </c>
      <c r="X17" s="3">
        <v>7</v>
      </c>
      <c r="Y17" s="3">
        <v>6</v>
      </c>
      <c r="Z17" s="3">
        <v>5</v>
      </c>
      <c r="AA17" s="3">
        <v>4</v>
      </c>
      <c r="AB17" s="280">
        <v>3</v>
      </c>
      <c r="AC17" s="319">
        <v>2</v>
      </c>
      <c r="AD17" s="3">
        <v>1</v>
      </c>
      <c r="AE17" s="3">
        <v>15</v>
      </c>
      <c r="AF17" s="3">
        <v>14</v>
      </c>
      <c r="AG17" s="3">
        <v>13</v>
      </c>
      <c r="AH17" s="3">
        <v>12</v>
      </c>
      <c r="AI17" s="3">
        <v>11</v>
      </c>
      <c r="AJ17" s="3">
        <v>10</v>
      </c>
      <c r="AK17" s="280">
        <v>9</v>
      </c>
      <c r="AL17" s="86">
        <v>8</v>
      </c>
      <c r="AM17" s="3">
        <v>7</v>
      </c>
      <c r="AN17" s="3">
        <v>6</v>
      </c>
      <c r="AO17" s="3">
        <v>5</v>
      </c>
      <c r="AP17" s="3">
        <v>4</v>
      </c>
      <c r="AQ17" s="31">
        <v>3</v>
      </c>
      <c r="AR17" s="8">
        <v>2</v>
      </c>
      <c r="AS17" s="86">
        <v>1</v>
      </c>
      <c r="AT17" s="86">
        <v>15</v>
      </c>
      <c r="AU17" s="86">
        <v>14</v>
      </c>
      <c r="AV17" s="3">
        <v>13</v>
      </c>
      <c r="AW17" s="3">
        <v>12</v>
      </c>
      <c r="AX17" s="3">
        <v>11</v>
      </c>
      <c r="AY17" s="3">
        <v>10</v>
      </c>
      <c r="AZ17" s="3">
        <v>9</v>
      </c>
      <c r="BA17" s="3">
        <v>8</v>
      </c>
      <c r="BB17" s="3">
        <v>7</v>
      </c>
      <c r="BC17" s="3">
        <v>6</v>
      </c>
      <c r="BD17" s="3">
        <v>5</v>
      </c>
      <c r="BE17" s="3">
        <v>4</v>
      </c>
      <c r="BF17" s="31">
        <v>3</v>
      </c>
      <c r="BG17" s="8">
        <v>2</v>
      </c>
      <c r="BH17" s="86">
        <v>1</v>
      </c>
      <c r="BI17" s="86">
        <v>15</v>
      </c>
      <c r="BJ17" s="86">
        <v>14</v>
      </c>
      <c r="BK17" s="3">
        <v>13</v>
      </c>
      <c r="BL17" s="3">
        <v>12</v>
      </c>
      <c r="BM17" s="3">
        <v>11</v>
      </c>
      <c r="BN17" s="3">
        <v>10</v>
      </c>
      <c r="BO17" s="3">
        <v>9</v>
      </c>
      <c r="BP17" s="3">
        <v>8</v>
      </c>
      <c r="BQ17" s="3">
        <v>7</v>
      </c>
      <c r="BR17" s="3">
        <v>6</v>
      </c>
      <c r="BS17" s="3">
        <v>5</v>
      </c>
      <c r="BT17" s="3">
        <v>4</v>
      </c>
      <c r="BU17" s="31">
        <v>3</v>
      </c>
      <c r="BV17" s="8">
        <v>2</v>
      </c>
      <c r="BW17" s="86">
        <v>1</v>
      </c>
      <c r="BX17" s="86">
        <v>15</v>
      </c>
      <c r="BY17" s="86">
        <v>14</v>
      </c>
      <c r="BZ17" s="3">
        <v>13</v>
      </c>
      <c r="CA17" s="3">
        <v>12</v>
      </c>
      <c r="CB17" s="3">
        <v>11</v>
      </c>
      <c r="CC17" s="3">
        <v>10</v>
      </c>
      <c r="CD17" s="3">
        <v>9</v>
      </c>
      <c r="CE17" s="3">
        <v>8</v>
      </c>
      <c r="CF17" s="3">
        <v>7</v>
      </c>
      <c r="CG17" s="3">
        <v>6</v>
      </c>
      <c r="CH17" s="3">
        <v>5</v>
      </c>
      <c r="CI17" s="3">
        <v>4</v>
      </c>
      <c r="CJ17" s="31">
        <v>3</v>
      </c>
    </row>
    <row r="18" spans="1:88" hidden="1" x14ac:dyDescent="0.25">
      <c r="B18" s="265"/>
      <c r="C18" s="265">
        <v>1</v>
      </c>
      <c r="D18" s="265" t="str">
        <f t="shared" ref="D18:D23" si="4">F18&amp;"_"&amp;G18&amp;"_"&amp;J18&amp;"_"&amp;H18&amp;"_"&amp;$D$1</f>
        <v>SORTING_EAST_C/U_1_15</v>
      </c>
      <c r="E18" s="265" t="s">
        <v>35</v>
      </c>
      <c r="F18" s="49" t="s">
        <v>45</v>
      </c>
      <c r="G18" s="3" t="s">
        <v>18</v>
      </c>
      <c r="H18" s="3">
        <v>1</v>
      </c>
      <c r="I18" s="3">
        <v>1</v>
      </c>
      <c r="J18" s="3" t="s">
        <v>67</v>
      </c>
      <c r="K18" s="37"/>
      <c r="L18" s="90">
        <f>COUNT(W18:AQ18)</f>
        <v>2</v>
      </c>
      <c r="M18" s="30"/>
      <c r="N18" s="42"/>
      <c r="O18" s="133"/>
      <c r="P18" s="133"/>
      <c r="Q18" s="133"/>
      <c r="R18" s="46"/>
      <c r="S18" s="46"/>
      <c r="T18" s="46"/>
      <c r="U18" s="46"/>
      <c r="V18" s="101"/>
      <c r="W18" s="321">
        <v>1</v>
      </c>
      <c r="X18" s="33">
        <f>W18+1</f>
        <v>2</v>
      </c>
      <c r="Y18" s="61"/>
      <c r="Z18" s="33"/>
      <c r="AA18" s="33"/>
      <c r="AB18" s="282"/>
      <c r="AC18" s="321"/>
      <c r="AD18" s="33"/>
      <c r="AE18" s="33"/>
      <c r="AF18" s="33"/>
      <c r="AG18" s="33"/>
      <c r="AH18" s="33"/>
      <c r="AI18" s="33"/>
      <c r="AJ18" s="33"/>
      <c r="AK18" s="282"/>
      <c r="AL18" s="86"/>
      <c r="AM18" s="3"/>
      <c r="AN18" s="3"/>
      <c r="AO18" s="3"/>
      <c r="AP18" s="3"/>
      <c r="AQ18" s="31"/>
      <c r="AR18" s="8"/>
      <c r="AS18" s="86"/>
      <c r="AT18" s="86"/>
      <c r="AU18" s="86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1"/>
      <c r="BG18" s="8"/>
      <c r="BH18" s="86"/>
      <c r="BI18" s="86"/>
      <c r="BJ18" s="86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1"/>
      <c r="BV18" s="8"/>
      <c r="BW18" s="86"/>
      <c r="BX18" s="86"/>
      <c r="BY18" s="86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1"/>
    </row>
    <row r="19" spans="1:88" hidden="1" x14ac:dyDescent="0.25">
      <c r="B19" s="265"/>
      <c r="C19" s="265">
        <v>2</v>
      </c>
      <c r="D19" s="265" t="str">
        <f t="shared" si="4"/>
        <v>TRANSFER_EAST_C/U_1_15</v>
      </c>
      <c r="E19" s="265" t="s">
        <v>21</v>
      </c>
      <c r="F19" s="49" t="s">
        <v>21</v>
      </c>
      <c r="G19" s="3" t="s">
        <v>18</v>
      </c>
      <c r="H19" s="3">
        <v>1</v>
      </c>
      <c r="I19" s="3">
        <v>1</v>
      </c>
      <c r="J19" s="3" t="s">
        <v>67</v>
      </c>
      <c r="K19" s="37"/>
      <c r="L19" s="90">
        <f>COUNT(W19:AQ19)</f>
        <v>3</v>
      </c>
      <c r="M19" s="30"/>
      <c r="N19" s="42"/>
      <c r="O19" s="133"/>
      <c r="P19" s="133"/>
      <c r="Q19" s="133"/>
      <c r="R19" s="46"/>
      <c r="S19" s="46"/>
      <c r="T19" s="46"/>
      <c r="U19" s="46"/>
      <c r="V19" s="101"/>
      <c r="W19" s="319">
        <v>1</v>
      </c>
      <c r="X19" s="3">
        <f>W19+1</f>
        <v>2</v>
      </c>
      <c r="Y19" s="3">
        <f>X19+1</f>
        <v>3</v>
      </c>
      <c r="Z19" s="61"/>
      <c r="AA19" s="3"/>
      <c r="AB19" s="280"/>
      <c r="AC19" s="319"/>
      <c r="AD19" s="3"/>
      <c r="AE19" s="3"/>
      <c r="AF19" s="3"/>
      <c r="AG19" s="3"/>
      <c r="AH19" s="3"/>
      <c r="AI19" s="3"/>
      <c r="AJ19" s="3"/>
      <c r="AK19" s="280"/>
      <c r="AL19" s="86"/>
      <c r="AM19" s="3"/>
      <c r="AN19" s="3"/>
      <c r="AO19" s="3"/>
      <c r="AP19" s="3"/>
      <c r="AQ19" s="31"/>
      <c r="AR19" s="8"/>
      <c r="AS19" s="86"/>
      <c r="AT19" s="86"/>
      <c r="AU19" s="86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1"/>
      <c r="BG19" s="8"/>
      <c r="BH19" s="86"/>
      <c r="BI19" s="86"/>
      <c r="BJ19" s="86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1"/>
      <c r="BV19" s="8"/>
      <c r="BW19" s="86"/>
      <c r="BX19" s="86"/>
      <c r="BY19" s="86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1"/>
    </row>
    <row r="20" spans="1:88" hidden="1" x14ac:dyDescent="0.25">
      <c r="B20" s="265"/>
      <c r="C20" s="265">
        <v>3</v>
      </c>
      <c r="D20" s="265" t="str">
        <f t="shared" si="4"/>
        <v>SUPPLY_EAST_C/U_1_15</v>
      </c>
      <c r="E20" s="265" t="s">
        <v>0</v>
      </c>
      <c r="F20" s="34" t="s">
        <v>0</v>
      </c>
      <c r="G20" s="3" t="s">
        <v>18</v>
      </c>
      <c r="H20" s="3">
        <v>1</v>
      </c>
      <c r="I20" s="3">
        <v>1</v>
      </c>
      <c r="J20" s="3" t="s">
        <v>67</v>
      </c>
      <c r="K20" s="90"/>
      <c r="L20" s="90">
        <f>COUNT(AC20:BF20)</f>
        <v>2</v>
      </c>
      <c r="M20" s="30"/>
      <c r="N20" s="42"/>
      <c r="O20" s="133"/>
      <c r="P20" s="133"/>
      <c r="Q20" s="133"/>
      <c r="R20" s="46"/>
      <c r="S20" s="46"/>
      <c r="T20" s="46"/>
      <c r="U20" s="46"/>
      <c r="V20" s="101"/>
      <c r="W20" s="320"/>
      <c r="X20" s="46"/>
      <c r="Y20" s="46"/>
      <c r="Z20" s="46"/>
      <c r="AA20" s="46"/>
      <c r="AB20" s="340"/>
      <c r="AC20" s="319">
        <v>1</v>
      </c>
      <c r="AD20" s="3">
        <f>AC20+1</f>
        <v>2</v>
      </c>
      <c r="AE20" s="4"/>
      <c r="AF20" s="4"/>
      <c r="AG20" s="4"/>
      <c r="AH20" s="4"/>
      <c r="AI20" s="4"/>
      <c r="AJ20" s="4"/>
      <c r="AK20" s="283"/>
      <c r="AL20" s="93"/>
      <c r="AM20" s="4"/>
      <c r="AN20" s="258"/>
      <c r="AO20" s="3"/>
      <c r="AP20" s="3"/>
      <c r="AQ20" s="31"/>
      <c r="AR20" s="8"/>
      <c r="AS20" s="86"/>
      <c r="AT20" s="86"/>
      <c r="AU20" s="86"/>
      <c r="AV20" s="3"/>
      <c r="AW20" s="3"/>
      <c r="AX20" s="3"/>
      <c r="AY20" s="3"/>
      <c r="AZ20" s="3"/>
      <c r="BA20" s="3"/>
      <c r="BB20" s="3"/>
      <c r="BC20" s="3"/>
      <c r="BD20" s="3"/>
      <c r="BF20" s="31"/>
      <c r="BG20" s="8"/>
      <c r="BH20" s="86"/>
      <c r="BI20" s="86"/>
      <c r="BJ20" s="86"/>
      <c r="BK20" s="3"/>
      <c r="BL20" s="3"/>
      <c r="BM20" s="3"/>
      <c r="BN20" s="3"/>
      <c r="BO20" s="3"/>
      <c r="BP20" s="3"/>
      <c r="BQ20" s="3"/>
      <c r="BR20" s="3"/>
      <c r="BS20" s="3"/>
      <c r="BU20" s="31"/>
      <c r="BV20" s="8"/>
      <c r="BW20" s="86"/>
      <c r="BX20" s="86"/>
      <c r="BY20" s="86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1"/>
    </row>
    <row r="21" spans="1:88" x14ac:dyDescent="0.25">
      <c r="B21" s="265"/>
      <c r="C21" s="265">
        <v>4</v>
      </c>
      <c r="D21" s="265" t="str">
        <f t="shared" si="4"/>
        <v>EMPTY_EAST_C/U_1_15</v>
      </c>
      <c r="E21" s="265" t="s">
        <v>0</v>
      </c>
      <c r="F21" s="34" t="s">
        <v>32</v>
      </c>
      <c r="G21" s="3" t="s">
        <v>18</v>
      </c>
      <c r="H21" s="3">
        <v>1</v>
      </c>
      <c r="I21" s="3">
        <v>1</v>
      </c>
      <c r="J21" s="3" t="s">
        <v>67</v>
      </c>
      <c r="K21" s="90"/>
      <c r="L21" s="90">
        <f>COUNT(N21:AQ21)</f>
        <v>13</v>
      </c>
      <c r="M21" s="30"/>
      <c r="N21" s="8">
        <v>1</v>
      </c>
      <c r="O21" s="86">
        <f t="shared" ref="O21:O22" si="5">N21+1</f>
        <v>2</v>
      </c>
      <c r="P21" s="86">
        <f t="shared" ref="P21:P22" si="6">O21+1</f>
        <v>3</v>
      </c>
      <c r="Q21" s="86">
        <f t="shared" ref="Q21:Q22" si="7">P21+1</f>
        <v>4</v>
      </c>
      <c r="R21" s="86">
        <f t="shared" ref="R21:R22" si="8">Q21+1</f>
        <v>5</v>
      </c>
      <c r="S21" s="86">
        <f t="shared" ref="S21:S22" si="9">R21+1</f>
        <v>6</v>
      </c>
      <c r="T21" s="86">
        <f t="shared" ref="T21:T22" si="10">S21+1</f>
        <v>7</v>
      </c>
      <c r="U21" s="86">
        <f t="shared" ref="U21:U22" si="11">T21+1</f>
        <v>8</v>
      </c>
      <c r="V21" s="336">
        <f t="shared" ref="V21:V22" si="12">U21+1</f>
        <v>9</v>
      </c>
      <c r="W21" s="319">
        <f t="shared" ref="W21:W22" si="13">V21+1</f>
        <v>10</v>
      </c>
      <c r="X21" s="3">
        <f t="shared" ref="X21:X22" si="14">W21+1</f>
        <v>11</v>
      </c>
      <c r="Y21" s="3">
        <f>X21+1</f>
        <v>12</v>
      </c>
      <c r="Z21" s="3">
        <f>Y21+1</f>
        <v>13</v>
      </c>
      <c r="AA21" s="46"/>
      <c r="AB21" s="280"/>
      <c r="AC21" s="319"/>
      <c r="AD21" s="3"/>
      <c r="AE21" s="3"/>
      <c r="AF21" s="3"/>
      <c r="AG21" s="3"/>
      <c r="AH21" s="3"/>
      <c r="AI21" s="3"/>
      <c r="AJ21" s="3"/>
      <c r="AK21" s="280"/>
      <c r="AL21" s="86"/>
      <c r="AM21" s="3"/>
      <c r="AN21" s="33"/>
      <c r="AO21" s="3"/>
      <c r="AP21" s="3"/>
      <c r="AQ21" s="31"/>
      <c r="AR21" s="8"/>
      <c r="AS21" s="86"/>
      <c r="AT21" s="86"/>
      <c r="AU21" s="86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1"/>
      <c r="BG21" s="8"/>
      <c r="BH21" s="86"/>
      <c r="BI21" s="86"/>
      <c r="BJ21" s="86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1"/>
      <c r="BV21" s="8"/>
      <c r="BW21" s="86"/>
      <c r="BX21" s="86"/>
      <c r="BY21" s="86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1"/>
    </row>
    <row r="22" spans="1:88" hidden="1" x14ac:dyDescent="0.25">
      <c r="B22" s="265"/>
      <c r="C22" s="265">
        <v>5</v>
      </c>
      <c r="D22" s="265" t="str">
        <f t="shared" si="4"/>
        <v>PREPARE_EAST_C/U_1_15</v>
      </c>
      <c r="E22" s="265" t="s">
        <v>0</v>
      </c>
      <c r="F22" s="49" t="s">
        <v>46</v>
      </c>
      <c r="G22" s="3" t="s">
        <v>18</v>
      </c>
      <c r="H22" s="3">
        <v>1</v>
      </c>
      <c r="I22" s="3">
        <v>1</v>
      </c>
      <c r="J22" s="3" t="s">
        <v>67</v>
      </c>
      <c r="K22" s="37"/>
      <c r="L22" s="90">
        <f>COUNT(N22:AQ22)</f>
        <v>14</v>
      </c>
      <c r="M22" s="30"/>
      <c r="N22" s="8">
        <v>1</v>
      </c>
      <c r="O22" s="86">
        <f t="shared" si="5"/>
        <v>2</v>
      </c>
      <c r="P22" s="86">
        <f t="shared" si="6"/>
        <v>3</v>
      </c>
      <c r="Q22" s="86">
        <f t="shared" si="7"/>
        <v>4</v>
      </c>
      <c r="R22" s="86">
        <f t="shared" si="8"/>
        <v>5</v>
      </c>
      <c r="S22" s="86">
        <f t="shared" si="9"/>
        <v>6</v>
      </c>
      <c r="T22" s="86">
        <f t="shared" si="10"/>
        <v>7</v>
      </c>
      <c r="U22" s="86">
        <f t="shared" si="11"/>
        <v>8</v>
      </c>
      <c r="V22" s="336">
        <f t="shared" si="12"/>
        <v>9</v>
      </c>
      <c r="W22" s="319">
        <f t="shared" si="13"/>
        <v>10</v>
      </c>
      <c r="X22" s="3">
        <f t="shared" si="14"/>
        <v>11</v>
      </c>
      <c r="Y22" s="3">
        <f t="shared" ref="Y22" si="15">X22+1</f>
        <v>12</v>
      </c>
      <c r="Z22" s="3">
        <f t="shared" ref="Z22" si="16">Y22+1</f>
        <v>13</v>
      </c>
      <c r="AA22" s="3">
        <f>Z22+1</f>
        <v>14</v>
      </c>
      <c r="AB22" s="283"/>
      <c r="AC22" s="333"/>
      <c r="AD22" s="4"/>
      <c r="AE22" s="3"/>
      <c r="AF22" s="3"/>
      <c r="AG22" s="3"/>
      <c r="AH22" s="3"/>
      <c r="AI22" s="3"/>
      <c r="AJ22" s="3"/>
      <c r="AK22" s="280"/>
      <c r="AL22" s="86"/>
      <c r="AM22" s="3"/>
      <c r="AN22" s="3"/>
      <c r="AO22" s="3"/>
      <c r="AP22" s="3"/>
      <c r="AQ22" s="31"/>
      <c r="AR22" s="8"/>
      <c r="AS22" s="86"/>
      <c r="AT22" s="86"/>
      <c r="AU22" s="86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1"/>
      <c r="BG22" s="8"/>
      <c r="BH22" s="86"/>
      <c r="BI22" s="86"/>
      <c r="BJ22" s="86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1"/>
      <c r="BV22" s="8"/>
      <c r="BW22" s="86"/>
      <c r="BX22" s="86"/>
      <c r="BY22" s="86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1"/>
    </row>
    <row r="23" spans="1:88" hidden="1" x14ac:dyDescent="0.25">
      <c r="B23" s="265"/>
      <c r="C23" s="265">
        <v>6</v>
      </c>
      <c r="D23" s="265" t="str">
        <f t="shared" si="4"/>
        <v>COUNTDOWN_EAST_C/U_1_15</v>
      </c>
      <c r="E23" s="265"/>
      <c r="F23" s="34" t="s">
        <v>33</v>
      </c>
      <c r="G23" s="3" t="s">
        <v>18</v>
      </c>
      <c r="H23" s="3">
        <v>1</v>
      </c>
      <c r="I23" s="3">
        <v>1</v>
      </c>
      <c r="J23" s="3" t="s">
        <v>67</v>
      </c>
      <c r="K23" s="32"/>
      <c r="L23" s="32"/>
      <c r="M23" s="30"/>
      <c r="N23" s="8">
        <v>2</v>
      </c>
      <c r="O23" s="86">
        <v>1</v>
      </c>
      <c r="P23" s="86">
        <v>15</v>
      </c>
      <c r="Q23" s="86">
        <v>14</v>
      </c>
      <c r="R23" s="3">
        <v>13</v>
      </c>
      <c r="S23" s="3">
        <v>12</v>
      </c>
      <c r="T23" s="3">
        <v>11</v>
      </c>
      <c r="U23" s="3">
        <v>10</v>
      </c>
      <c r="V23" s="30">
        <v>9</v>
      </c>
      <c r="W23" s="319">
        <v>8</v>
      </c>
      <c r="X23" s="3">
        <v>7</v>
      </c>
      <c r="Y23" s="3">
        <v>6</v>
      </c>
      <c r="Z23" s="3">
        <v>5</v>
      </c>
      <c r="AA23" s="3">
        <v>4</v>
      </c>
      <c r="AB23" s="280">
        <v>3</v>
      </c>
      <c r="AC23" s="319">
        <v>2</v>
      </c>
      <c r="AD23" s="3">
        <v>1</v>
      </c>
      <c r="AE23" s="3">
        <v>15</v>
      </c>
      <c r="AF23" s="3">
        <v>14</v>
      </c>
      <c r="AG23" s="3">
        <v>13</v>
      </c>
      <c r="AH23" s="3">
        <v>12</v>
      </c>
      <c r="AI23" s="3">
        <v>11</v>
      </c>
      <c r="AJ23" s="3">
        <v>10</v>
      </c>
      <c r="AK23" s="280">
        <v>9</v>
      </c>
      <c r="AL23" s="86">
        <v>8</v>
      </c>
      <c r="AM23" s="3">
        <v>7</v>
      </c>
      <c r="AN23" s="3">
        <v>6</v>
      </c>
      <c r="AO23" s="3">
        <v>5</v>
      </c>
      <c r="AP23" s="3">
        <v>4</v>
      </c>
      <c r="AQ23" s="31">
        <v>3</v>
      </c>
      <c r="AR23" s="8">
        <v>2</v>
      </c>
      <c r="AS23" s="86">
        <v>1</v>
      </c>
      <c r="AT23" s="86">
        <v>15</v>
      </c>
      <c r="AU23" s="86">
        <v>14</v>
      </c>
      <c r="AV23" s="3">
        <v>13</v>
      </c>
      <c r="AW23" s="3">
        <v>12</v>
      </c>
      <c r="AX23" s="3">
        <v>11</v>
      </c>
      <c r="AY23" s="3">
        <v>10</v>
      </c>
      <c r="AZ23" s="3">
        <v>9</v>
      </c>
      <c r="BA23" s="3">
        <v>8</v>
      </c>
      <c r="BB23" s="3">
        <v>7</v>
      </c>
      <c r="BC23" s="3">
        <v>6</v>
      </c>
      <c r="BD23" s="3">
        <v>5</v>
      </c>
      <c r="BE23" s="3">
        <v>4</v>
      </c>
      <c r="BF23" s="31">
        <v>3</v>
      </c>
      <c r="BG23" s="8">
        <v>2</v>
      </c>
      <c r="BH23" s="86">
        <v>1</v>
      </c>
      <c r="BI23" s="86">
        <v>15</v>
      </c>
      <c r="BJ23" s="86">
        <v>14</v>
      </c>
      <c r="BK23" s="3">
        <v>13</v>
      </c>
      <c r="BL23" s="3">
        <v>12</v>
      </c>
      <c r="BM23" s="3">
        <v>11</v>
      </c>
      <c r="BN23" s="3">
        <v>10</v>
      </c>
      <c r="BO23" s="3">
        <v>9</v>
      </c>
      <c r="BP23" s="3">
        <v>8</v>
      </c>
      <c r="BQ23" s="3">
        <v>7</v>
      </c>
      <c r="BR23" s="3">
        <v>6</v>
      </c>
      <c r="BS23" s="3">
        <v>5</v>
      </c>
      <c r="BT23" s="3">
        <v>4</v>
      </c>
      <c r="BU23" s="31">
        <v>3</v>
      </c>
      <c r="BV23" s="8">
        <v>2</v>
      </c>
      <c r="BW23" s="86">
        <v>1</v>
      </c>
      <c r="BX23" s="86">
        <v>15</v>
      </c>
      <c r="BY23" s="86">
        <v>14</v>
      </c>
      <c r="BZ23" s="3">
        <v>13</v>
      </c>
      <c r="CA23" s="3">
        <v>12</v>
      </c>
      <c r="CB23" s="3">
        <v>11</v>
      </c>
      <c r="CC23" s="3">
        <v>10</v>
      </c>
      <c r="CD23" s="3">
        <v>9</v>
      </c>
      <c r="CE23" s="3">
        <v>8</v>
      </c>
      <c r="CF23" s="3">
        <v>7</v>
      </c>
      <c r="CG23" s="3">
        <v>6</v>
      </c>
      <c r="CH23" s="3">
        <v>5</v>
      </c>
      <c r="CI23" s="3">
        <v>4</v>
      </c>
      <c r="CJ23" s="31">
        <v>3</v>
      </c>
    </row>
    <row r="24" spans="1:88" hidden="1" x14ac:dyDescent="0.25">
      <c r="A24" s="2" t="s">
        <v>6</v>
      </c>
      <c r="B24" s="265">
        <v>5</v>
      </c>
      <c r="C24" s="265">
        <v>1</v>
      </c>
      <c r="D24" s="265" t="str">
        <f t="shared" si="0"/>
        <v>SORTING_EAST_C_2_15</v>
      </c>
      <c r="E24" s="265" t="s">
        <v>35</v>
      </c>
      <c r="F24" s="49" t="s">
        <v>45</v>
      </c>
      <c r="G24" s="3" t="s">
        <v>18</v>
      </c>
      <c r="H24" s="3">
        <v>2</v>
      </c>
      <c r="I24" s="3">
        <v>2</v>
      </c>
      <c r="J24" s="3" t="s">
        <v>4</v>
      </c>
      <c r="K24" s="37"/>
      <c r="L24" s="90">
        <f>COUNT(W24:AQ24)</f>
        <v>3</v>
      </c>
      <c r="M24" s="30" t="s">
        <v>28</v>
      </c>
      <c r="N24" s="42"/>
      <c r="O24" s="133"/>
      <c r="P24" s="133"/>
      <c r="Q24" s="133"/>
      <c r="R24" s="46"/>
      <c r="S24" s="46"/>
      <c r="T24" s="46"/>
      <c r="U24" s="46"/>
      <c r="V24" s="101"/>
      <c r="W24" s="321">
        <v>1</v>
      </c>
      <c r="X24" s="33">
        <f>W24+1</f>
        <v>2</v>
      </c>
      <c r="Y24" s="33">
        <f t="shared" ref="Y24:Y25" si="17">X24+1</f>
        <v>3</v>
      </c>
      <c r="Z24" s="61"/>
      <c r="AA24" s="33"/>
      <c r="AB24" s="282"/>
      <c r="AC24" s="321"/>
      <c r="AD24" s="33"/>
      <c r="AE24" s="33"/>
      <c r="AF24" s="33"/>
      <c r="AG24" s="33"/>
      <c r="AH24" s="33"/>
      <c r="AI24" s="33"/>
      <c r="AJ24" s="33"/>
      <c r="AK24" s="282"/>
      <c r="AL24" s="86"/>
      <c r="AM24" s="3"/>
      <c r="AN24" s="3"/>
      <c r="AO24" s="3"/>
      <c r="AP24" s="3"/>
      <c r="AQ24" s="31"/>
      <c r="AR24" s="8"/>
      <c r="AS24" s="86"/>
      <c r="AT24" s="86"/>
      <c r="AU24" s="86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1"/>
      <c r="BG24" s="8"/>
      <c r="BH24" s="86"/>
      <c r="BI24" s="86"/>
      <c r="BJ24" s="86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1"/>
      <c r="BV24" s="8"/>
      <c r="BW24" s="86"/>
      <c r="BX24" s="86"/>
      <c r="BY24" s="86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1"/>
    </row>
    <row r="25" spans="1:88" hidden="1" x14ac:dyDescent="0.25">
      <c r="A25" s="2" t="s">
        <v>6</v>
      </c>
      <c r="B25" s="265">
        <v>5</v>
      </c>
      <c r="C25" s="265">
        <v>2</v>
      </c>
      <c r="D25" s="265" t="str">
        <f t="shared" si="0"/>
        <v>TRANSFER_EAST_C_2_15</v>
      </c>
      <c r="E25" s="265" t="s">
        <v>21</v>
      </c>
      <c r="F25" s="49" t="s">
        <v>21</v>
      </c>
      <c r="G25" s="3" t="s">
        <v>18</v>
      </c>
      <c r="H25" s="3">
        <v>2</v>
      </c>
      <c r="I25" s="3">
        <v>2</v>
      </c>
      <c r="J25" s="3" t="s">
        <v>4</v>
      </c>
      <c r="K25" s="37"/>
      <c r="L25" s="90">
        <f>COUNT(W25:AQ25)</f>
        <v>4</v>
      </c>
      <c r="M25" s="30" t="s">
        <v>28</v>
      </c>
      <c r="N25" s="42"/>
      <c r="O25" s="133"/>
      <c r="P25" s="133"/>
      <c r="Q25" s="133"/>
      <c r="R25" s="46"/>
      <c r="S25" s="46"/>
      <c r="T25" s="46"/>
      <c r="U25" s="46"/>
      <c r="V25" s="101"/>
      <c r="W25" s="319">
        <v>1</v>
      </c>
      <c r="X25" s="3">
        <f t="shared" ref="X25" si="18">W25+1</f>
        <v>2</v>
      </c>
      <c r="Y25" s="3">
        <f t="shared" si="17"/>
        <v>3</v>
      </c>
      <c r="Z25" s="3">
        <f>Y25+1</f>
        <v>4</v>
      </c>
      <c r="AA25" s="4"/>
      <c r="AB25" s="280"/>
      <c r="AC25" s="319"/>
      <c r="AD25" s="3"/>
      <c r="AE25" s="3"/>
      <c r="AF25" s="3"/>
      <c r="AG25" s="3"/>
      <c r="AH25" s="3"/>
      <c r="AI25" s="3"/>
      <c r="AJ25" s="3"/>
      <c r="AK25" s="280"/>
      <c r="AL25" s="86"/>
      <c r="AM25" s="3"/>
      <c r="AN25" s="3"/>
      <c r="AO25" s="3"/>
      <c r="AP25" s="3"/>
      <c r="AQ25" s="31"/>
      <c r="AR25" s="8"/>
      <c r="AS25" s="86"/>
      <c r="AT25" s="86"/>
      <c r="AU25" s="86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1"/>
      <c r="BG25" s="8"/>
      <c r="BH25" s="86"/>
      <c r="BI25" s="86"/>
      <c r="BJ25" s="86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1"/>
      <c r="BV25" s="8"/>
      <c r="BW25" s="86"/>
      <c r="BX25" s="86"/>
      <c r="BY25" s="86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1"/>
    </row>
    <row r="26" spans="1:88" hidden="1" x14ac:dyDescent="0.25">
      <c r="A26" s="2" t="s">
        <v>6</v>
      </c>
      <c r="B26" s="265">
        <v>5</v>
      </c>
      <c r="C26" s="265">
        <v>3</v>
      </c>
      <c r="D26" s="265" t="str">
        <f t="shared" si="0"/>
        <v>SUPPLY_EAST_C_2_15</v>
      </c>
      <c r="E26" s="265" t="s">
        <v>0</v>
      </c>
      <c r="F26" s="34" t="s">
        <v>0</v>
      </c>
      <c r="G26" s="3" t="s">
        <v>18</v>
      </c>
      <c r="H26" s="3">
        <v>2</v>
      </c>
      <c r="I26" s="3">
        <v>2</v>
      </c>
      <c r="J26" s="3" t="s">
        <v>4</v>
      </c>
      <c r="K26" s="90"/>
      <c r="L26" s="90">
        <f>COUNT(AC26:BF26)</f>
        <v>3</v>
      </c>
      <c r="M26" s="30" t="s">
        <v>28</v>
      </c>
      <c r="N26" s="42"/>
      <c r="O26" s="133"/>
      <c r="P26" s="133"/>
      <c r="Q26" s="133"/>
      <c r="R26" s="46"/>
      <c r="S26" s="46"/>
      <c r="T26" s="46"/>
      <c r="U26" s="46"/>
      <c r="V26" s="101"/>
      <c r="W26" s="320"/>
      <c r="X26" s="46"/>
      <c r="Y26" s="46"/>
      <c r="Z26" s="46"/>
      <c r="AA26" s="46"/>
      <c r="AB26" s="340"/>
      <c r="AC26" s="319">
        <v>1</v>
      </c>
      <c r="AD26" s="3">
        <f>AC26+1</f>
        <v>2</v>
      </c>
      <c r="AE26" s="3">
        <f t="shared" ref="AE26" si="19">AD26+1</f>
        <v>3</v>
      </c>
      <c r="AF26" s="4"/>
      <c r="AG26" s="4"/>
      <c r="AH26" s="4"/>
      <c r="AI26" s="4"/>
      <c r="AJ26" s="4"/>
      <c r="AK26" s="283"/>
      <c r="AL26" s="93"/>
      <c r="AM26" s="4"/>
      <c r="AN26" s="258"/>
      <c r="AO26" s="4"/>
      <c r="AP26" s="4"/>
      <c r="AQ26" s="31"/>
      <c r="AR26" s="8"/>
      <c r="AS26" s="86"/>
      <c r="AT26" s="86"/>
      <c r="AU26" s="86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1"/>
      <c r="BG26" s="8"/>
      <c r="BH26" s="86"/>
      <c r="BI26" s="86"/>
      <c r="BJ26" s="86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1"/>
      <c r="BV26" s="8"/>
      <c r="BW26" s="86"/>
      <c r="BX26" s="86"/>
      <c r="BY26" s="86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1"/>
    </row>
    <row r="27" spans="1:88" x14ac:dyDescent="0.25">
      <c r="A27" s="286" t="s">
        <v>6</v>
      </c>
      <c r="B27" s="265">
        <v>5</v>
      </c>
      <c r="C27" s="265">
        <v>4</v>
      </c>
      <c r="D27" s="265" t="str">
        <f t="shared" si="0"/>
        <v>EMPTY_EAST_C_2_15</v>
      </c>
      <c r="E27" s="265" t="s">
        <v>0</v>
      </c>
      <c r="F27" s="34" t="s">
        <v>32</v>
      </c>
      <c r="G27" s="3" t="s">
        <v>18</v>
      </c>
      <c r="H27" s="3">
        <v>2</v>
      </c>
      <c r="I27" s="3">
        <v>2</v>
      </c>
      <c r="J27" s="3" t="s">
        <v>4</v>
      </c>
      <c r="K27" s="90"/>
      <c r="L27" s="90">
        <f>COUNT(N27:AQ27)</f>
        <v>14</v>
      </c>
      <c r="M27" s="30" t="s">
        <v>28</v>
      </c>
      <c r="N27" s="8">
        <v>1</v>
      </c>
      <c r="O27" s="86">
        <f t="shared" ref="O27:Z28" si="20">N27+1</f>
        <v>2</v>
      </c>
      <c r="P27" s="86">
        <f t="shared" si="20"/>
        <v>3</v>
      </c>
      <c r="Q27" s="86">
        <f t="shared" si="20"/>
        <v>4</v>
      </c>
      <c r="R27" s="86">
        <f t="shared" si="20"/>
        <v>5</v>
      </c>
      <c r="S27" s="86">
        <f t="shared" si="20"/>
        <v>6</v>
      </c>
      <c r="T27" s="86">
        <f t="shared" si="20"/>
        <v>7</v>
      </c>
      <c r="U27" s="86">
        <f t="shared" si="20"/>
        <v>8</v>
      </c>
      <c r="V27" s="336">
        <f t="shared" si="20"/>
        <v>9</v>
      </c>
      <c r="W27" s="319">
        <f t="shared" si="20"/>
        <v>10</v>
      </c>
      <c r="X27" s="3">
        <f t="shared" si="20"/>
        <v>11</v>
      </c>
      <c r="Y27" s="3">
        <f>X27+1</f>
        <v>12</v>
      </c>
      <c r="Z27" s="3">
        <f t="shared" ref="Z27:AA27" si="21">Y27+1</f>
        <v>13</v>
      </c>
      <c r="AA27" s="3">
        <f t="shared" si="21"/>
        <v>14</v>
      </c>
      <c r="AB27" s="340"/>
      <c r="AC27" s="333"/>
      <c r="AD27" s="3"/>
      <c r="AE27" s="3"/>
      <c r="AF27" s="3"/>
      <c r="AG27" s="3"/>
      <c r="AH27" s="3"/>
      <c r="AI27" s="3"/>
      <c r="AJ27" s="3"/>
      <c r="AK27" s="280"/>
      <c r="AL27" s="86"/>
      <c r="AM27" s="3"/>
      <c r="AN27" s="33"/>
      <c r="AO27" s="3"/>
      <c r="AP27" s="3"/>
      <c r="AQ27" s="31"/>
      <c r="AR27" s="8"/>
      <c r="AS27" s="86"/>
      <c r="AT27" s="86"/>
      <c r="AU27" s="86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1"/>
      <c r="BG27" s="8"/>
      <c r="BH27" s="86"/>
      <c r="BI27" s="86"/>
      <c r="BJ27" s="86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1"/>
      <c r="BV27" s="8"/>
      <c r="BW27" s="86"/>
      <c r="BX27" s="86"/>
      <c r="BY27" s="86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1"/>
    </row>
    <row r="28" spans="1:88" hidden="1" x14ac:dyDescent="0.25">
      <c r="A28" s="286" t="s">
        <v>6</v>
      </c>
      <c r="B28" s="265">
        <v>5</v>
      </c>
      <c r="C28" s="265">
        <v>5</v>
      </c>
      <c r="D28" s="265" t="str">
        <f t="shared" si="0"/>
        <v>PREPARE_EAST_C_2_15</v>
      </c>
      <c r="E28" s="265" t="s">
        <v>0</v>
      </c>
      <c r="F28" s="49" t="s">
        <v>46</v>
      </c>
      <c r="G28" s="3" t="s">
        <v>18</v>
      </c>
      <c r="H28" s="3">
        <v>2</v>
      </c>
      <c r="I28" s="3">
        <v>2</v>
      </c>
      <c r="J28" s="3" t="s">
        <v>4</v>
      </c>
      <c r="K28" s="37"/>
      <c r="L28" s="90">
        <f>COUNT(N28:AQ28)</f>
        <v>16</v>
      </c>
      <c r="M28" s="30" t="s">
        <v>28</v>
      </c>
      <c r="N28" s="8">
        <v>1</v>
      </c>
      <c r="O28" s="86">
        <f t="shared" si="20"/>
        <v>2</v>
      </c>
      <c r="P28" s="86">
        <f t="shared" si="20"/>
        <v>3</v>
      </c>
      <c r="Q28" s="86">
        <f t="shared" si="20"/>
        <v>4</v>
      </c>
      <c r="R28" s="86">
        <f t="shared" si="20"/>
        <v>5</v>
      </c>
      <c r="S28" s="86">
        <f t="shared" si="20"/>
        <v>6</v>
      </c>
      <c r="T28" s="86">
        <f t="shared" si="20"/>
        <v>7</v>
      </c>
      <c r="U28" s="86">
        <f t="shared" si="20"/>
        <v>8</v>
      </c>
      <c r="V28" s="336">
        <f t="shared" si="20"/>
        <v>9</v>
      </c>
      <c r="W28" s="319">
        <f t="shared" si="20"/>
        <v>10</v>
      </c>
      <c r="X28" s="3">
        <f t="shared" si="20"/>
        <v>11</v>
      </c>
      <c r="Y28" s="3">
        <f t="shared" si="20"/>
        <v>12</v>
      </c>
      <c r="Z28" s="3">
        <f t="shared" si="20"/>
        <v>13</v>
      </c>
      <c r="AA28" s="3">
        <f>Z28+1</f>
        <v>14</v>
      </c>
      <c r="AB28" s="280">
        <f t="shared" ref="AB28:AC28" si="22">AA28+1</f>
        <v>15</v>
      </c>
      <c r="AC28" s="319">
        <f t="shared" si="22"/>
        <v>16</v>
      </c>
      <c r="AD28" s="4"/>
      <c r="AE28" s="4"/>
      <c r="AF28" s="3"/>
      <c r="AG28" s="3"/>
      <c r="AH28" s="3"/>
      <c r="AI28" s="3"/>
      <c r="AJ28" s="3"/>
      <c r="AK28" s="280"/>
      <c r="AL28" s="86"/>
      <c r="AM28" s="3"/>
      <c r="AN28" s="3"/>
      <c r="AO28" s="3"/>
      <c r="AP28" s="3"/>
      <c r="AQ28" s="31"/>
      <c r="AR28" s="8"/>
      <c r="AS28" s="86"/>
      <c r="AT28" s="86"/>
      <c r="AU28" s="86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1"/>
      <c r="BG28" s="8"/>
      <c r="BH28" s="86"/>
      <c r="BI28" s="86"/>
      <c r="BJ28" s="86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1"/>
      <c r="BV28" s="8"/>
      <c r="BW28" s="86"/>
      <c r="BX28" s="86"/>
      <c r="BY28" s="86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1"/>
    </row>
    <row r="29" spans="1:88" hidden="1" x14ac:dyDescent="0.25">
      <c r="A29" s="286" t="s">
        <v>6</v>
      </c>
      <c r="B29" s="265">
        <f>B27</f>
        <v>5</v>
      </c>
      <c r="C29" s="265">
        <v>6</v>
      </c>
      <c r="D29" s="265" t="str">
        <f t="shared" si="0"/>
        <v>COUNTDOWN_EAST_C_2_15</v>
      </c>
      <c r="E29" s="265"/>
      <c r="F29" s="34" t="s">
        <v>33</v>
      </c>
      <c r="G29" s="3" t="s">
        <v>18</v>
      </c>
      <c r="H29" s="3">
        <v>2</v>
      </c>
      <c r="I29" s="3">
        <v>2</v>
      </c>
      <c r="J29" s="3" t="s">
        <v>4</v>
      </c>
      <c r="K29" s="32"/>
      <c r="L29" s="32"/>
      <c r="M29" s="30" t="s">
        <v>28</v>
      </c>
      <c r="N29" s="8">
        <v>3</v>
      </c>
      <c r="O29" s="86">
        <v>2</v>
      </c>
      <c r="P29" s="86">
        <v>1</v>
      </c>
      <c r="Q29" s="86">
        <v>15</v>
      </c>
      <c r="R29" s="3">
        <v>14</v>
      </c>
      <c r="S29" s="3">
        <v>13</v>
      </c>
      <c r="T29" s="3">
        <v>12</v>
      </c>
      <c r="U29" s="3">
        <v>11</v>
      </c>
      <c r="V29" s="30">
        <v>10</v>
      </c>
      <c r="W29" s="319">
        <v>9</v>
      </c>
      <c r="X29" s="3">
        <v>8</v>
      </c>
      <c r="Y29" s="3">
        <v>7</v>
      </c>
      <c r="Z29" s="3">
        <v>6</v>
      </c>
      <c r="AA29" s="3">
        <v>5</v>
      </c>
      <c r="AB29" s="280">
        <v>4</v>
      </c>
      <c r="AC29" s="319">
        <v>3</v>
      </c>
      <c r="AD29" s="3">
        <v>2</v>
      </c>
      <c r="AE29" s="3">
        <v>1</v>
      </c>
      <c r="AF29" s="3">
        <v>15</v>
      </c>
      <c r="AG29" s="3">
        <v>14</v>
      </c>
      <c r="AH29" s="3">
        <v>13</v>
      </c>
      <c r="AI29" s="3">
        <v>12</v>
      </c>
      <c r="AJ29" s="3">
        <v>11</v>
      </c>
      <c r="AK29" s="280">
        <v>10</v>
      </c>
      <c r="AL29" s="86">
        <v>9</v>
      </c>
      <c r="AM29" s="3">
        <v>8</v>
      </c>
      <c r="AN29" s="3">
        <v>7</v>
      </c>
      <c r="AO29" s="3">
        <v>6</v>
      </c>
      <c r="AP29" s="3">
        <v>5</v>
      </c>
      <c r="AQ29" s="31">
        <v>4</v>
      </c>
      <c r="AR29" s="8">
        <v>3</v>
      </c>
      <c r="AS29" s="86">
        <v>2</v>
      </c>
      <c r="AT29" s="86">
        <v>1</v>
      </c>
      <c r="AU29" s="86">
        <v>15</v>
      </c>
      <c r="AV29" s="3">
        <v>14</v>
      </c>
      <c r="AW29" s="3">
        <v>13</v>
      </c>
      <c r="AX29" s="3">
        <v>12</v>
      </c>
      <c r="AY29" s="3">
        <v>11</v>
      </c>
      <c r="AZ29" s="3">
        <v>10</v>
      </c>
      <c r="BA29" s="3">
        <v>9</v>
      </c>
      <c r="BB29" s="3">
        <v>8</v>
      </c>
      <c r="BC29" s="3">
        <v>7</v>
      </c>
      <c r="BD29" s="3">
        <v>6</v>
      </c>
      <c r="BE29" s="3">
        <v>5</v>
      </c>
      <c r="BF29" s="31">
        <v>4</v>
      </c>
      <c r="BG29" s="8">
        <v>3</v>
      </c>
      <c r="BH29" s="86">
        <v>2</v>
      </c>
      <c r="BI29" s="86">
        <v>1</v>
      </c>
      <c r="BJ29" s="86">
        <v>15</v>
      </c>
      <c r="BK29" s="3">
        <v>14</v>
      </c>
      <c r="BL29" s="3">
        <v>13</v>
      </c>
      <c r="BM29" s="3">
        <v>12</v>
      </c>
      <c r="BN29" s="3">
        <v>11</v>
      </c>
      <c r="BO29" s="3">
        <v>10</v>
      </c>
      <c r="BP29" s="3">
        <v>9</v>
      </c>
      <c r="BQ29" s="3">
        <v>8</v>
      </c>
      <c r="BR29" s="3">
        <v>7</v>
      </c>
      <c r="BS29" s="3">
        <v>6</v>
      </c>
      <c r="BT29" s="3">
        <v>5</v>
      </c>
      <c r="BU29" s="31">
        <v>4</v>
      </c>
      <c r="BV29" s="8">
        <v>3</v>
      </c>
      <c r="BW29" s="86">
        <v>2</v>
      </c>
      <c r="BX29" s="86">
        <v>1</v>
      </c>
      <c r="BY29" s="86">
        <v>15</v>
      </c>
      <c r="BZ29" s="3">
        <v>14</v>
      </c>
      <c r="CA29" s="3">
        <v>13</v>
      </c>
      <c r="CB29" s="3">
        <v>12</v>
      </c>
      <c r="CC29" s="3">
        <v>11</v>
      </c>
      <c r="CD29" s="3">
        <v>10</v>
      </c>
      <c r="CE29" s="3">
        <v>9</v>
      </c>
      <c r="CF29" s="3">
        <v>8</v>
      </c>
      <c r="CG29" s="3">
        <v>7</v>
      </c>
      <c r="CH29" s="3">
        <v>6</v>
      </c>
      <c r="CI29" s="3">
        <v>5</v>
      </c>
      <c r="CJ29" s="31">
        <v>4</v>
      </c>
    </row>
    <row r="30" spans="1:88" hidden="1" x14ac:dyDescent="0.25">
      <c r="B30" s="265">
        <v>6</v>
      </c>
      <c r="C30" s="265">
        <v>6</v>
      </c>
      <c r="D30" s="265" t="str">
        <f t="shared" si="0"/>
        <v>SORTING_EAST_I_1_15</v>
      </c>
      <c r="E30" s="265" t="s">
        <v>35</v>
      </c>
      <c r="F30" s="49" t="s">
        <v>45</v>
      </c>
      <c r="G30" s="3" t="s">
        <v>18</v>
      </c>
      <c r="H30" s="3">
        <v>1</v>
      </c>
      <c r="I30" s="3">
        <v>1</v>
      </c>
      <c r="J30" s="3" t="s">
        <v>10</v>
      </c>
      <c r="K30" s="37"/>
      <c r="L30" s="90">
        <f>COUNT(W30:AQ30)</f>
        <v>4</v>
      </c>
      <c r="M30" s="30" t="s">
        <v>28</v>
      </c>
      <c r="N30" s="42"/>
      <c r="O30" s="133"/>
      <c r="P30" s="133"/>
      <c r="Q30" s="133"/>
      <c r="R30" s="46"/>
      <c r="S30" s="46"/>
      <c r="T30" s="46"/>
      <c r="U30" s="46"/>
      <c r="V30" s="101"/>
      <c r="W30" s="321">
        <v>1</v>
      </c>
      <c r="X30" s="33">
        <f t="shared" ref="X30:Y31" si="23">W30+1</f>
        <v>2</v>
      </c>
      <c r="Y30" s="33">
        <f t="shared" si="23"/>
        <v>3</v>
      </c>
      <c r="Z30" s="33">
        <f>Y30+1</f>
        <v>4</v>
      </c>
      <c r="AA30" s="61"/>
      <c r="AB30" s="282"/>
      <c r="AC30" s="321"/>
      <c r="AD30" s="33"/>
      <c r="AE30" s="33"/>
      <c r="AF30" s="33"/>
      <c r="AG30" s="33"/>
      <c r="AH30" s="33"/>
      <c r="AI30" s="33"/>
      <c r="AJ30" s="33"/>
      <c r="AK30" s="282"/>
      <c r="AL30" s="86"/>
      <c r="AM30" s="3"/>
      <c r="AN30" s="3"/>
      <c r="AO30" s="3"/>
      <c r="AP30" s="3"/>
      <c r="AQ30" s="31"/>
      <c r="AR30" s="8"/>
      <c r="AS30" s="86"/>
      <c r="AT30" s="86"/>
      <c r="AU30" s="86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1"/>
      <c r="BG30" s="8"/>
      <c r="BH30" s="86"/>
      <c r="BI30" s="86"/>
      <c r="BJ30" s="86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1"/>
      <c r="BV30" s="8"/>
      <c r="BW30" s="86"/>
      <c r="BX30" s="86"/>
      <c r="BY30" s="86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1"/>
    </row>
    <row r="31" spans="1:88" hidden="1" x14ac:dyDescent="0.25">
      <c r="B31" s="265">
        <v>6</v>
      </c>
      <c r="C31" s="265">
        <v>1</v>
      </c>
      <c r="D31" s="265" t="str">
        <f t="shared" si="0"/>
        <v>TRANSFER_EAST_I_1_15</v>
      </c>
      <c r="E31" s="265" t="s">
        <v>21</v>
      </c>
      <c r="F31" s="49" t="s">
        <v>21</v>
      </c>
      <c r="G31" s="3" t="s">
        <v>18</v>
      </c>
      <c r="H31" s="3">
        <v>1</v>
      </c>
      <c r="I31" s="3">
        <v>1</v>
      </c>
      <c r="J31" s="3" t="s">
        <v>10</v>
      </c>
      <c r="K31" s="37"/>
      <c r="L31" s="90">
        <f>COUNT(W31:AQ31)</f>
        <v>5</v>
      </c>
      <c r="M31" s="30" t="s">
        <v>28</v>
      </c>
      <c r="N31" s="42"/>
      <c r="O31" s="133"/>
      <c r="P31" s="133"/>
      <c r="Q31" s="133"/>
      <c r="R31" s="46"/>
      <c r="S31" s="46"/>
      <c r="T31" s="46"/>
      <c r="U31" s="46"/>
      <c r="V31" s="101"/>
      <c r="W31" s="319">
        <v>1</v>
      </c>
      <c r="X31" s="3">
        <f t="shared" si="23"/>
        <v>2</v>
      </c>
      <c r="Y31" s="3">
        <f t="shared" si="23"/>
        <v>3</v>
      </c>
      <c r="Z31" s="3">
        <f>Y31+1</f>
        <v>4</v>
      </c>
      <c r="AA31" s="3">
        <f>Z31+1</f>
        <v>5</v>
      </c>
      <c r="AB31" s="283"/>
      <c r="AC31" s="333"/>
      <c r="AD31" s="3"/>
      <c r="AE31" s="3"/>
      <c r="AF31" s="3"/>
      <c r="AG31" s="3"/>
      <c r="AH31" s="3"/>
      <c r="AI31" s="3"/>
      <c r="AJ31" s="3"/>
      <c r="AK31" s="280"/>
      <c r="AL31" s="86"/>
      <c r="AM31" s="3"/>
      <c r="AN31" s="3"/>
      <c r="AO31" s="3"/>
      <c r="AP31" s="3"/>
      <c r="AQ31" s="31"/>
      <c r="AR31" s="8"/>
      <c r="AS31" s="86"/>
      <c r="AT31" s="86"/>
      <c r="AU31" s="86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1"/>
      <c r="BG31" s="8"/>
      <c r="BH31" s="86"/>
      <c r="BI31" s="86"/>
      <c r="BJ31" s="86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1"/>
      <c r="BV31" s="8"/>
      <c r="BW31" s="86"/>
      <c r="BX31" s="86"/>
      <c r="BY31" s="86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1"/>
    </row>
    <row r="32" spans="1:88" hidden="1" x14ac:dyDescent="0.25">
      <c r="B32" s="265">
        <v>6</v>
      </c>
      <c r="C32" s="265">
        <v>3</v>
      </c>
      <c r="D32" s="265" t="str">
        <f t="shared" si="0"/>
        <v>SUPPLY_EAST_I_1_15</v>
      </c>
      <c r="E32" s="265" t="s">
        <v>0</v>
      </c>
      <c r="F32" s="34" t="s">
        <v>0</v>
      </c>
      <c r="G32" s="3" t="s">
        <v>18</v>
      </c>
      <c r="H32" s="3">
        <v>1</v>
      </c>
      <c r="I32" s="3">
        <v>1</v>
      </c>
      <c r="J32" s="3" t="s">
        <v>10</v>
      </c>
      <c r="K32" s="90"/>
      <c r="L32" s="90">
        <f>COUNT(AC32:BF32)</f>
        <v>4</v>
      </c>
      <c r="M32" s="30" t="s">
        <v>28</v>
      </c>
      <c r="N32" s="42"/>
      <c r="O32" s="133"/>
      <c r="P32" s="133"/>
      <c r="Q32" s="133"/>
      <c r="R32" s="46"/>
      <c r="S32" s="46"/>
      <c r="T32" s="46"/>
      <c r="U32" s="46"/>
      <c r="V32" s="101"/>
      <c r="W32" s="320"/>
      <c r="X32" s="46"/>
      <c r="Y32" s="46"/>
      <c r="Z32" s="46"/>
      <c r="AA32" s="46"/>
      <c r="AB32" s="340"/>
      <c r="AC32" s="319">
        <v>1</v>
      </c>
      <c r="AD32" s="3">
        <f t="shared" ref="AD32:AE32" si="24">AC32+1</f>
        <v>2</v>
      </c>
      <c r="AE32" s="3">
        <f t="shared" si="24"/>
        <v>3</v>
      </c>
      <c r="AF32" s="3">
        <f>AE32+1</f>
        <v>4</v>
      </c>
      <c r="AG32" s="4"/>
      <c r="AH32" s="4"/>
      <c r="AI32" s="4"/>
      <c r="AJ32" s="4"/>
      <c r="AK32" s="283"/>
      <c r="AL32" s="93"/>
      <c r="AM32" s="4"/>
      <c r="AN32" s="258"/>
      <c r="AO32" s="4"/>
      <c r="AP32" s="4"/>
      <c r="AQ32" s="21"/>
      <c r="AR32" s="8"/>
      <c r="AS32" s="86"/>
      <c r="AT32" s="86"/>
      <c r="AU32" s="86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1"/>
      <c r="BG32" s="8"/>
      <c r="BH32" s="86"/>
      <c r="BI32" s="86"/>
      <c r="BJ32" s="86"/>
      <c r="BK32" s="3"/>
      <c r="BL32" s="3"/>
      <c r="BM32" s="3"/>
      <c r="BN32" s="3"/>
      <c r="BO32" s="3"/>
      <c r="BQ32" s="3"/>
      <c r="BR32" s="3"/>
      <c r="BS32" s="3"/>
      <c r="BT32" s="3"/>
      <c r="BU32" s="31"/>
      <c r="BV32" s="8"/>
      <c r="BW32" s="86"/>
      <c r="BX32" s="86"/>
      <c r="BY32" s="86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1"/>
    </row>
    <row r="33" spans="1:88" x14ac:dyDescent="0.25">
      <c r="B33" s="265">
        <v>6</v>
      </c>
      <c r="C33" s="265">
        <v>4</v>
      </c>
      <c r="D33" s="265" t="str">
        <f t="shared" si="0"/>
        <v>EMPTY_EAST_I_1_15</v>
      </c>
      <c r="E33" s="265" t="s">
        <v>0</v>
      </c>
      <c r="F33" s="34" t="s">
        <v>32</v>
      </c>
      <c r="G33" s="3" t="s">
        <v>18</v>
      </c>
      <c r="H33" s="3">
        <v>1</v>
      </c>
      <c r="I33" s="3">
        <v>1</v>
      </c>
      <c r="J33" s="3" t="s">
        <v>10</v>
      </c>
      <c r="K33" s="90"/>
      <c r="L33" s="90">
        <f>COUNT(N33:AQ33)</f>
        <v>16</v>
      </c>
      <c r="M33" s="30" t="s">
        <v>28</v>
      </c>
      <c r="N33" s="8">
        <v>1</v>
      </c>
      <c r="O33" s="86">
        <f t="shared" ref="O33:Z34" si="25">N33+1</f>
        <v>2</v>
      </c>
      <c r="P33" s="86">
        <f t="shared" si="25"/>
        <v>3</v>
      </c>
      <c r="Q33" s="86">
        <f t="shared" si="25"/>
        <v>4</v>
      </c>
      <c r="R33" s="86">
        <f t="shared" si="25"/>
        <v>5</v>
      </c>
      <c r="S33" s="86">
        <f t="shared" si="25"/>
        <v>6</v>
      </c>
      <c r="T33" s="86">
        <f t="shared" si="25"/>
        <v>7</v>
      </c>
      <c r="U33" s="86">
        <f t="shared" si="25"/>
        <v>8</v>
      </c>
      <c r="V33" s="336">
        <f t="shared" si="25"/>
        <v>9</v>
      </c>
      <c r="W33" s="319">
        <f t="shared" si="25"/>
        <v>10</v>
      </c>
      <c r="X33" s="3">
        <f t="shared" si="25"/>
        <v>11</v>
      </c>
      <c r="Y33" s="3">
        <f>X33+1</f>
        <v>12</v>
      </c>
      <c r="Z33" s="3">
        <f t="shared" ref="Z33:AA33" si="26">Y33+1</f>
        <v>13</v>
      </c>
      <c r="AA33" s="3">
        <f t="shared" si="26"/>
        <v>14</v>
      </c>
      <c r="AB33" s="280">
        <f>AA33+1</f>
        <v>15</v>
      </c>
      <c r="AC33" s="319">
        <f>AB33+1</f>
        <v>16</v>
      </c>
      <c r="AD33" s="46"/>
      <c r="AE33" s="4"/>
      <c r="AF33" s="3"/>
      <c r="AG33" s="3"/>
      <c r="AH33" s="3"/>
      <c r="AI33" s="3"/>
      <c r="AJ33" s="3"/>
      <c r="AK33" s="280"/>
      <c r="AL33" s="86"/>
      <c r="AM33" s="3"/>
      <c r="AN33" s="33"/>
      <c r="AO33" s="3"/>
      <c r="AP33" s="3"/>
      <c r="AQ33" s="3"/>
      <c r="AR33" s="284"/>
      <c r="AS33" s="284"/>
      <c r="AT33" s="284"/>
      <c r="AU33" s="284"/>
      <c r="AV33" s="284"/>
      <c r="AW33" s="284"/>
      <c r="AX33" s="284"/>
      <c r="AY33" s="284"/>
      <c r="AZ33" s="284"/>
      <c r="BA33" s="3"/>
      <c r="BB33" s="3"/>
      <c r="BC33" s="3"/>
      <c r="BD33" s="3"/>
      <c r="BE33" s="3"/>
      <c r="BF33" s="31"/>
      <c r="BP33" s="3"/>
      <c r="BQ33" s="3"/>
      <c r="BR33" s="3"/>
      <c r="BS33" s="3"/>
      <c r="BT33" s="3"/>
      <c r="BU33" s="31"/>
      <c r="CE33" s="3"/>
      <c r="CF33" s="3"/>
      <c r="CG33" s="3"/>
      <c r="CH33" s="3"/>
      <c r="CI33" s="3"/>
      <c r="CJ33" s="31"/>
    </row>
    <row r="34" spans="1:88" hidden="1" x14ac:dyDescent="0.25">
      <c r="B34" s="265">
        <v>6</v>
      </c>
      <c r="C34" s="265">
        <v>2</v>
      </c>
      <c r="D34" s="265" t="str">
        <f t="shared" si="0"/>
        <v>PREPARE_EAST_I_1_15</v>
      </c>
      <c r="E34" s="265" t="s">
        <v>0</v>
      </c>
      <c r="F34" s="49" t="s">
        <v>46</v>
      </c>
      <c r="G34" s="3" t="s">
        <v>18</v>
      </c>
      <c r="H34" s="3">
        <v>1</v>
      </c>
      <c r="I34" s="3">
        <v>1</v>
      </c>
      <c r="J34" s="3" t="s">
        <v>10</v>
      </c>
      <c r="K34" s="37"/>
      <c r="L34" s="90">
        <f>COUNT(N34:AQ34)</f>
        <v>18</v>
      </c>
      <c r="M34" s="30" t="s">
        <v>28</v>
      </c>
      <c r="N34" s="8">
        <v>1</v>
      </c>
      <c r="O34" s="86">
        <f t="shared" si="25"/>
        <v>2</v>
      </c>
      <c r="P34" s="86">
        <f t="shared" si="25"/>
        <v>3</v>
      </c>
      <c r="Q34" s="86">
        <f t="shared" si="25"/>
        <v>4</v>
      </c>
      <c r="R34" s="86">
        <f t="shared" si="25"/>
        <v>5</v>
      </c>
      <c r="S34" s="86">
        <f t="shared" si="25"/>
        <v>6</v>
      </c>
      <c r="T34" s="86">
        <f t="shared" si="25"/>
        <v>7</v>
      </c>
      <c r="U34" s="86">
        <f t="shared" si="25"/>
        <v>8</v>
      </c>
      <c r="V34" s="336">
        <f t="shared" si="25"/>
        <v>9</v>
      </c>
      <c r="W34" s="319">
        <f t="shared" si="25"/>
        <v>10</v>
      </c>
      <c r="X34" s="3">
        <f t="shared" si="25"/>
        <v>11</v>
      </c>
      <c r="Y34" s="3">
        <f t="shared" si="25"/>
        <v>12</v>
      </c>
      <c r="Z34" s="3">
        <f t="shared" si="25"/>
        <v>13</v>
      </c>
      <c r="AA34" s="3">
        <f>Z34+1</f>
        <v>14</v>
      </c>
      <c r="AB34" s="280">
        <f t="shared" ref="AB34:AC34" si="27">AA34+1</f>
        <v>15</v>
      </c>
      <c r="AC34" s="319">
        <f t="shared" si="27"/>
        <v>16</v>
      </c>
      <c r="AD34" s="3">
        <f>AC34+1</f>
        <v>17</v>
      </c>
      <c r="AE34" s="3">
        <f>AD34+1</f>
        <v>18</v>
      </c>
      <c r="AF34" s="4"/>
      <c r="AG34" s="3"/>
      <c r="AH34" s="3"/>
      <c r="AI34" s="3"/>
      <c r="AJ34" s="3"/>
      <c r="AK34" s="280"/>
      <c r="AL34" s="86"/>
      <c r="AM34" s="3"/>
      <c r="AN34" s="3"/>
      <c r="AO34" s="3"/>
      <c r="AP34" s="3"/>
      <c r="AQ34" s="31"/>
      <c r="AR34" s="8"/>
      <c r="AS34" s="86"/>
      <c r="AT34" s="86"/>
      <c r="AU34" s="86"/>
      <c r="AV34" s="3"/>
      <c r="AW34" s="3"/>
      <c r="AX34" s="86"/>
      <c r="AY34" s="3"/>
      <c r="AZ34" s="3"/>
      <c r="BB34" s="3"/>
      <c r="BC34" s="3"/>
      <c r="BD34" s="3"/>
      <c r="BE34" s="3"/>
      <c r="BF34" s="31"/>
      <c r="BG34" s="8"/>
      <c r="BH34" s="86"/>
      <c r="BI34" s="86"/>
      <c r="BJ34" s="86"/>
      <c r="BK34" s="3"/>
      <c r="BL34" s="3"/>
      <c r="BM34" s="3"/>
      <c r="BN34" s="3"/>
      <c r="BO34" s="3"/>
      <c r="BQ34" s="3"/>
      <c r="BR34" s="3"/>
      <c r="BS34" s="3"/>
      <c r="BT34" s="3"/>
      <c r="BU34" s="31"/>
      <c r="BV34" s="8"/>
      <c r="BW34" s="86"/>
      <c r="BX34" s="86"/>
      <c r="BY34" s="86"/>
      <c r="BZ34" s="3"/>
      <c r="CA34" s="3"/>
      <c r="CB34" s="3"/>
      <c r="CC34" s="3"/>
      <c r="CD34" s="3"/>
      <c r="CF34" s="3"/>
      <c r="CG34" s="3"/>
      <c r="CH34" s="3"/>
      <c r="CI34" s="3"/>
      <c r="CJ34" s="31"/>
    </row>
    <row r="35" spans="1:88" hidden="1" x14ac:dyDescent="0.25">
      <c r="B35" s="265">
        <f>B33</f>
        <v>6</v>
      </c>
      <c r="C35" s="265">
        <v>6</v>
      </c>
      <c r="D35" s="265" t="str">
        <f t="shared" si="0"/>
        <v>COUNTDOWN_EAST_I_1_15</v>
      </c>
      <c r="E35" s="265"/>
      <c r="F35" s="34" t="s">
        <v>33</v>
      </c>
      <c r="G35" s="3" t="s">
        <v>18</v>
      </c>
      <c r="H35" s="3">
        <v>1</v>
      </c>
      <c r="I35" s="3">
        <v>1</v>
      </c>
      <c r="J35" s="3" t="s">
        <v>10</v>
      </c>
      <c r="K35" s="32"/>
      <c r="L35" s="32"/>
      <c r="M35" s="30" t="s">
        <v>28</v>
      </c>
      <c r="N35" s="8">
        <v>4</v>
      </c>
      <c r="O35" s="86">
        <v>3</v>
      </c>
      <c r="P35" s="86">
        <v>2</v>
      </c>
      <c r="Q35" s="86">
        <v>1</v>
      </c>
      <c r="R35" s="3">
        <v>15</v>
      </c>
      <c r="S35" s="3">
        <v>14</v>
      </c>
      <c r="T35" s="3">
        <v>13</v>
      </c>
      <c r="U35" s="3">
        <v>12</v>
      </c>
      <c r="V35" s="30">
        <v>11</v>
      </c>
      <c r="W35" s="319">
        <v>10</v>
      </c>
      <c r="X35" s="3">
        <v>9</v>
      </c>
      <c r="Y35" s="3">
        <v>8</v>
      </c>
      <c r="Z35" s="3">
        <v>7</v>
      </c>
      <c r="AA35" s="3">
        <v>6</v>
      </c>
      <c r="AB35" s="280">
        <v>5</v>
      </c>
      <c r="AC35" s="319">
        <v>4</v>
      </c>
      <c r="AD35" s="3">
        <v>3</v>
      </c>
      <c r="AE35" s="3">
        <v>2</v>
      </c>
      <c r="AF35" s="3">
        <v>1</v>
      </c>
      <c r="AG35" s="3">
        <v>15</v>
      </c>
      <c r="AH35" s="3">
        <v>14</v>
      </c>
      <c r="AI35" s="3">
        <v>13</v>
      </c>
      <c r="AJ35" s="3">
        <v>12</v>
      </c>
      <c r="AK35" s="280">
        <v>11</v>
      </c>
      <c r="AL35" s="86">
        <v>10</v>
      </c>
      <c r="AM35" s="3">
        <v>9</v>
      </c>
      <c r="AN35" s="3">
        <v>8</v>
      </c>
      <c r="AO35" s="3">
        <v>7</v>
      </c>
      <c r="AP35" s="3">
        <v>6</v>
      </c>
      <c r="AQ35" s="31">
        <v>5</v>
      </c>
      <c r="AR35" s="8">
        <v>4</v>
      </c>
      <c r="AS35" s="86">
        <v>3</v>
      </c>
      <c r="AT35" s="86">
        <v>2</v>
      </c>
      <c r="AU35" s="86">
        <v>1</v>
      </c>
      <c r="AV35" s="3">
        <v>15</v>
      </c>
      <c r="AW35" s="3">
        <v>14</v>
      </c>
      <c r="AX35" s="3">
        <v>13</v>
      </c>
      <c r="AY35" s="3">
        <v>12</v>
      </c>
      <c r="AZ35" s="3">
        <v>11</v>
      </c>
      <c r="BA35" s="3">
        <v>10</v>
      </c>
      <c r="BB35" s="3">
        <v>9</v>
      </c>
      <c r="BC35" s="3">
        <v>8</v>
      </c>
      <c r="BD35" s="3">
        <v>7</v>
      </c>
      <c r="BE35" s="3">
        <v>6</v>
      </c>
      <c r="BF35" s="31">
        <v>5</v>
      </c>
      <c r="BG35" s="8">
        <v>4</v>
      </c>
      <c r="BH35" s="86">
        <v>3</v>
      </c>
      <c r="BI35" s="86">
        <v>2</v>
      </c>
      <c r="BJ35" s="86">
        <v>1</v>
      </c>
      <c r="BK35" s="3">
        <v>15</v>
      </c>
      <c r="BL35" s="3">
        <v>14</v>
      </c>
      <c r="BM35" s="3">
        <v>13</v>
      </c>
      <c r="BN35" s="3">
        <v>12</v>
      </c>
      <c r="BO35" s="3">
        <v>11</v>
      </c>
      <c r="BP35" s="3">
        <v>10</v>
      </c>
      <c r="BQ35" s="3">
        <v>9</v>
      </c>
      <c r="BR35" s="3">
        <v>8</v>
      </c>
      <c r="BS35" s="3">
        <v>7</v>
      </c>
      <c r="BT35" s="3">
        <v>6</v>
      </c>
      <c r="BU35" s="31">
        <v>5</v>
      </c>
      <c r="BV35" s="8">
        <v>4</v>
      </c>
      <c r="BW35" s="86">
        <v>3</v>
      </c>
      <c r="BX35" s="86">
        <v>2</v>
      </c>
      <c r="BY35" s="86">
        <v>1</v>
      </c>
      <c r="BZ35" s="3">
        <v>15</v>
      </c>
      <c r="CA35" s="3">
        <v>14</v>
      </c>
      <c r="CB35" s="3">
        <v>13</v>
      </c>
      <c r="CC35" s="3">
        <v>12</v>
      </c>
      <c r="CD35" s="3">
        <v>11</v>
      </c>
      <c r="CE35" s="3">
        <v>10</v>
      </c>
      <c r="CF35" s="3">
        <v>9</v>
      </c>
      <c r="CG35" s="3">
        <v>8</v>
      </c>
      <c r="CH35" s="3">
        <v>7</v>
      </c>
      <c r="CI35" s="3">
        <v>6</v>
      </c>
      <c r="CJ35" s="31">
        <v>5</v>
      </c>
    </row>
    <row r="36" spans="1:88" hidden="1" x14ac:dyDescent="0.25">
      <c r="A36" s="286" t="s">
        <v>15</v>
      </c>
      <c r="B36" s="265">
        <v>4</v>
      </c>
      <c r="C36" s="265">
        <v>1</v>
      </c>
      <c r="D36" s="265" t="str">
        <f t="shared" si="0"/>
        <v>SORTING_EAST_G_2_15</v>
      </c>
      <c r="E36" s="265" t="s">
        <v>35</v>
      </c>
      <c r="F36" s="49" t="s">
        <v>45</v>
      </c>
      <c r="G36" s="3" t="s">
        <v>18</v>
      </c>
      <c r="H36" s="3">
        <v>2</v>
      </c>
      <c r="I36" s="3">
        <v>2</v>
      </c>
      <c r="J36" s="3" t="s">
        <v>8</v>
      </c>
      <c r="K36" s="37"/>
      <c r="L36" s="90">
        <f>COUNT(W36:AQ36)</f>
        <v>5</v>
      </c>
      <c r="M36" s="30"/>
      <c r="N36" s="42"/>
      <c r="O36" s="133"/>
      <c r="P36" s="133"/>
      <c r="Q36" s="133"/>
      <c r="R36" s="46"/>
      <c r="S36" s="46"/>
      <c r="T36" s="46"/>
      <c r="U36" s="46"/>
      <c r="V36" s="101"/>
      <c r="W36" s="321">
        <v>1</v>
      </c>
      <c r="X36" s="33">
        <f t="shared" ref="X36:Y37" si="28">W36+1</f>
        <v>2</v>
      </c>
      <c r="Y36" s="33">
        <f t="shared" si="28"/>
        <v>3</v>
      </c>
      <c r="Z36" s="33">
        <f>Y36+1</f>
        <v>4</v>
      </c>
      <c r="AA36" s="33">
        <f>Z36+1</f>
        <v>5</v>
      </c>
      <c r="AB36" s="294"/>
      <c r="AC36" s="318"/>
      <c r="AD36" s="33"/>
      <c r="AE36" s="33"/>
      <c r="AF36" s="33"/>
      <c r="AG36" s="33"/>
      <c r="AH36" s="33"/>
      <c r="AI36" s="33"/>
      <c r="AJ36" s="33"/>
      <c r="AK36" s="282"/>
      <c r="AL36" s="86"/>
      <c r="AM36" s="3"/>
      <c r="AN36" s="3"/>
      <c r="AO36" s="3"/>
      <c r="AP36" s="3"/>
      <c r="AQ36" s="31"/>
      <c r="AR36" s="8"/>
      <c r="AS36" s="86"/>
      <c r="AT36" s="86"/>
      <c r="AU36" s="86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1"/>
      <c r="BG36" s="8"/>
      <c r="BH36" s="86"/>
      <c r="BI36" s="86"/>
      <c r="BJ36" s="86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1"/>
      <c r="BV36" s="8"/>
      <c r="BW36" s="86"/>
      <c r="BX36" s="86"/>
      <c r="BY36" s="86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1"/>
    </row>
    <row r="37" spans="1:88" hidden="1" x14ac:dyDescent="0.25">
      <c r="A37" s="286" t="s">
        <v>15</v>
      </c>
      <c r="B37" s="265">
        <v>4</v>
      </c>
      <c r="C37" s="265">
        <v>2</v>
      </c>
      <c r="D37" s="265" t="str">
        <f t="shared" si="0"/>
        <v>TRANSFER_EAST_G_2_15</v>
      </c>
      <c r="E37" s="265" t="s">
        <v>21</v>
      </c>
      <c r="F37" s="49" t="s">
        <v>21</v>
      </c>
      <c r="G37" s="3" t="s">
        <v>18</v>
      </c>
      <c r="H37" s="3">
        <v>2</v>
      </c>
      <c r="I37" s="3">
        <v>2</v>
      </c>
      <c r="J37" s="3" t="s">
        <v>8</v>
      </c>
      <c r="K37" s="37"/>
      <c r="L37" s="90">
        <f>COUNT(W37:AQ37)</f>
        <v>7</v>
      </c>
      <c r="M37" s="30"/>
      <c r="N37" s="42"/>
      <c r="O37" s="133"/>
      <c r="P37" s="133"/>
      <c r="Q37" s="133"/>
      <c r="R37" s="46"/>
      <c r="S37" s="46"/>
      <c r="T37" s="46"/>
      <c r="U37" s="46"/>
      <c r="V37" s="101"/>
      <c r="W37" s="319">
        <v>1</v>
      </c>
      <c r="X37" s="3">
        <f t="shared" si="28"/>
        <v>2</v>
      </c>
      <c r="Y37" s="3">
        <f t="shared" si="28"/>
        <v>3</v>
      </c>
      <c r="Z37" s="3">
        <f>Y37+1</f>
        <v>4</v>
      </c>
      <c r="AA37" s="3">
        <f>Z37+1</f>
        <v>5</v>
      </c>
      <c r="AB37" s="280">
        <f t="shared" ref="AB37:AC37" si="29">AA37+1</f>
        <v>6</v>
      </c>
      <c r="AC37" s="319">
        <f t="shared" si="29"/>
        <v>7</v>
      </c>
      <c r="AD37" s="4"/>
      <c r="AE37" s="4"/>
      <c r="AF37" s="3"/>
      <c r="AG37" s="3"/>
      <c r="AH37" s="3"/>
      <c r="AI37" s="3"/>
      <c r="AJ37" s="3"/>
      <c r="AK37" s="280"/>
      <c r="AL37" s="86"/>
      <c r="AM37" s="3"/>
      <c r="AN37" s="3"/>
      <c r="AO37" s="3"/>
      <c r="AP37" s="3"/>
      <c r="AQ37" s="31"/>
      <c r="AR37" s="8"/>
      <c r="AS37" s="86"/>
      <c r="AT37" s="86"/>
      <c r="AU37" s="86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1"/>
      <c r="BG37" s="8"/>
      <c r="BH37" s="86"/>
      <c r="BI37" s="86"/>
      <c r="BJ37" s="86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1"/>
      <c r="BV37" s="8"/>
      <c r="BW37" s="86"/>
      <c r="BX37" s="86"/>
      <c r="BY37" s="86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1"/>
    </row>
    <row r="38" spans="1:88" hidden="1" x14ac:dyDescent="0.25">
      <c r="A38" s="286" t="s">
        <v>15</v>
      </c>
      <c r="B38" s="265">
        <v>4</v>
      </c>
      <c r="C38" s="265">
        <v>3</v>
      </c>
      <c r="D38" s="265" t="str">
        <f t="shared" si="0"/>
        <v>SUPPLY_EAST_G_2_15</v>
      </c>
      <c r="E38" s="265" t="s">
        <v>0</v>
      </c>
      <c r="F38" s="34" t="s">
        <v>0</v>
      </c>
      <c r="G38" s="3" t="s">
        <v>18</v>
      </c>
      <c r="H38" s="3">
        <v>2</v>
      </c>
      <c r="I38" s="3">
        <v>2</v>
      </c>
      <c r="J38" s="3" t="s">
        <v>8</v>
      </c>
      <c r="K38" s="90"/>
      <c r="L38" s="90">
        <f>COUNT(AC38:BF38)</f>
        <v>6</v>
      </c>
      <c r="M38" s="30"/>
      <c r="N38" s="42"/>
      <c r="O38" s="133"/>
      <c r="P38" s="133"/>
      <c r="Q38" s="133"/>
      <c r="R38" s="46"/>
      <c r="S38" s="46"/>
      <c r="T38" s="46"/>
      <c r="U38" s="46"/>
      <c r="V38" s="101"/>
      <c r="W38" s="320"/>
      <c r="X38" s="46"/>
      <c r="Y38" s="46"/>
      <c r="Z38" s="46"/>
      <c r="AA38" s="46"/>
      <c r="AB38" s="340"/>
      <c r="AC38" s="319">
        <v>1</v>
      </c>
      <c r="AD38" s="3">
        <f t="shared" ref="AD38:AE38" si="30">AC38+1</f>
        <v>2</v>
      </c>
      <c r="AE38" s="3">
        <f t="shared" si="30"/>
        <v>3</v>
      </c>
      <c r="AF38" s="3">
        <f>AE38+1</f>
        <v>4</v>
      </c>
      <c r="AG38" s="3">
        <f t="shared" ref="AG38:AH38" si="31">AF38+1</f>
        <v>5</v>
      </c>
      <c r="AH38" s="3">
        <f t="shared" si="31"/>
        <v>6</v>
      </c>
      <c r="AI38" s="4"/>
      <c r="AJ38" s="4"/>
      <c r="AK38" s="283"/>
      <c r="AL38" s="93"/>
      <c r="AM38" s="4"/>
      <c r="AN38" s="258"/>
      <c r="AO38" s="4"/>
      <c r="AP38" s="4"/>
      <c r="AQ38" s="21"/>
      <c r="AR38" s="9"/>
      <c r="AS38" s="93"/>
      <c r="AT38" s="86"/>
      <c r="AU38" s="86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1"/>
      <c r="BG38" s="8"/>
      <c r="BH38" s="322"/>
      <c r="BI38" s="322"/>
      <c r="BJ38" s="322"/>
      <c r="BL38" s="3"/>
      <c r="BM38" s="3"/>
      <c r="BN38" s="3"/>
      <c r="BO38" s="3"/>
      <c r="BP38" s="3"/>
      <c r="BQ38" s="3"/>
      <c r="BR38" s="3"/>
      <c r="BS38" s="3"/>
      <c r="BT38" s="3"/>
      <c r="BU38" s="31"/>
      <c r="BV38" s="8"/>
      <c r="BW38" s="322"/>
      <c r="BX38" s="322"/>
      <c r="BY38" s="322"/>
      <c r="CA38" s="3"/>
      <c r="CB38" s="3"/>
      <c r="CC38" s="3"/>
      <c r="CD38" s="3"/>
      <c r="CE38" s="3"/>
      <c r="CF38" s="3"/>
      <c r="CG38" s="3"/>
      <c r="CH38" s="3"/>
      <c r="CI38" s="3"/>
      <c r="CJ38" s="31"/>
    </row>
    <row r="39" spans="1:88" x14ac:dyDescent="0.25">
      <c r="A39" s="286" t="s">
        <v>15</v>
      </c>
      <c r="B39" s="265">
        <v>4</v>
      </c>
      <c r="C39" s="265">
        <v>4</v>
      </c>
      <c r="D39" s="265" t="str">
        <f t="shared" si="0"/>
        <v>EMPTY_EAST_G_2_15</v>
      </c>
      <c r="E39" s="265" t="s">
        <v>0</v>
      </c>
      <c r="F39" s="34" t="s">
        <v>32</v>
      </c>
      <c r="G39" s="3" t="s">
        <v>18</v>
      </c>
      <c r="H39" s="3">
        <v>2</v>
      </c>
      <c r="I39" s="3">
        <v>2</v>
      </c>
      <c r="J39" s="3" t="s">
        <v>8</v>
      </c>
      <c r="K39" s="90"/>
      <c r="L39" s="90">
        <f>COUNT(N39:AQ39)</f>
        <v>18</v>
      </c>
      <c r="M39" s="30"/>
      <c r="N39" s="8">
        <v>1</v>
      </c>
      <c r="O39" s="86">
        <f t="shared" ref="O39:Z40" si="32">N39+1</f>
        <v>2</v>
      </c>
      <c r="P39" s="86">
        <f t="shared" si="32"/>
        <v>3</v>
      </c>
      <c r="Q39" s="86">
        <f t="shared" si="32"/>
        <v>4</v>
      </c>
      <c r="R39" s="86">
        <f t="shared" si="32"/>
        <v>5</v>
      </c>
      <c r="S39" s="86">
        <f t="shared" si="32"/>
        <v>6</v>
      </c>
      <c r="T39" s="86">
        <f t="shared" si="32"/>
        <v>7</v>
      </c>
      <c r="U39" s="86">
        <f t="shared" si="32"/>
        <v>8</v>
      </c>
      <c r="V39" s="336">
        <f t="shared" si="32"/>
        <v>9</v>
      </c>
      <c r="W39" s="319">
        <f t="shared" si="32"/>
        <v>10</v>
      </c>
      <c r="X39" s="3">
        <f t="shared" si="32"/>
        <v>11</v>
      </c>
      <c r="Y39" s="3">
        <f>X39+1</f>
        <v>12</v>
      </c>
      <c r="Z39" s="3">
        <f t="shared" ref="Z39:AA39" si="33">Y39+1</f>
        <v>13</v>
      </c>
      <c r="AA39" s="3">
        <f t="shared" si="33"/>
        <v>14</v>
      </c>
      <c r="AB39" s="280">
        <f>AA39+1</f>
        <v>15</v>
      </c>
      <c r="AC39" s="319">
        <f t="shared" ref="AC39:AE39" si="34">AB39+1</f>
        <v>16</v>
      </c>
      <c r="AD39" s="3">
        <f t="shared" si="34"/>
        <v>17</v>
      </c>
      <c r="AE39" s="3">
        <f t="shared" si="34"/>
        <v>18</v>
      </c>
      <c r="AF39" s="46"/>
      <c r="AG39" s="4"/>
      <c r="AH39" s="3"/>
      <c r="AI39" s="3"/>
      <c r="AJ39" s="3"/>
      <c r="AK39" s="280"/>
      <c r="AL39" s="86"/>
      <c r="AM39" s="3"/>
      <c r="AN39" s="33"/>
      <c r="AO39" s="3"/>
      <c r="AP39" s="3"/>
      <c r="AQ39" s="31"/>
      <c r="AR39" s="8"/>
      <c r="AS39" s="86"/>
      <c r="AT39" s="86"/>
      <c r="AU39" s="86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1"/>
      <c r="BG39" s="8"/>
      <c r="BH39" s="86"/>
      <c r="BI39" s="86"/>
      <c r="BJ39" s="86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1"/>
      <c r="BV39" s="8"/>
      <c r="BW39" s="86"/>
      <c r="BX39" s="86"/>
      <c r="BY39" s="86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1"/>
    </row>
    <row r="40" spans="1:88" hidden="1" x14ac:dyDescent="0.25">
      <c r="A40" s="286" t="s">
        <v>15</v>
      </c>
      <c r="B40" s="265">
        <v>4</v>
      </c>
      <c r="C40" s="265">
        <v>5</v>
      </c>
      <c r="D40" s="265" t="str">
        <f t="shared" si="0"/>
        <v>PREPARE_EAST_G_2_15</v>
      </c>
      <c r="E40" s="265" t="s">
        <v>0</v>
      </c>
      <c r="F40" s="49" t="s">
        <v>46</v>
      </c>
      <c r="G40" s="3" t="s">
        <v>18</v>
      </c>
      <c r="H40" s="3">
        <v>2</v>
      </c>
      <c r="I40" s="3">
        <v>2</v>
      </c>
      <c r="J40" s="3" t="s">
        <v>8</v>
      </c>
      <c r="K40" s="37"/>
      <c r="L40" s="90">
        <f>COUNT(N40:AQ40)</f>
        <v>20</v>
      </c>
      <c r="M40" s="30"/>
      <c r="N40" s="8">
        <v>1</v>
      </c>
      <c r="O40" s="86">
        <f t="shared" si="32"/>
        <v>2</v>
      </c>
      <c r="P40" s="86">
        <f t="shared" si="32"/>
        <v>3</v>
      </c>
      <c r="Q40" s="86">
        <f t="shared" si="32"/>
        <v>4</v>
      </c>
      <c r="R40" s="86">
        <f t="shared" si="32"/>
        <v>5</v>
      </c>
      <c r="S40" s="86">
        <f t="shared" si="32"/>
        <v>6</v>
      </c>
      <c r="T40" s="86">
        <f t="shared" si="32"/>
        <v>7</v>
      </c>
      <c r="U40" s="86">
        <f t="shared" si="32"/>
        <v>8</v>
      </c>
      <c r="V40" s="336">
        <f t="shared" si="32"/>
        <v>9</v>
      </c>
      <c r="W40" s="319">
        <f t="shared" si="32"/>
        <v>10</v>
      </c>
      <c r="X40" s="3">
        <f t="shared" si="32"/>
        <v>11</v>
      </c>
      <c r="Y40" s="3">
        <f t="shared" si="32"/>
        <v>12</v>
      </c>
      <c r="Z40" s="3">
        <f t="shared" si="32"/>
        <v>13</v>
      </c>
      <c r="AA40" s="3">
        <f>Z40+1</f>
        <v>14</v>
      </c>
      <c r="AB40" s="280">
        <f t="shared" ref="AB40:AC40" si="35">AA40+1</f>
        <v>15</v>
      </c>
      <c r="AC40" s="319">
        <f t="shared" si="35"/>
        <v>16</v>
      </c>
      <c r="AD40" s="3">
        <f>AC40+1</f>
        <v>17</v>
      </c>
      <c r="AE40" s="3">
        <f t="shared" ref="AE40:AG40" si="36">AD40+1</f>
        <v>18</v>
      </c>
      <c r="AF40" s="3">
        <f t="shared" si="36"/>
        <v>19</v>
      </c>
      <c r="AG40" s="3">
        <f t="shared" si="36"/>
        <v>20</v>
      </c>
      <c r="AH40" s="4"/>
      <c r="AI40" s="3"/>
      <c r="AJ40" s="3"/>
      <c r="AK40" s="280"/>
      <c r="AL40" s="86"/>
      <c r="AM40" s="3"/>
      <c r="AN40" s="3"/>
      <c r="AO40" s="3"/>
      <c r="AP40" s="3"/>
      <c r="AQ40" s="31"/>
      <c r="AR40" s="8"/>
      <c r="AS40" s="86"/>
      <c r="AT40" s="86"/>
      <c r="AU40" s="86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1"/>
      <c r="BG40" s="8"/>
      <c r="BH40" s="86"/>
      <c r="BI40" s="86"/>
      <c r="BJ40" s="86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1"/>
      <c r="BV40" s="8"/>
      <c r="BW40" s="86"/>
      <c r="BX40" s="86"/>
      <c r="BY40" s="86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1"/>
    </row>
    <row r="41" spans="1:88" hidden="1" x14ac:dyDescent="0.25">
      <c r="A41" s="286" t="s">
        <v>15</v>
      </c>
      <c r="B41" s="265">
        <f>B39</f>
        <v>4</v>
      </c>
      <c r="C41" s="265">
        <v>6</v>
      </c>
      <c r="D41" s="265" t="str">
        <f t="shared" si="0"/>
        <v>COUNTDOWN_EAST_G_2_15</v>
      </c>
      <c r="E41" s="265"/>
      <c r="F41" s="34" t="s">
        <v>33</v>
      </c>
      <c r="G41" s="3" t="s">
        <v>18</v>
      </c>
      <c r="H41" s="3">
        <v>2</v>
      </c>
      <c r="I41" s="3">
        <v>2</v>
      </c>
      <c r="J41" s="3" t="s">
        <v>8</v>
      </c>
      <c r="K41" s="32"/>
      <c r="L41" s="32"/>
      <c r="M41" s="30"/>
      <c r="N41" s="8">
        <v>6</v>
      </c>
      <c r="O41" s="86">
        <v>5</v>
      </c>
      <c r="P41" s="86">
        <v>4</v>
      </c>
      <c r="Q41" s="86">
        <v>3</v>
      </c>
      <c r="R41" s="3">
        <v>2</v>
      </c>
      <c r="S41" s="3">
        <v>1</v>
      </c>
      <c r="T41" s="3">
        <v>15</v>
      </c>
      <c r="U41" s="3">
        <v>14</v>
      </c>
      <c r="V41" s="30">
        <v>13</v>
      </c>
      <c r="W41" s="319">
        <v>12</v>
      </c>
      <c r="X41" s="3">
        <v>11</v>
      </c>
      <c r="Y41" s="3">
        <v>10</v>
      </c>
      <c r="Z41" s="3">
        <v>9</v>
      </c>
      <c r="AA41" s="3">
        <v>8</v>
      </c>
      <c r="AB41" s="280">
        <v>7</v>
      </c>
      <c r="AC41" s="319">
        <v>6</v>
      </c>
      <c r="AD41" s="3">
        <v>5</v>
      </c>
      <c r="AE41" s="3">
        <v>4</v>
      </c>
      <c r="AF41" s="3">
        <v>3</v>
      </c>
      <c r="AG41" s="3">
        <v>2</v>
      </c>
      <c r="AH41" s="3">
        <v>1</v>
      </c>
      <c r="AI41" s="3">
        <v>15</v>
      </c>
      <c r="AJ41" s="3">
        <v>14</v>
      </c>
      <c r="AK41" s="280">
        <v>13</v>
      </c>
      <c r="AL41" s="86">
        <v>12</v>
      </c>
      <c r="AM41" s="3">
        <v>11</v>
      </c>
      <c r="AN41" s="3">
        <v>10</v>
      </c>
      <c r="AO41" s="3">
        <v>9</v>
      </c>
      <c r="AP41" s="3">
        <v>8</v>
      </c>
      <c r="AQ41" s="31">
        <v>7</v>
      </c>
      <c r="AR41" s="8">
        <v>6</v>
      </c>
      <c r="AS41" s="86">
        <v>5</v>
      </c>
      <c r="AT41" s="86">
        <v>4</v>
      </c>
      <c r="AU41" s="86">
        <v>3</v>
      </c>
      <c r="AV41" s="3">
        <v>2</v>
      </c>
      <c r="AW41" s="3">
        <v>1</v>
      </c>
      <c r="AX41" s="3">
        <v>15</v>
      </c>
      <c r="AY41" s="3">
        <v>14</v>
      </c>
      <c r="AZ41" s="3">
        <v>13</v>
      </c>
      <c r="BA41" s="3">
        <v>12</v>
      </c>
      <c r="BB41" s="3">
        <v>11</v>
      </c>
      <c r="BC41" s="3">
        <v>10</v>
      </c>
      <c r="BD41" s="3">
        <v>9</v>
      </c>
      <c r="BE41" s="3">
        <v>8</v>
      </c>
      <c r="BF41" s="31">
        <v>7</v>
      </c>
      <c r="BG41" s="8">
        <v>6</v>
      </c>
      <c r="BH41" s="86">
        <v>5</v>
      </c>
      <c r="BI41" s="86">
        <v>4</v>
      </c>
      <c r="BJ41" s="86">
        <v>3</v>
      </c>
      <c r="BK41" s="3">
        <v>2</v>
      </c>
      <c r="BL41" s="3">
        <v>1</v>
      </c>
      <c r="BM41" s="3">
        <v>15</v>
      </c>
      <c r="BN41" s="3">
        <v>14</v>
      </c>
      <c r="BO41" s="3">
        <v>13</v>
      </c>
      <c r="BP41" s="3">
        <v>12</v>
      </c>
      <c r="BQ41" s="3">
        <v>11</v>
      </c>
      <c r="BR41" s="3">
        <v>10</v>
      </c>
      <c r="BS41" s="3">
        <v>9</v>
      </c>
      <c r="BT41" s="3">
        <v>8</v>
      </c>
      <c r="BU41" s="31">
        <v>7</v>
      </c>
      <c r="BV41" s="8">
        <v>6</v>
      </c>
      <c r="BW41" s="86">
        <v>5</v>
      </c>
      <c r="BX41" s="86">
        <v>4</v>
      </c>
      <c r="BY41" s="86">
        <v>3</v>
      </c>
      <c r="BZ41" s="3">
        <v>2</v>
      </c>
      <c r="CA41" s="3">
        <v>1</v>
      </c>
      <c r="CB41" s="3">
        <v>15</v>
      </c>
      <c r="CC41" s="3">
        <v>14</v>
      </c>
      <c r="CD41" s="3">
        <v>13</v>
      </c>
      <c r="CE41" s="3">
        <v>12</v>
      </c>
      <c r="CF41" s="3">
        <v>11</v>
      </c>
      <c r="CG41" s="3">
        <v>10</v>
      </c>
      <c r="CH41" s="3">
        <v>9</v>
      </c>
      <c r="CI41" s="3">
        <v>8</v>
      </c>
      <c r="CJ41" s="31">
        <v>7</v>
      </c>
    </row>
    <row r="42" spans="1:88" hidden="1" x14ac:dyDescent="0.25">
      <c r="B42" s="265">
        <v>3</v>
      </c>
      <c r="C42" s="265">
        <v>1</v>
      </c>
      <c r="D42" s="265" t="str">
        <f t="shared" si="0"/>
        <v>SORTING_EAST_B_1_15</v>
      </c>
      <c r="E42" s="265" t="s">
        <v>35</v>
      </c>
      <c r="F42" s="49" t="s">
        <v>45</v>
      </c>
      <c r="G42" s="3" t="s">
        <v>18</v>
      </c>
      <c r="H42" s="3">
        <v>1</v>
      </c>
      <c r="I42" s="3">
        <v>1</v>
      </c>
      <c r="J42" s="3" t="s">
        <v>3</v>
      </c>
      <c r="K42" s="37"/>
      <c r="L42" s="90">
        <f>COUNT(W42:AQ42)</f>
        <v>7</v>
      </c>
      <c r="M42" s="30" t="s">
        <v>28</v>
      </c>
      <c r="N42" s="42"/>
      <c r="O42" s="133"/>
      <c r="P42" s="133"/>
      <c r="Q42" s="133"/>
      <c r="R42" s="46"/>
      <c r="S42" s="46"/>
      <c r="T42" s="46"/>
      <c r="U42" s="46"/>
      <c r="V42" s="101"/>
      <c r="W42" s="321">
        <v>1</v>
      </c>
      <c r="X42" s="33">
        <f t="shared" ref="X42:Y43" si="37">W42+1</f>
        <v>2</v>
      </c>
      <c r="Y42" s="33">
        <f t="shared" si="37"/>
        <v>3</v>
      </c>
      <c r="Z42" s="33">
        <f>Y42+1</f>
        <v>4</v>
      </c>
      <c r="AA42" s="33">
        <f>Z42+1</f>
        <v>5</v>
      </c>
      <c r="AB42" s="282">
        <f t="shared" ref="AB42:AC43" si="38">AA42+1</f>
        <v>6</v>
      </c>
      <c r="AC42" s="321">
        <f t="shared" si="38"/>
        <v>7</v>
      </c>
      <c r="AD42" s="61"/>
      <c r="AE42" s="61"/>
      <c r="AF42" s="33"/>
      <c r="AG42" s="33"/>
      <c r="AH42" s="33"/>
      <c r="AI42" s="33"/>
      <c r="AJ42" s="33"/>
      <c r="AK42" s="282"/>
      <c r="AL42" s="86"/>
      <c r="AM42" s="3"/>
      <c r="AN42" s="3"/>
      <c r="AO42" s="3"/>
      <c r="AP42" s="3"/>
      <c r="AQ42" s="31"/>
      <c r="AR42" s="8"/>
      <c r="AS42" s="86"/>
      <c r="AT42" s="86"/>
      <c r="AU42" s="86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1"/>
      <c r="BG42" s="8"/>
      <c r="BH42" s="86"/>
      <c r="BI42" s="86"/>
      <c r="BJ42" s="86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1"/>
      <c r="BV42" s="8"/>
      <c r="BW42" s="86"/>
      <c r="BX42" s="86"/>
      <c r="BY42" s="86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1"/>
    </row>
    <row r="43" spans="1:88" hidden="1" x14ac:dyDescent="0.25">
      <c r="B43" s="265">
        <v>3</v>
      </c>
      <c r="C43" s="265">
        <v>2</v>
      </c>
      <c r="D43" s="265" t="str">
        <f t="shared" si="0"/>
        <v>TRANSFER_EAST_B_1_15</v>
      </c>
      <c r="E43" s="265" t="s">
        <v>21</v>
      </c>
      <c r="F43" s="49" t="s">
        <v>21</v>
      </c>
      <c r="G43" s="3" t="s">
        <v>18</v>
      </c>
      <c r="H43" s="3">
        <v>1</v>
      </c>
      <c r="I43" s="3">
        <v>1</v>
      </c>
      <c r="J43" s="3" t="s">
        <v>3</v>
      </c>
      <c r="K43" s="37"/>
      <c r="L43" s="90">
        <f>COUNT(W43:AQ43)</f>
        <v>9</v>
      </c>
      <c r="M43" s="30" t="s">
        <v>28</v>
      </c>
      <c r="N43" s="42"/>
      <c r="O43" s="133"/>
      <c r="P43" s="133"/>
      <c r="Q43" s="133"/>
      <c r="R43" s="46"/>
      <c r="S43" s="46"/>
      <c r="T43" s="46"/>
      <c r="U43" s="46"/>
      <c r="V43" s="101"/>
      <c r="W43" s="319">
        <v>1</v>
      </c>
      <c r="X43" s="3">
        <f t="shared" si="37"/>
        <v>2</v>
      </c>
      <c r="Y43" s="3">
        <f t="shared" si="37"/>
        <v>3</v>
      </c>
      <c r="Z43" s="3">
        <f>Y43+1</f>
        <v>4</v>
      </c>
      <c r="AA43" s="3">
        <f>Z43+1</f>
        <v>5</v>
      </c>
      <c r="AB43" s="280">
        <f t="shared" si="38"/>
        <v>6</v>
      </c>
      <c r="AC43" s="319">
        <f t="shared" si="38"/>
        <v>7</v>
      </c>
      <c r="AD43" s="3">
        <f>AC43+1</f>
        <v>8</v>
      </c>
      <c r="AE43" s="3">
        <f>AD43+1</f>
        <v>9</v>
      </c>
      <c r="AF43" s="4"/>
      <c r="AG43" s="4"/>
      <c r="AH43" s="3"/>
      <c r="AI43" s="3"/>
      <c r="AJ43" s="3"/>
      <c r="AK43" s="280"/>
      <c r="AL43" s="86"/>
      <c r="AM43" s="3"/>
      <c r="AN43" s="3"/>
      <c r="AO43" s="3"/>
      <c r="AP43" s="3"/>
      <c r="AQ43" s="31"/>
      <c r="AR43" s="8"/>
      <c r="AS43" s="86"/>
      <c r="AT43" s="86"/>
      <c r="AU43" s="86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1"/>
      <c r="BG43" s="8"/>
      <c r="BH43" s="86"/>
      <c r="BI43" s="86"/>
      <c r="BJ43" s="86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1"/>
      <c r="BV43" s="8"/>
      <c r="BW43" s="86"/>
      <c r="BX43" s="86"/>
      <c r="BY43" s="86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1"/>
    </row>
    <row r="44" spans="1:88" hidden="1" x14ac:dyDescent="0.25">
      <c r="B44" s="265">
        <v>3</v>
      </c>
      <c r="C44" s="265">
        <v>3</v>
      </c>
      <c r="D44" s="265" t="str">
        <f t="shared" si="0"/>
        <v>SUPPLY_EAST_B_1_15</v>
      </c>
      <c r="E44" s="265" t="s">
        <v>0</v>
      </c>
      <c r="F44" s="34" t="s">
        <v>0</v>
      </c>
      <c r="G44" s="3" t="s">
        <v>18</v>
      </c>
      <c r="H44" s="3">
        <v>1</v>
      </c>
      <c r="I44" s="3">
        <v>1</v>
      </c>
      <c r="J44" s="3" t="s">
        <v>3</v>
      </c>
      <c r="K44" s="90"/>
      <c r="L44" s="90">
        <f>COUNT(AC44:BF44)</f>
        <v>8</v>
      </c>
      <c r="M44" s="30" t="s">
        <v>28</v>
      </c>
      <c r="N44" s="42"/>
      <c r="O44" s="133"/>
      <c r="P44" s="133"/>
      <c r="Q44" s="133"/>
      <c r="R44" s="46"/>
      <c r="S44" s="46"/>
      <c r="T44" s="46"/>
      <c r="U44" s="46"/>
      <c r="V44" s="101"/>
      <c r="W44" s="320"/>
      <c r="X44" s="46"/>
      <c r="Y44" s="46"/>
      <c r="Z44" s="46"/>
      <c r="AA44" s="46"/>
      <c r="AB44" s="340"/>
      <c r="AC44" s="319">
        <v>1</v>
      </c>
      <c r="AD44" s="3">
        <f t="shared" ref="AD44:AE44" si="39">AC44+1</f>
        <v>2</v>
      </c>
      <c r="AE44" s="3">
        <f t="shared" si="39"/>
        <v>3</v>
      </c>
      <c r="AF44" s="3">
        <f>AE44+1</f>
        <v>4</v>
      </c>
      <c r="AG44" s="3">
        <f t="shared" ref="AG44:AJ45" si="40">AF44+1</f>
        <v>5</v>
      </c>
      <c r="AH44" s="3">
        <f t="shared" si="40"/>
        <v>6</v>
      </c>
      <c r="AI44" s="3">
        <f t="shared" si="40"/>
        <v>7</v>
      </c>
      <c r="AJ44" s="3">
        <f t="shared" si="40"/>
        <v>8</v>
      </c>
      <c r="AK44" s="283"/>
      <c r="AL44" s="93"/>
      <c r="AM44" s="4"/>
      <c r="AN44" s="258"/>
      <c r="AO44" s="4"/>
      <c r="AP44" s="4"/>
      <c r="AQ44" s="21"/>
      <c r="AR44" s="9"/>
      <c r="AS44" s="93"/>
      <c r="AT44" s="93"/>
      <c r="AU44" s="9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1"/>
      <c r="BG44" s="8"/>
      <c r="BH44" s="86"/>
      <c r="BI44" s="86"/>
      <c r="BJ44" s="86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1"/>
      <c r="BV44" s="8"/>
      <c r="BW44" s="86"/>
      <c r="BX44" s="86"/>
      <c r="BY44" s="86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1"/>
    </row>
    <row r="45" spans="1:88" x14ac:dyDescent="0.25">
      <c r="B45" s="265">
        <v>3</v>
      </c>
      <c r="C45" s="265">
        <v>4</v>
      </c>
      <c r="D45" s="265" t="str">
        <f t="shared" si="0"/>
        <v>EMPTY_EAST_B_1_15</v>
      </c>
      <c r="E45" s="265" t="s">
        <v>0</v>
      </c>
      <c r="F45" s="34" t="s">
        <v>32</v>
      </c>
      <c r="G45" s="3" t="s">
        <v>18</v>
      </c>
      <c r="H45" s="3">
        <v>1</v>
      </c>
      <c r="I45" s="3">
        <v>1</v>
      </c>
      <c r="J45" s="3" t="s">
        <v>3</v>
      </c>
      <c r="K45" s="90"/>
      <c r="L45" s="90">
        <f>COUNT(N45:AQ45)</f>
        <v>20</v>
      </c>
      <c r="M45" s="30" t="s">
        <v>28</v>
      </c>
      <c r="N45" s="8">
        <v>1</v>
      </c>
      <c r="O45" s="86">
        <f t="shared" ref="O45:Z46" si="41">N45+1</f>
        <v>2</v>
      </c>
      <c r="P45" s="86">
        <f t="shared" si="41"/>
        <v>3</v>
      </c>
      <c r="Q45" s="86">
        <f t="shared" si="41"/>
        <v>4</v>
      </c>
      <c r="R45" s="86">
        <f t="shared" si="41"/>
        <v>5</v>
      </c>
      <c r="S45" s="86">
        <f t="shared" si="41"/>
        <v>6</v>
      </c>
      <c r="T45" s="86">
        <f t="shared" si="41"/>
        <v>7</v>
      </c>
      <c r="U45" s="86">
        <f t="shared" si="41"/>
        <v>8</v>
      </c>
      <c r="V45" s="336">
        <f t="shared" si="41"/>
        <v>9</v>
      </c>
      <c r="W45" s="319">
        <f t="shared" si="41"/>
        <v>10</v>
      </c>
      <c r="X45" s="3">
        <f t="shared" si="41"/>
        <v>11</v>
      </c>
      <c r="Y45" s="3">
        <f>X45+1</f>
        <v>12</v>
      </c>
      <c r="Z45" s="3">
        <f t="shared" ref="Z45:AA45" si="42">Y45+1</f>
        <v>13</v>
      </c>
      <c r="AA45" s="3">
        <f t="shared" si="42"/>
        <v>14</v>
      </c>
      <c r="AB45" s="280">
        <f>AA45+1</f>
        <v>15</v>
      </c>
      <c r="AC45" s="319">
        <f t="shared" ref="AC45:AI46" si="43">AB45+1</f>
        <v>16</v>
      </c>
      <c r="AD45" s="3">
        <f t="shared" si="43"/>
        <v>17</v>
      </c>
      <c r="AE45" s="3">
        <f t="shared" si="43"/>
        <v>18</v>
      </c>
      <c r="AF45" s="3">
        <f t="shared" si="43"/>
        <v>19</v>
      </c>
      <c r="AG45" s="3">
        <f t="shared" si="40"/>
        <v>20</v>
      </c>
      <c r="AH45" s="46"/>
      <c r="AI45" s="4"/>
      <c r="AJ45" s="3"/>
      <c r="AK45" s="280"/>
      <c r="AL45" s="86"/>
      <c r="AM45" s="284"/>
      <c r="AN45" s="284"/>
      <c r="AO45" s="284"/>
      <c r="AP45" s="284"/>
      <c r="AQ45" s="295"/>
      <c r="AR45" s="290"/>
      <c r="AS45" s="290"/>
      <c r="AT45" s="290"/>
      <c r="AU45" s="284"/>
      <c r="AV45" s="3"/>
      <c r="AW45" s="3"/>
      <c r="AX45" s="3"/>
      <c r="AY45" s="3"/>
      <c r="AZ45" s="3"/>
      <c r="BA45" s="3"/>
      <c r="BB45" s="284"/>
      <c r="BC45" s="284"/>
      <c r="BD45" s="284"/>
      <c r="BE45" s="284"/>
      <c r="BF45" s="284"/>
      <c r="BG45" s="284"/>
      <c r="BH45" s="284"/>
      <c r="BI45" s="284"/>
      <c r="BJ45" s="284"/>
      <c r="BK45" s="3"/>
      <c r="BL45" s="3"/>
      <c r="BM45" s="3"/>
      <c r="BN45" s="3"/>
      <c r="BO45" s="3"/>
      <c r="BP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1"/>
    </row>
    <row r="46" spans="1:88" hidden="1" x14ac:dyDescent="0.25">
      <c r="B46" s="265">
        <v>3</v>
      </c>
      <c r="C46" s="265">
        <v>5</v>
      </c>
      <c r="D46" s="265" t="str">
        <f t="shared" si="0"/>
        <v>PREPARE_EAST_B_1_15</v>
      </c>
      <c r="E46" s="265" t="s">
        <v>0</v>
      </c>
      <c r="F46" s="49" t="s">
        <v>46</v>
      </c>
      <c r="G46" s="3" t="s">
        <v>18</v>
      </c>
      <c r="H46" s="3">
        <v>1</v>
      </c>
      <c r="I46" s="3">
        <v>1</v>
      </c>
      <c r="J46" s="3" t="s">
        <v>3</v>
      </c>
      <c r="K46" s="37"/>
      <c r="L46" s="90">
        <f>COUNT(N46:AQ46)</f>
        <v>22</v>
      </c>
      <c r="M46" s="30" t="s">
        <v>28</v>
      </c>
      <c r="N46" s="8">
        <v>1</v>
      </c>
      <c r="O46" s="86">
        <f t="shared" si="41"/>
        <v>2</v>
      </c>
      <c r="P46" s="86">
        <f t="shared" si="41"/>
        <v>3</v>
      </c>
      <c r="Q46" s="86">
        <f t="shared" si="41"/>
        <v>4</v>
      </c>
      <c r="R46" s="86">
        <f t="shared" si="41"/>
        <v>5</v>
      </c>
      <c r="S46" s="86">
        <f t="shared" si="41"/>
        <v>6</v>
      </c>
      <c r="T46" s="86">
        <f t="shared" si="41"/>
        <v>7</v>
      </c>
      <c r="U46" s="86">
        <f t="shared" si="41"/>
        <v>8</v>
      </c>
      <c r="V46" s="336">
        <f t="shared" si="41"/>
        <v>9</v>
      </c>
      <c r="W46" s="319">
        <f t="shared" si="41"/>
        <v>10</v>
      </c>
      <c r="X46" s="3">
        <f t="shared" si="41"/>
        <v>11</v>
      </c>
      <c r="Y46" s="3">
        <f t="shared" si="41"/>
        <v>12</v>
      </c>
      <c r="Z46" s="3">
        <f t="shared" si="41"/>
        <v>13</v>
      </c>
      <c r="AA46" s="3">
        <f>Z46+1</f>
        <v>14</v>
      </c>
      <c r="AB46" s="280">
        <f t="shared" ref="AB46:AC46" si="44">AA46+1</f>
        <v>15</v>
      </c>
      <c r="AC46" s="319">
        <f t="shared" si="44"/>
        <v>16</v>
      </c>
      <c r="AD46" s="3">
        <f>AC46+1</f>
        <v>17</v>
      </c>
      <c r="AE46" s="3">
        <f t="shared" si="43"/>
        <v>18</v>
      </c>
      <c r="AF46" s="3">
        <f t="shared" si="43"/>
        <v>19</v>
      </c>
      <c r="AG46" s="3">
        <f t="shared" si="43"/>
        <v>20</v>
      </c>
      <c r="AH46" s="3">
        <f t="shared" si="43"/>
        <v>21</v>
      </c>
      <c r="AI46" s="3">
        <f t="shared" si="43"/>
        <v>22</v>
      </c>
      <c r="AJ46" s="4"/>
      <c r="AK46" s="280"/>
      <c r="AL46" s="86"/>
      <c r="AM46" s="3"/>
      <c r="AN46" s="3"/>
      <c r="AO46" s="3"/>
      <c r="AP46" s="3"/>
      <c r="AQ46" s="31"/>
      <c r="AR46" s="8"/>
      <c r="AS46" s="86"/>
      <c r="AT46" s="86"/>
      <c r="AU46" s="86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1"/>
      <c r="BG46" s="8"/>
      <c r="BH46" s="86"/>
      <c r="BI46" s="86"/>
      <c r="BJ46" s="86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1"/>
      <c r="BV46" s="8"/>
      <c r="BW46" s="86"/>
      <c r="BX46" s="86"/>
      <c r="BY46" s="86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1"/>
    </row>
    <row r="47" spans="1:88" hidden="1" x14ac:dyDescent="0.25">
      <c r="B47" s="265">
        <f>B45</f>
        <v>3</v>
      </c>
      <c r="C47" s="265">
        <v>6</v>
      </c>
      <c r="D47" s="265" t="str">
        <f t="shared" si="0"/>
        <v>COUNTDOWN_EAST_B_1_15</v>
      </c>
      <c r="E47" s="265"/>
      <c r="F47" s="34" t="s">
        <v>33</v>
      </c>
      <c r="G47" s="3" t="s">
        <v>18</v>
      </c>
      <c r="H47" s="3">
        <v>1</v>
      </c>
      <c r="I47" s="3">
        <v>1</v>
      </c>
      <c r="J47" s="3" t="s">
        <v>3</v>
      </c>
      <c r="K47" s="32"/>
      <c r="L47" s="32"/>
      <c r="M47" s="30" t="s">
        <v>28</v>
      </c>
      <c r="N47" s="8">
        <v>7</v>
      </c>
      <c r="O47" s="86">
        <v>6</v>
      </c>
      <c r="P47" s="86">
        <v>5</v>
      </c>
      <c r="Q47" s="86">
        <v>4</v>
      </c>
      <c r="R47" s="3">
        <v>3</v>
      </c>
      <c r="S47" s="3">
        <v>2</v>
      </c>
      <c r="T47" s="3">
        <v>1</v>
      </c>
      <c r="U47" s="3">
        <v>15</v>
      </c>
      <c r="V47" s="30">
        <v>14</v>
      </c>
      <c r="W47" s="319">
        <v>13</v>
      </c>
      <c r="X47" s="3">
        <v>12</v>
      </c>
      <c r="Y47" s="3">
        <v>11</v>
      </c>
      <c r="Z47" s="3">
        <v>10</v>
      </c>
      <c r="AA47" s="3">
        <v>9</v>
      </c>
      <c r="AB47" s="280">
        <v>8</v>
      </c>
      <c r="AC47" s="319">
        <v>7</v>
      </c>
      <c r="AD47" s="3">
        <v>6</v>
      </c>
      <c r="AE47" s="3">
        <v>5</v>
      </c>
      <c r="AF47" s="3">
        <v>4</v>
      </c>
      <c r="AG47" s="3">
        <v>3</v>
      </c>
      <c r="AH47" s="3">
        <v>2</v>
      </c>
      <c r="AI47" s="3">
        <v>1</v>
      </c>
      <c r="AJ47" s="3">
        <v>15</v>
      </c>
      <c r="AK47" s="280">
        <v>14</v>
      </c>
      <c r="AL47" s="86">
        <v>13</v>
      </c>
      <c r="AM47" s="3">
        <v>12</v>
      </c>
      <c r="AN47" s="3">
        <v>11</v>
      </c>
      <c r="AO47" s="3">
        <v>10</v>
      </c>
      <c r="AP47" s="3">
        <v>9</v>
      </c>
      <c r="AQ47" s="31">
        <v>8</v>
      </c>
      <c r="AR47" s="8">
        <v>7</v>
      </c>
      <c r="AS47" s="86">
        <v>6</v>
      </c>
      <c r="AT47" s="86">
        <v>5</v>
      </c>
      <c r="AU47" s="86">
        <v>4</v>
      </c>
      <c r="AV47" s="3">
        <v>3</v>
      </c>
      <c r="AW47" s="3">
        <v>2</v>
      </c>
      <c r="AX47" s="3">
        <v>1</v>
      </c>
      <c r="AY47" s="3">
        <v>15</v>
      </c>
      <c r="AZ47" s="3">
        <v>14</v>
      </c>
      <c r="BA47" s="3">
        <v>13</v>
      </c>
      <c r="BB47" s="3">
        <v>12</v>
      </c>
      <c r="BC47" s="3">
        <v>11</v>
      </c>
      <c r="BD47" s="3">
        <v>10</v>
      </c>
      <c r="BE47" s="3">
        <v>9</v>
      </c>
      <c r="BF47" s="31">
        <v>8</v>
      </c>
      <c r="BG47" s="8">
        <v>7</v>
      </c>
      <c r="BH47" s="86">
        <v>6</v>
      </c>
      <c r="BI47" s="86">
        <v>5</v>
      </c>
      <c r="BJ47" s="86">
        <v>4</v>
      </c>
      <c r="BK47" s="3">
        <v>3</v>
      </c>
      <c r="BL47" s="3">
        <v>2</v>
      </c>
      <c r="BM47" s="3">
        <v>1</v>
      </c>
      <c r="BN47" s="3">
        <v>15</v>
      </c>
      <c r="BO47" s="3">
        <v>14</v>
      </c>
      <c r="BP47" s="3">
        <v>13</v>
      </c>
      <c r="BQ47" s="3">
        <v>12</v>
      </c>
      <c r="BR47" s="3">
        <v>11</v>
      </c>
      <c r="BS47" s="3">
        <v>10</v>
      </c>
      <c r="BT47" s="3">
        <v>9</v>
      </c>
      <c r="BU47" s="31">
        <v>8</v>
      </c>
      <c r="BV47" s="8">
        <v>7</v>
      </c>
      <c r="BW47" s="86">
        <v>6</v>
      </c>
      <c r="BX47" s="86">
        <v>5</v>
      </c>
      <c r="BY47" s="86">
        <v>4</v>
      </c>
      <c r="BZ47" s="3">
        <v>3</v>
      </c>
      <c r="CA47" s="3">
        <v>2</v>
      </c>
      <c r="CB47" s="3">
        <v>1</v>
      </c>
      <c r="CC47" s="3">
        <v>15</v>
      </c>
      <c r="CD47" s="3">
        <v>14</v>
      </c>
      <c r="CE47" s="3">
        <v>13</v>
      </c>
      <c r="CF47" s="3">
        <v>12</v>
      </c>
      <c r="CG47" s="3">
        <v>11</v>
      </c>
      <c r="CH47" s="3">
        <v>10</v>
      </c>
      <c r="CI47" s="3">
        <v>9</v>
      </c>
      <c r="CJ47" s="31">
        <v>8</v>
      </c>
    </row>
    <row r="48" spans="1:88" hidden="1" x14ac:dyDescent="0.25">
      <c r="B48" s="265">
        <v>7</v>
      </c>
      <c r="C48" s="265">
        <v>1</v>
      </c>
      <c r="D48" s="265" t="str">
        <f t="shared" si="0"/>
        <v>SORTING_EAST_E_2_15</v>
      </c>
      <c r="E48" s="265" t="s">
        <v>35</v>
      </c>
      <c r="F48" s="49" t="s">
        <v>45</v>
      </c>
      <c r="G48" s="3" t="s">
        <v>18</v>
      </c>
      <c r="H48" s="3">
        <v>2</v>
      </c>
      <c r="I48" s="3">
        <v>2</v>
      </c>
      <c r="J48" s="3" t="s">
        <v>6</v>
      </c>
      <c r="K48" s="37"/>
      <c r="L48" s="90">
        <f>COUNT(W48:AQ48)</f>
        <v>9</v>
      </c>
      <c r="M48" s="30"/>
      <c r="N48" s="42"/>
      <c r="O48" s="133"/>
      <c r="P48" s="133"/>
      <c r="Q48" s="133"/>
      <c r="R48" s="46"/>
      <c r="S48" s="46"/>
      <c r="T48" s="46"/>
      <c r="U48" s="46"/>
      <c r="V48" s="101"/>
      <c r="W48" s="321">
        <v>1</v>
      </c>
      <c r="X48" s="33">
        <f t="shared" ref="X48:Y49" si="45">W48+1</f>
        <v>2</v>
      </c>
      <c r="Y48" s="33">
        <f t="shared" si="45"/>
        <v>3</v>
      </c>
      <c r="Z48" s="33">
        <f>Y48+1</f>
        <v>4</v>
      </c>
      <c r="AA48" s="33">
        <f>Z48+1</f>
        <v>5</v>
      </c>
      <c r="AB48" s="282">
        <f t="shared" ref="AB48:AE49" si="46">AA48+1</f>
        <v>6</v>
      </c>
      <c r="AC48" s="321">
        <f t="shared" si="46"/>
        <v>7</v>
      </c>
      <c r="AD48" s="33">
        <f t="shared" si="46"/>
        <v>8</v>
      </c>
      <c r="AE48" s="33">
        <f t="shared" si="46"/>
        <v>9</v>
      </c>
      <c r="AF48" s="61"/>
      <c r="AG48" s="61"/>
      <c r="AH48" s="33"/>
      <c r="AI48" s="33"/>
      <c r="AJ48" s="33"/>
      <c r="AK48" s="282"/>
      <c r="AL48" s="86"/>
      <c r="AM48" s="3"/>
      <c r="AN48" s="3"/>
      <c r="AO48" s="3"/>
      <c r="AP48" s="3"/>
      <c r="AQ48" s="31"/>
      <c r="AR48" s="8"/>
      <c r="AS48" s="86"/>
      <c r="AT48" s="86"/>
      <c r="AU48" s="86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1"/>
      <c r="BG48" s="8"/>
      <c r="BH48" s="86"/>
      <c r="BI48" s="86"/>
      <c r="BJ48" s="86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1"/>
      <c r="BV48" s="8"/>
      <c r="BW48" s="86"/>
      <c r="BX48" s="86"/>
      <c r="BY48" s="86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1"/>
    </row>
    <row r="49" spans="2:88" hidden="1" x14ac:dyDescent="0.25">
      <c r="B49" s="265">
        <v>7</v>
      </c>
      <c r="C49" s="265">
        <v>2</v>
      </c>
      <c r="D49" s="265" t="str">
        <f t="shared" si="0"/>
        <v>TRANSFER_EAST_E_2_15</v>
      </c>
      <c r="E49" s="265" t="s">
        <v>21</v>
      </c>
      <c r="F49" s="49" t="s">
        <v>21</v>
      </c>
      <c r="G49" s="3" t="s">
        <v>18</v>
      </c>
      <c r="H49" s="3">
        <v>2</v>
      </c>
      <c r="I49" s="3">
        <v>2</v>
      </c>
      <c r="J49" s="3" t="s">
        <v>6</v>
      </c>
      <c r="K49" s="37"/>
      <c r="L49" s="90">
        <f>COUNT(W49:AQ49)</f>
        <v>11</v>
      </c>
      <c r="M49" s="30"/>
      <c r="N49" s="42"/>
      <c r="O49" s="133"/>
      <c r="P49" s="133"/>
      <c r="Q49" s="133"/>
      <c r="R49" s="46"/>
      <c r="S49" s="46"/>
      <c r="T49" s="46"/>
      <c r="U49" s="46"/>
      <c r="V49" s="101"/>
      <c r="W49" s="319">
        <v>1</v>
      </c>
      <c r="X49" s="3">
        <f t="shared" si="45"/>
        <v>2</v>
      </c>
      <c r="Y49" s="3">
        <f t="shared" si="45"/>
        <v>3</v>
      </c>
      <c r="Z49" s="3">
        <f>Y49+1</f>
        <v>4</v>
      </c>
      <c r="AA49" s="3">
        <f>Z49+1</f>
        <v>5</v>
      </c>
      <c r="AB49" s="280">
        <f t="shared" si="46"/>
        <v>6</v>
      </c>
      <c r="AC49" s="319">
        <f t="shared" si="46"/>
        <v>7</v>
      </c>
      <c r="AD49" s="3">
        <f>AC49+1</f>
        <v>8</v>
      </c>
      <c r="AE49" s="3">
        <f>AD49+1</f>
        <v>9</v>
      </c>
      <c r="AF49" s="3">
        <f t="shared" ref="AF49:AL51" si="47">AE49+1</f>
        <v>10</v>
      </c>
      <c r="AG49" s="3">
        <f t="shared" si="47"/>
        <v>11</v>
      </c>
      <c r="AH49" s="4"/>
      <c r="AI49" s="4"/>
      <c r="AJ49" s="3"/>
      <c r="AK49" s="280"/>
      <c r="AL49" s="86"/>
      <c r="AM49" s="3"/>
      <c r="AN49" s="3"/>
      <c r="AO49" s="3"/>
      <c r="AP49" s="3"/>
      <c r="AQ49" s="31"/>
      <c r="AR49" s="8"/>
      <c r="AS49" s="86"/>
      <c r="AT49" s="86"/>
      <c r="AU49" s="86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1"/>
      <c r="BG49" s="8"/>
      <c r="BH49" s="86"/>
      <c r="BI49" s="86"/>
      <c r="BJ49" s="86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1"/>
      <c r="BV49" s="8"/>
      <c r="BW49" s="86"/>
      <c r="BX49" s="86"/>
      <c r="BY49" s="86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1"/>
    </row>
    <row r="50" spans="2:88" hidden="1" x14ac:dyDescent="0.25">
      <c r="B50" s="265">
        <v>7</v>
      </c>
      <c r="C50" s="265">
        <v>3</v>
      </c>
      <c r="D50" s="265" t="str">
        <f t="shared" si="0"/>
        <v>SUPPLY_EAST_E_2_15</v>
      </c>
      <c r="E50" s="265" t="s">
        <v>0</v>
      </c>
      <c r="F50" s="34" t="s">
        <v>0</v>
      </c>
      <c r="G50" s="3" t="s">
        <v>18</v>
      </c>
      <c r="H50" s="3">
        <v>2</v>
      </c>
      <c r="I50" s="3">
        <v>2</v>
      </c>
      <c r="J50" s="3" t="s">
        <v>6</v>
      </c>
      <c r="K50" s="90"/>
      <c r="L50" s="90">
        <f>COUNT(AC50:BF50)</f>
        <v>10</v>
      </c>
      <c r="M50" s="30"/>
      <c r="N50" s="42"/>
      <c r="O50" s="133"/>
      <c r="P50" s="133"/>
      <c r="Q50" s="133"/>
      <c r="R50" s="46"/>
      <c r="S50" s="46"/>
      <c r="T50" s="46"/>
      <c r="U50" s="46"/>
      <c r="V50" s="101"/>
      <c r="W50" s="320"/>
      <c r="X50" s="46"/>
      <c r="Y50" s="46"/>
      <c r="Z50" s="46"/>
      <c r="AA50" s="46"/>
      <c r="AB50" s="340"/>
      <c r="AC50" s="319">
        <v>1</v>
      </c>
      <c r="AD50" s="3">
        <f t="shared" ref="AD50:AE50" si="48">AC50+1</f>
        <v>2</v>
      </c>
      <c r="AE50" s="3">
        <f t="shared" si="48"/>
        <v>3</v>
      </c>
      <c r="AF50" s="3">
        <f>AE50+1</f>
        <v>4</v>
      </c>
      <c r="AG50" s="3">
        <f t="shared" si="47"/>
        <v>5</v>
      </c>
      <c r="AH50" s="3">
        <f t="shared" si="47"/>
        <v>6</v>
      </c>
      <c r="AI50" s="3">
        <f t="shared" si="47"/>
        <v>7</v>
      </c>
      <c r="AJ50" s="3">
        <f t="shared" si="47"/>
        <v>8</v>
      </c>
      <c r="AK50" s="280">
        <f t="shared" si="47"/>
        <v>9</v>
      </c>
      <c r="AL50" s="86">
        <f t="shared" si="47"/>
        <v>10</v>
      </c>
      <c r="AM50" s="4"/>
      <c r="AN50" s="258"/>
      <c r="AO50" s="4"/>
      <c r="AP50" s="4"/>
      <c r="AQ50" s="21"/>
      <c r="AR50" s="9"/>
      <c r="AS50" s="93"/>
      <c r="AT50" s="93"/>
      <c r="AU50" s="93"/>
      <c r="AV50" s="4"/>
      <c r="AW50" s="4"/>
      <c r="AX50" s="3"/>
      <c r="AY50" s="3"/>
      <c r="AZ50" s="3"/>
      <c r="BB50" s="3"/>
      <c r="BC50" s="3"/>
      <c r="BD50" s="3"/>
      <c r="BE50" s="3"/>
      <c r="BF50" s="31"/>
      <c r="BG50" s="8"/>
      <c r="BH50" s="86"/>
      <c r="BI50" s="86"/>
      <c r="BJ50" s="86"/>
      <c r="BK50" s="3"/>
      <c r="BL50" s="3"/>
      <c r="BM50" s="3"/>
      <c r="BN50" s="3"/>
      <c r="BO50" s="3"/>
      <c r="BQ50" s="3"/>
      <c r="BR50" s="3"/>
      <c r="BS50" s="3"/>
      <c r="BT50" s="3"/>
      <c r="BU50" s="31"/>
      <c r="BV50" s="8"/>
      <c r="BW50" s="86"/>
      <c r="BX50" s="86"/>
      <c r="BY50" s="86"/>
      <c r="BZ50" s="3"/>
      <c r="CA50" s="3"/>
      <c r="CB50" s="3"/>
      <c r="CC50" s="3"/>
      <c r="CD50" s="3"/>
      <c r="CF50" s="3"/>
      <c r="CG50" s="3"/>
      <c r="CH50" s="3"/>
      <c r="CI50" s="3"/>
      <c r="CJ50" s="31"/>
    </row>
    <row r="51" spans="2:88" x14ac:dyDescent="0.25">
      <c r="B51" s="265">
        <f t="shared" ref="B51" si="49">B50</f>
        <v>7</v>
      </c>
      <c r="C51" s="265">
        <v>4</v>
      </c>
      <c r="D51" s="265" t="str">
        <f t="shared" si="0"/>
        <v>EMPTY_EAST_E_2_15</v>
      </c>
      <c r="E51" s="265" t="s">
        <v>0</v>
      </c>
      <c r="F51" s="34" t="s">
        <v>32</v>
      </c>
      <c r="G51" s="3" t="s">
        <v>18</v>
      </c>
      <c r="H51" s="3">
        <v>2</v>
      </c>
      <c r="I51" s="3">
        <v>2</v>
      </c>
      <c r="J51" s="3" t="s">
        <v>6</v>
      </c>
      <c r="K51" s="90"/>
      <c r="L51" s="90">
        <f>COUNT(N51:AQ51)</f>
        <v>22</v>
      </c>
      <c r="M51" s="30"/>
      <c r="N51" s="8">
        <v>1</v>
      </c>
      <c r="O51" s="86">
        <f t="shared" ref="O51:Z52" si="50">N51+1</f>
        <v>2</v>
      </c>
      <c r="P51" s="86">
        <f t="shared" si="50"/>
        <v>3</v>
      </c>
      <c r="Q51" s="86">
        <f t="shared" si="50"/>
        <v>4</v>
      </c>
      <c r="R51" s="86">
        <f t="shared" si="50"/>
        <v>5</v>
      </c>
      <c r="S51" s="86">
        <f t="shared" si="50"/>
        <v>6</v>
      </c>
      <c r="T51" s="86">
        <f t="shared" si="50"/>
        <v>7</v>
      </c>
      <c r="U51" s="86">
        <f t="shared" si="50"/>
        <v>8</v>
      </c>
      <c r="V51" s="336">
        <f t="shared" si="50"/>
        <v>9</v>
      </c>
      <c r="W51" s="319">
        <f t="shared" si="50"/>
        <v>10</v>
      </c>
      <c r="X51" s="3">
        <f t="shared" si="50"/>
        <v>11</v>
      </c>
      <c r="Y51" s="3">
        <f>X51+1</f>
        <v>12</v>
      </c>
      <c r="Z51" s="3">
        <f t="shared" ref="Z51:AA51" si="51">Y51+1</f>
        <v>13</v>
      </c>
      <c r="AA51" s="3">
        <f t="shared" si="51"/>
        <v>14</v>
      </c>
      <c r="AB51" s="280">
        <f>AA51+1</f>
        <v>15</v>
      </c>
      <c r="AC51" s="319">
        <f t="shared" ref="AC51:AK52" si="52">AB51+1</f>
        <v>16</v>
      </c>
      <c r="AD51" s="3">
        <f t="shared" si="52"/>
        <v>17</v>
      </c>
      <c r="AE51" s="3">
        <f t="shared" si="52"/>
        <v>18</v>
      </c>
      <c r="AF51" s="3">
        <f t="shared" si="52"/>
        <v>19</v>
      </c>
      <c r="AG51" s="3">
        <f t="shared" si="52"/>
        <v>20</v>
      </c>
      <c r="AH51" s="3">
        <f t="shared" si="52"/>
        <v>21</v>
      </c>
      <c r="AI51" s="3">
        <f t="shared" si="47"/>
        <v>22</v>
      </c>
      <c r="AJ51" s="46"/>
      <c r="AK51" s="283"/>
      <c r="AL51" s="86"/>
      <c r="AM51" s="3"/>
      <c r="AN51" s="33"/>
      <c r="AO51" s="3"/>
      <c r="AP51" s="3"/>
      <c r="AQ51" s="31"/>
      <c r="AR51" s="8"/>
      <c r="AS51" s="86"/>
      <c r="AT51" s="86"/>
      <c r="AU51" s="86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1"/>
      <c r="BG51" s="8"/>
      <c r="BH51" s="86"/>
      <c r="BI51" s="86"/>
      <c r="BJ51" s="86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1"/>
      <c r="BV51" s="8"/>
      <c r="BW51" s="86"/>
      <c r="BX51" s="86"/>
      <c r="BY51" s="86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1"/>
    </row>
    <row r="52" spans="2:88" hidden="1" x14ac:dyDescent="0.25">
      <c r="B52" s="265">
        <v>7</v>
      </c>
      <c r="C52" s="265">
        <v>5</v>
      </c>
      <c r="D52" s="265" t="str">
        <f t="shared" si="0"/>
        <v>PREPARE_EAST_E_2_15</v>
      </c>
      <c r="E52" s="265" t="s">
        <v>0</v>
      </c>
      <c r="F52" s="49" t="s">
        <v>46</v>
      </c>
      <c r="G52" s="3" t="s">
        <v>18</v>
      </c>
      <c r="H52" s="3">
        <v>2</v>
      </c>
      <c r="I52" s="3">
        <v>2</v>
      </c>
      <c r="J52" s="3" t="s">
        <v>6</v>
      </c>
      <c r="K52" s="37"/>
      <c r="L52" s="90">
        <f>COUNT(N52:AQ52)</f>
        <v>24</v>
      </c>
      <c r="M52" s="30"/>
      <c r="N52" s="8">
        <v>1</v>
      </c>
      <c r="O52" s="86">
        <f t="shared" si="50"/>
        <v>2</v>
      </c>
      <c r="P52" s="86">
        <f t="shared" si="50"/>
        <v>3</v>
      </c>
      <c r="Q52" s="86">
        <f t="shared" si="50"/>
        <v>4</v>
      </c>
      <c r="R52" s="86">
        <f t="shared" si="50"/>
        <v>5</v>
      </c>
      <c r="S52" s="86">
        <f t="shared" si="50"/>
        <v>6</v>
      </c>
      <c r="T52" s="86">
        <f t="shared" si="50"/>
        <v>7</v>
      </c>
      <c r="U52" s="86">
        <f t="shared" si="50"/>
        <v>8</v>
      </c>
      <c r="V52" s="336">
        <f t="shared" si="50"/>
        <v>9</v>
      </c>
      <c r="W52" s="319">
        <f t="shared" si="50"/>
        <v>10</v>
      </c>
      <c r="X52" s="3">
        <f t="shared" si="50"/>
        <v>11</v>
      </c>
      <c r="Y52" s="3">
        <f t="shared" si="50"/>
        <v>12</v>
      </c>
      <c r="Z52" s="3">
        <f t="shared" si="50"/>
        <v>13</v>
      </c>
      <c r="AA52" s="3">
        <f>Z52+1</f>
        <v>14</v>
      </c>
      <c r="AB52" s="280">
        <f t="shared" ref="AB52:AC52" si="53">AA52+1</f>
        <v>15</v>
      </c>
      <c r="AC52" s="319">
        <f t="shared" si="53"/>
        <v>16</v>
      </c>
      <c r="AD52" s="3">
        <f>AC52+1</f>
        <v>17</v>
      </c>
      <c r="AE52" s="3">
        <f t="shared" si="52"/>
        <v>18</v>
      </c>
      <c r="AF52" s="3">
        <f t="shared" si="52"/>
        <v>19</v>
      </c>
      <c r="AG52" s="3">
        <f t="shared" si="52"/>
        <v>20</v>
      </c>
      <c r="AH52" s="3">
        <f t="shared" si="52"/>
        <v>21</v>
      </c>
      <c r="AI52" s="3">
        <f t="shared" si="52"/>
        <v>22</v>
      </c>
      <c r="AJ52" s="3">
        <f t="shared" si="52"/>
        <v>23</v>
      </c>
      <c r="AK52" s="280">
        <f t="shared" si="52"/>
        <v>24</v>
      </c>
      <c r="AL52" s="93"/>
      <c r="AM52" s="86"/>
      <c r="AN52" s="86"/>
      <c r="AO52" s="3"/>
      <c r="AP52" s="3"/>
      <c r="AQ52" s="31"/>
      <c r="AR52" s="8"/>
      <c r="AS52" s="86"/>
      <c r="AT52" s="86"/>
      <c r="AU52" s="86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1"/>
      <c r="BG52" s="8"/>
      <c r="BH52" s="86"/>
      <c r="BI52" s="86"/>
      <c r="BJ52" s="86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1"/>
      <c r="BV52" s="8"/>
      <c r="BW52" s="86"/>
      <c r="BX52" s="86"/>
      <c r="BY52" s="86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1"/>
    </row>
    <row r="53" spans="2:88" hidden="1" x14ac:dyDescent="0.25">
      <c r="B53" s="265">
        <f>B51</f>
        <v>7</v>
      </c>
      <c r="C53" s="265">
        <v>6</v>
      </c>
      <c r="D53" s="265" t="str">
        <f t="shared" si="0"/>
        <v>COUNTDOWN_EAST_E_2_15</v>
      </c>
      <c r="E53" s="265"/>
      <c r="F53" s="34" t="s">
        <v>33</v>
      </c>
      <c r="G53" s="3" t="s">
        <v>18</v>
      </c>
      <c r="H53" s="3">
        <v>2</v>
      </c>
      <c r="I53" s="3">
        <v>2</v>
      </c>
      <c r="J53" s="3" t="s">
        <v>6</v>
      </c>
      <c r="K53" s="32"/>
      <c r="L53" s="32"/>
      <c r="M53" s="30"/>
      <c r="N53" s="8">
        <v>9</v>
      </c>
      <c r="O53" s="86">
        <v>8</v>
      </c>
      <c r="P53" s="86">
        <v>7</v>
      </c>
      <c r="Q53" s="86">
        <v>6</v>
      </c>
      <c r="R53" s="3">
        <v>5</v>
      </c>
      <c r="S53" s="3">
        <v>4</v>
      </c>
      <c r="T53" s="3">
        <v>3</v>
      </c>
      <c r="U53" s="3">
        <v>2</v>
      </c>
      <c r="V53" s="30">
        <v>1</v>
      </c>
      <c r="W53" s="319">
        <v>15</v>
      </c>
      <c r="X53" s="3">
        <v>14</v>
      </c>
      <c r="Y53" s="3">
        <v>13</v>
      </c>
      <c r="Z53" s="3">
        <v>12</v>
      </c>
      <c r="AA53" s="3">
        <v>11</v>
      </c>
      <c r="AB53" s="280">
        <v>10</v>
      </c>
      <c r="AC53" s="319">
        <v>9</v>
      </c>
      <c r="AD53" s="3">
        <v>8</v>
      </c>
      <c r="AE53" s="3">
        <v>7</v>
      </c>
      <c r="AF53" s="3">
        <v>6</v>
      </c>
      <c r="AG53" s="3">
        <v>5</v>
      </c>
      <c r="AH53" s="3">
        <v>4</v>
      </c>
      <c r="AI53" s="3">
        <v>3</v>
      </c>
      <c r="AJ53" s="3">
        <v>2</v>
      </c>
      <c r="AK53" s="280">
        <v>1</v>
      </c>
      <c r="AL53" s="86">
        <v>15</v>
      </c>
      <c r="AM53" s="3">
        <v>14</v>
      </c>
      <c r="AN53" s="3">
        <v>13</v>
      </c>
      <c r="AO53" s="3">
        <v>12</v>
      </c>
      <c r="AP53" s="3">
        <v>11</v>
      </c>
      <c r="AQ53" s="31">
        <v>10</v>
      </c>
      <c r="AR53" s="8">
        <v>9</v>
      </c>
      <c r="AS53" s="86">
        <v>8</v>
      </c>
      <c r="AT53" s="86">
        <v>7</v>
      </c>
      <c r="AU53" s="86">
        <v>6</v>
      </c>
      <c r="AV53" s="3">
        <v>5</v>
      </c>
      <c r="AW53" s="3">
        <v>4</v>
      </c>
      <c r="AX53" s="3">
        <v>3</v>
      </c>
      <c r="AY53" s="3">
        <v>2</v>
      </c>
      <c r="AZ53" s="3">
        <v>1</v>
      </c>
      <c r="BA53" s="3">
        <v>15</v>
      </c>
      <c r="BB53" s="3">
        <v>14</v>
      </c>
      <c r="BC53" s="3">
        <v>13</v>
      </c>
      <c r="BD53" s="3">
        <v>12</v>
      </c>
      <c r="BE53" s="3">
        <v>11</v>
      </c>
      <c r="BF53" s="31">
        <v>10</v>
      </c>
      <c r="BG53" s="8">
        <v>9</v>
      </c>
      <c r="BH53" s="86">
        <v>8</v>
      </c>
      <c r="BI53" s="86">
        <v>7</v>
      </c>
      <c r="BJ53" s="86">
        <v>6</v>
      </c>
      <c r="BK53" s="3">
        <v>5</v>
      </c>
      <c r="BL53" s="3">
        <v>4</v>
      </c>
      <c r="BM53" s="3">
        <v>3</v>
      </c>
      <c r="BN53" s="3">
        <v>2</v>
      </c>
      <c r="BO53" s="3">
        <v>1</v>
      </c>
      <c r="BP53" s="3">
        <v>15</v>
      </c>
      <c r="BQ53" s="3">
        <v>14</v>
      </c>
      <c r="BR53" s="3">
        <v>13</v>
      </c>
      <c r="BS53" s="3">
        <v>12</v>
      </c>
      <c r="BT53" s="3">
        <v>11</v>
      </c>
      <c r="BU53" s="31">
        <v>10</v>
      </c>
      <c r="BV53" s="8">
        <v>9</v>
      </c>
      <c r="BW53" s="86">
        <v>8</v>
      </c>
      <c r="BX53" s="86">
        <v>7</v>
      </c>
      <c r="BY53" s="86">
        <v>6</v>
      </c>
      <c r="BZ53" s="3">
        <v>5</v>
      </c>
      <c r="CA53" s="3">
        <v>4</v>
      </c>
      <c r="CB53" s="3">
        <v>3</v>
      </c>
      <c r="CC53" s="3">
        <v>2</v>
      </c>
      <c r="CD53" s="3">
        <v>1</v>
      </c>
      <c r="CE53" s="3">
        <v>15</v>
      </c>
      <c r="CF53" s="3">
        <v>14</v>
      </c>
      <c r="CG53" s="3">
        <v>13</v>
      </c>
      <c r="CH53" s="3">
        <v>12</v>
      </c>
      <c r="CI53" s="3">
        <v>11</v>
      </c>
      <c r="CJ53" s="31">
        <v>10</v>
      </c>
    </row>
    <row r="54" spans="2:88" hidden="1" x14ac:dyDescent="0.25">
      <c r="B54" s="284"/>
      <c r="C54" s="265">
        <v>1</v>
      </c>
      <c r="D54" s="265" t="str">
        <f t="shared" si="0"/>
        <v>SORTING_EAST_D_1_15</v>
      </c>
      <c r="E54" s="265" t="s">
        <v>35</v>
      </c>
      <c r="F54" s="49" t="s">
        <v>45</v>
      </c>
      <c r="G54" s="3" t="s">
        <v>18</v>
      </c>
      <c r="H54" s="3">
        <v>1</v>
      </c>
      <c r="I54" s="3">
        <v>1</v>
      </c>
      <c r="J54" s="3" t="s">
        <v>47</v>
      </c>
      <c r="K54" s="90"/>
      <c r="L54" s="90">
        <f>COUNT(W54:AQ54)</f>
        <v>11</v>
      </c>
      <c r="M54" s="30" t="s">
        <v>28</v>
      </c>
      <c r="N54" s="42"/>
      <c r="O54" s="133"/>
      <c r="P54" s="133"/>
      <c r="Q54" s="133"/>
      <c r="R54" s="46"/>
      <c r="S54" s="46"/>
      <c r="T54" s="46"/>
      <c r="U54" s="46"/>
      <c r="V54" s="101"/>
      <c r="W54" s="321">
        <v>1</v>
      </c>
      <c r="X54" s="33">
        <f t="shared" ref="X54:Y55" si="54">W54+1</f>
        <v>2</v>
      </c>
      <c r="Y54" s="33">
        <f t="shared" si="54"/>
        <v>3</v>
      </c>
      <c r="Z54" s="33">
        <f>Y54+1</f>
        <v>4</v>
      </c>
      <c r="AA54" s="33">
        <f>Z54+1</f>
        <v>5</v>
      </c>
      <c r="AB54" s="282">
        <f t="shared" ref="AB54:AN56" si="55">AA54+1</f>
        <v>6</v>
      </c>
      <c r="AC54" s="321">
        <f t="shared" si="55"/>
        <v>7</v>
      </c>
      <c r="AD54" s="33">
        <f t="shared" si="55"/>
        <v>8</v>
      </c>
      <c r="AE54" s="33">
        <f t="shared" si="55"/>
        <v>9</v>
      </c>
      <c r="AF54" s="33">
        <f t="shared" si="55"/>
        <v>10</v>
      </c>
      <c r="AG54" s="33">
        <f t="shared" si="55"/>
        <v>11</v>
      </c>
      <c r="AH54" s="61"/>
      <c r="AI54" s="61"/>
      <c r="AJ54" s="33"/>
      <c r="AK54" s="282"/>
      <c r="AL54" s="86"/>
      <c r="AM54" s="3"/>
      <c r="AN54" s="3"/>
      <c r="AO54" s="3"/>
      <c r="AP54" s="3"/>
      <c r="AQ54" s="31"/>
      <c r="AR54" s="8"/>
      <c r="AS54" s="86"/>
      <c r="AT54" s="86"/>
      <c r="AU54" s="86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1"/>
      <c r="BG54" s="8"/>
      <c r="BH54" s="86"/>
      <c r="BI54" s="86"/>
      <c r="BJ54" s="86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1"/>
      <c r="BV54" s="8"/>
      <c r="BW54" s="86"/>
      <c r="BX54" s="86"/>
      <c r="BY54" s="86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1"/>
    </row>
    <row r="55" spans="2:88" hidden="1" x14ac:dyDescent="0.25">
      <c r="B55" s="284"/>
      <c r="C55" s="265">
        <v>2</v>
      </c>
      <c r="D55" s="265" t="str">
        <f t="shared" si="0"/>
        <v>TRANSFER_EAST_D_1_15</v>
      </c>
      <c r="E55" s="265" t="s">
        <v>21</v>
      </c>
      <c r="F55" s="49" t="s">
        <v>21</v>
      </c>
      <c r="G55" s="3" t="s">
        <v>18</v>
      </c>
      <c r="H55" s="3">
        <v>1</v>
      </c>
      <c r="I55" s="3">
        <v>1</v>
      </c>
      <c r="J55" s="3" t="s">
        <v>47</v>
      </c>
      <c r="K55" s="90"/>
      <c r="L55" s="90">
        <f>COUNT(W55:AQ55)</f>
        <v>13</v>
      </c>
      <c r="M55" s="30" t="s">
        <v>28</v>
      </c>
      <c r="N55" s="42"/>
      <c r="O55" s="133"/>
      <c r="P55" s="133"/>
      <c r="Q55" s="133"/>
      <c r="R55" s="46"/>
      <c r="S55" s="46"/>
      <c r="T55" s="46"/>
      <c r="U55" s="46"/>
      <c r="V55" s="101"/>
      <c r="W55" s="319">
        <v>1</v>
      </c>
      <c r="X55" s="3">
        <f t="shared" si="54"/>
        <v>2</v>
      </c>
      <c r="Y55" s="3">
        <f t="shared" si="54"/>
        <v>3</v>
      </c>
      <c r="Z55" s="3">
        <f>Y55+1</f>
        <v>4</v>
      </c>
      <c r="AA55" s="3">
        <f>Z55+1</f>
        <v>5</v>
      </c>
      <c r="AB55" s="280">
        <f t="shared" si="55"/>
        <v>6</v>
      </c>
      <c r="AC55" s="319">
        <f t="shared" si="55"/>
        <v>7</v>
      </c>
      <c r="AD55" s="3">
        <f>AC55+1</f>
        <v>8</v>
      </c>
      <c r="AE55" s="3">
        <f>AD55+1</f>
        <v>9</v>
      </c>
      <c r="AF55" s="3">
        <f t="shared" si="55"/>
        <v>10</v>
      </c>
      <c r="AG55" s="3">
        <f t="shared" si="55"/>
        <v>11</v>
      </c>
      <c r="AH55" s="3">
        <f t="shared" si="55"/>
        <v>12</v>
      </c>
      <c r="AI55" s="3">
        <f t="shared" si="55"/>
        <v>13</v>
      </c>
      <c r="AJ55" s="4"/>
      <c r="AK55" s="283"/>
      <c r="AL55" s="86"/>
      <c r="AM55" s="3"/>
      <c r="AN55" s="3"/>
      <c r="AO55" s="3"/>
      <c r="AP55" s="3"/>
      <c r="AQ55" s="31"/>
      <c r="AR55" s="8"/>
      <c r="AS55" s="86"/>
      <c r="AT55" s="86"/>
      <c r="AU55" s="86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1"/>
      <c r="BG55" s="8"/>
      <c r="BH55" s="86"/>
      <c r="BI55" s="86"/>
      <c r="BJ55" s="86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1"/>
      <c r="BV55" s="8"/>
      <c r="BW55" s="86"/>
      <c r="BX55" s="86"/>
      <c r="BY55" s="86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1"/>
    </row>
    <row r="56" spans="2:88" hidden="1" x14ac:dyDescent="0.25">
      <c r="B56" s="284"/>
      <c r="C56" s="265">
        <v>3</v>
      </c>
      <c r="D56" s="265" t="str">
        <f t="shared" si="0"/>
        <v>SUPPLY_EAST_D_1_15</v>
      </c>
      <c r="E56" s="265" t="s">
        <v>0</v>
      </c>
      <c r="F56" s="34" t="s">
        <v>0</v>
      </c>
      <c r="G56" s="3" t="s">
        <v>18</v>
      </c>
      <c r="H56" s="3">
        <v>1</v>
      </c>
      <c r="I56" s="3">
        <v>1</v>
      </c>
      <c r="J56" s="3" t="s">
        <v>47</v>
      </c>
      <c r="K56" s="90"/>
      <c r="L56" s="90">
        <f>COUNT(AC56:BF56)</f>
        <v>12</v>
      </c>
      <c r="M56" s="30" t="s">
        <v>28</v>
      </c>
      <c r="N56" s="42"/>
      <c r="O56" s="133"/>
      <c r="P56" s="133"/>
      <c r="Q56" s="133"/>
      <c r="R56" s="46"/>
      <c r="S56" s="46"/>
      <c r="T56" s="46"/>
      <c r="U56" s="46"/>
      <c r="V56" s="101"/>
      <c r="W56" s="320"/>
      <c r="X56" s="46"/>
      <c r="Y56" s="46"/>
      <c r="Z56" s="46"/>
      <c r="AA56" s="46"/>
      <c r="AB56" s="340"/>
      <c r="AC56" s="319">
        <v>1</v>
      </c>
      <c r="AD56" s="3">
        <f t="shared" ref="AD56:AE56" si="56">AC56+1</f>
        <v>2</v>
      </c>
      <c r="AE56" s="3">
        <f t="shared" si="56"/>
        <v>3</v>
      </c>
      <c r="AF56" s="3">
        <f>AE56+1</f>
        <v>4</v>
      </c>
      <c r="AG56" s="3">
        <f t="shared" si="55"/>
        <v>5</v>
      </c>
      <c r="AH56" s="3">
        <f t="shared" si="55"/>
        <v>6</v>
      </c>
      <c r="AI56" s="3">
        <f t="shared" si="55"/>
        <v>7</v>
      </c>
      <c r="AJ56" s="3">
        <f t="shared" si="55"/>
        <v>8</v>
      </c>
      <c r="AK56" s="280">
        <f t="shared" si="55"/>
        <v>9</v>
      </c>
      <c r="AL56" s="86">
        <f t="shared" si="55"/>
        <v>10</v>
      </c>
      <c r="AM56" s="86">
        <f t="shared" si="55"/>
        <v>11</v>
      </c>
      <c r="AN56" s="86">
        <f t="shared" si="55"/>
        <v>12</v>
      </c>
      <c r="AO56" s="4"/>
      <c r="AP56" s="4"/>
      <c r="AQ56" s="21"/>
      <c r="AR56" s="9"/>
      <c r="AS56" s="93"/>
      <c r="AT56" s="93"/>
      <c r="AU56" s="93"/>
      <c r="AV56" s="4"/>
      <c r="AW56" s="4"/>
      <c r="AX56" s="4"/>
      <c r="AY56" s="4"/>
      <c r="AZ56" s="3"/>
      <c r="BA56" s="3"/>
      <c r="BB56" s="3"/>
      <c r="BC56" s="3"/>
      <c r="BD56" s="3"/>
      <c r="BE56" s="3"/>
      <c r="BF56" s="31"/>
      <c r="BG56" s="8"/>
      <c r="BH56" s="86"/>
      <c r="BI56" s="86"/>
      <c r="BJ56" s="86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1"/>
      <c r="BV56" s="8"/>
      <c r="BW56" s="86"/>
      <c r="BX56" s="86"/>
      <c r="BY56" s="86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1"/>
    </row>
    <row r="57" spans="2:88" x14ac:dyDescent="0.25">
      <c r="B57" s="284"/>
      <c r="C57" s="265">
        <v>4</v>
      </c>
      <c r="D57" s="265" t="str">
        <f t="shared" si="0"/>
        <v>EMPTY_EAST_D_1_15</v>
      </c>
      <c r="E57" s="265" t="s">
        <v>0</v>
      </c>
      <c r="F57" s="34" t="s">
        <v>32</v>
      </c>
      <c r="G57" s="3" t="s">
        <v>18</v>
      </c>
      <c r="H57" s="3">
        <v>1</v>
      </c>
      <c r="I57" s="3">
        <v>1</v>
      </c>
      <c r="J57" s="3" t="s">
        <v>47</v>
      </c>
      <c r="K57" s="90"/>
      <c r="L57" s="90">
        <f>COUNT(N57:AQ57)</f>
        <v>23</v>
      </c>
      <c r="M57" s="30" t="s">
        <v>28</v>
      </c>
      <c r="N57" s="8">
        <v>1</v>
      </c>
      <c r="O57" s="86">
        <f t="shared" ref="O57:Z58" si="57">N57+1</f>
        <v>2</v>
      </c>
      <c r="P57" s="86">
        <f t="shared" si="57"/>
        <v>3</v>
      </c>
      <c r="Q57" s="86">
        <f t="shared" si="57"/>
        <v>4</v>
      </c>
      <c r="R57" s="86">
        <f t="shared" si="57"/>
        <v>5</v>
      </c>
      <c r="S57" s="86">
        <f t="shared" si="57"/>
        <v>6</v>
      </c>
      <c r="T57" s="86">
        <f t="shared" si="57"/>
        <v>7</v>
      </c>
      <c r="U57" s="86">
        <f t="shared" si="57"/>
        <v>8</v>
      </c>
      <c r="V57" s="336">
        <f t="shared" si="57"/>
        <v>9</v>
      </c>
      <c r="W57" s="319">
        <f t="shared" si="57"/>
        <v>10</v>
      </c>
      <c r="X57" s="3">
        <f t="shared" si="57"/>
        <v>11</v>
      </c>
      <c r="Y57" s="3">
        <f>X57+1</f>
        <v>12</v>
      </c>
      <c r="Z57" s="3">
        <f t="shared" ref="Z57:AA57" si="58">Y57+1</f>
        <v>13</v>
      </c>
      <c r="AA57" s="3">
        <f t="shared" si="58"/>
        <v>14</v>
      </c>
      <c r="AB57" s="280">
        <f>AA57+1</f>
        <v>15</v>
      </c>
      <c r="AC57" s="319">
        <f t="shared" ref="AC57:AL58" si="59">AB57+1</f>
        <v>16</v>
      </c>
      <c r="AD57" s="3">
        <f t="shared" si="59"/>
        <v>17</v>
      </c>
      <c r="AE57" s="3">
        <f t="shared" si="59"/>
        <v>18</v>
      </c>
      <c r="AF57" s="3">
        <f t="shared" si="59"/>
        <v>19</v>
      </c>
      <c r="AG57" s="3">
        <f t="shared" si="59"/>
        <v>20</v>
      </c>
      <c r="AH57" s="3">
        <f t="shared" si="59"/>
        <v>21</v>
      </c>
      <c r="AI57" s="3">
        <f t="shared" si="59"/>
        <v>22</v>
      </c>
      <c r="AJ57" s="3">
        <f t="shared" si="59"/>
        <v>23</v>
      </c>
      <c r="AK57" s="340"/>
      <c r="AL57" s="93"/>
      <c r="AM57" s="3"/>
      <c r="AN57" s="33"/>
      <c r="AO57" s="3"/>
      <c r="AP57" s="3"/>
      <c r="AQ57" s="31"/>
      <c r="AR57" s="8"/>
      <c r="AS57" s="86"/>
      <c r="AT57" s="86"/>
      <c r="AU57" s="86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1"/>
      <c r="BG57" s="8"/>
      <c r="BH57" s="86"/>
      <c r="BI57" s="86"/>
      <c r="BJ57" s="86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1"/>
      <c r="BV57" s="8"/>
      <c r="BW57" s="86"/>
      <c r="BX57" s="86"/>
      <c r="BY57" s="86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1"/>
    </row>
    <row r="58" spans="2:88" hidden="1" x14ac:dyDescent="0.25">
      <c r="B58" s="284"/>
      <c r="C58" s="265">
        <v>5</v>
      </c>
      <c r="D58" s="265" t="str">
        <f t="shared" si="0"/>
        <v>PREPARE_EAST_D_1_15</v>
      </c>
      <c r="E58" s="265" t="s">
        <v>0</v>
      </c>
      <c r="F58" s="49" t="s">
        <v>46</v>
      </c>
      <c r="G58" s="3" t="s">
        <v>18</v>
      </c>
      <c r="H58" s="3">
        <v>1</v>
      </c>
      <c r="I58" s="3">
        <v>1</v>
      </c>
      <c r="J58" s="3" t="s">
        <v>47</v>
      </c>
      <c r="K58" s="90"/>
      <c r="L58" s="90">
        <f>COUNT(N58:AQ58)</f>
        <v>25</v>
      </c>
      <c r="M58" s="30" t="s">
        <v>28</v>
      </c>
      <c r="N58" s="8">
        <v>1</v>
      </c>
      <c r="O58" s="86">
        <f t="shared" si="57"/>
        <v>2</v>
      </c>
      <c r="P58" s="86">
        <f t="shared" si="57"/>
        <v>3</v>
      </c>
      <c r="Q58" s="86">
        <f t="shared" si="57"/>
        <v>4</v>
      </c>
      <c r="R58" s="86">
        <f t="shared" si="57"/>
        <v>5</v>
      </c>
      <c r="S58" s="86">
        <f t="shared" si="57"/>
        <v>6</v>
      </c>
      <c r="T58" s="86">
        <f t="shared" si="57"/>
        <v>7</v>
      </c>
      <c r="U58" s="86">
        <f t="shared" si="57"/>
        <v>8</v>
      </c>
      <c r="V58" s="336">
        <f t="shared" si="57"/>
        <v>9</v>
      </c>
      <c r="W58" s="319">
        <f t="shared" si="57"/>
        <v>10</v>
      </c>
      <c r="X58" s="3">
        <f t="shared" si="57"/>
        <v>11</v>
      </c>
      <c r="Y58" s="3">
        <f t="shared" si="57"/>
        <v>12</v>
      </c>
      <c r="Z58" s="3">
        <f t="shared" si="57"/>
        <v>13</v>
      </c>
      <c r="AA58" s="3">
        <f>Z58+1</f>
        <v>14</v>
      </c>
      <c r="AB58" s="280">
        <f t="shared" ref="AB58:AC58" si="60">AA58+1</f>
        <v>15</v>
      </c>
      <c r="AC58" s="319">
        <f t="shared" si="60"/>
        <v>16</v>
      </c>
      <c r="AD58" s="3">
        <f>AC58+1</f>
        <v>17</v>
      </c>
      <c r="AE58" s="3">
        <f t="shared" si="59"/>
        <v>18</v>
      </c>
      <c r="AF58" s="3">
        <f t="shared" si="59"/>
        <v>19</v>
      </c>
      <c r="AG58" s="3">
        <f t="shared" si="59"/>
        <v>20</v>
      </c>
      <c r="AH58" s="3">
        <f t="shared" si="59"/>
        <v>21</v>
      </c>
      <c r="AI58" s="3">
        <f t="shared" si="59"/>
        <v>22</v>
      </c>
      <c r="AJ58" s="3">
        <f t="shared" si="59"/>
        <v>23</v>
      </c>
      <c r="AK58" s="280">
        <f t="shared" si="59"/>
        <v>24</v>
      </c>
      <c r="AL58" s="86">
        <f t="shared" si="59"/>
        <v>25</v>
      </c>
      <c r="AM58" s="4"/>
      <c r="AN58" s="4"/>
      <c r="AO58" s="3"/>
      <c r="AP58" s="3"/>
      <c r="AQ58" s="31"/>
      <c r="AR58" s="8"/>
      <c r="AS58" s="86"/>
      <c r="AT58" s="86"/>
      <c r="AU58" s="86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1"/>
      <c r="BG58" s="8"/>
      <c r="BH58" s="86"/>
      <c r="BI58" s="86"/>
      <c r="BJ58" s="86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1"/>
      <c r="BV58" s="8"/>
      <c r="BW58" s="86"/>
      <c r="BX58" s="86"/>
      <c r="BY58" s="86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1"/>
    </row>
    <row r="59" spans="2:88" hidden="1" x14ac:dyDescent="0.25">
      <c r="B59" s="284"/>
      <c r="C59" s="265">
        <v>6</v>
      </c>
      <c r="D59" s="265" t="str">
        <f t="shared" si="0"/>
        <v>COUNTDOWN_EAST_D_1_15</v>
      </c>
      <c r="E59" s="265"/>
      <c r="F59" s="34" t="s">
        <v>33</v>
      </c>
      <c r="G59" s="3" t="s">
        <v>18</v>
      </c>
      <c r="H59" s="3">
        <v>1</v>
      </c>
      <c r="I59" s="3">
        <v>1</v>
      </c>
      <c r="J59" s="3" t="s">
        <v>47</v>
      </c>
      <c r="K59" s="32"/>
      <c r="L59" s="32"/>
      <c r="M59" s="30" t="s">
        <v>28</v>
      </c>
      <c r="N59" s="8">
        <v>10</v>
      </c>
      <c r="O59" s="86">
        <v>9</v>
      </c>
      <c r="P59" s="86">
        <v>8</v>
      </c>
      <c r="Q59" s="86">
        <v>7</v>
      </c>
      <c r="R59" s="3">
        <v>6</v>
      </c>
      <c r="S59" s="3">
        <v>5</v>
      </c>
      <c r="T59" s="3">
        <v>4</v>
      </c>
      <c r="U59" s="3">
        <v>3</v>
      </c>
      <c r="V59" s="30">
        <v>2</v>
      </c>
      <c r="W59" s="319">
        <v>1</v>
      </c>
      <c r="X59" s="3">
        <v>15</v>
      </c>
      <c r="Y59" s="3">
        <v>14</v>
      </c>
      <c r="Z59" s="3">
        <v>13</v>
      </c>
      <c r="AA59" s="3">
        <v>12</v>
      </c>
      <c r="AB59" s="280">
        <v>11</v>
      </c>
      <c r="AC59" s="319">
        <v>10</v>
      </c>
      <c r="AD59" s="3">
        <v>9</v>
      </c>
      <c r="AE59" s="3">
        <v>8</v>
      </c>
      <c r="AF59" s="3">
        <v>7</v>
      </c>
      <c r="AG59" s="3">
        <v>6</v>
      </c>
      <c r="AH59" s="3">
        <v>5</v>
      </c>
      <c r="AI59" s="3">
        <v>4</v>
      </c>
      <c r="AJ59" s="3">
        <v>3</v>
      </c>
      <c r="AK59" s="280">
        <v>2</v>
      </c>
      <c r="AL59" s="86">
        <v>1</v>
      </c>
      <c r="AM59" s="3">
        <v>15</v>
      </c>
      <c r="AN59" s="3">
        <v>14</v>
      </c>
      <c r="AO59" s="3">
        <v>13</v>
      </c>
      <c r="AP59" s="3">
        <v>12</v>
      </c>
      <c r="AQ59" s="31">
        <v>11</v>
      </c>
      <c r="AR59" s="8">
        <v>10</v>
      </c>
      <c r="AS59" s="86">
        <v>9</v>
      </c>
      <c r="AT59" s="86">
        <v>8</v>
      </c>
      <c r="AU59" s="86">
        <v>7</v>
      </c>
      <c r="AV59" s="3">
        <v>6</v>
      </c>
      <c r="AW59" s="3">
        <v>5</v>
      </c>
      <c r="AX59" s="3">
        <v>4</v>
      </c>
      <c r="AY59" s="3">
        <v>3</v>
      </c>
      <c r="AZ59" s="3">
        <v>2</v>
      </c>
      <c r="BA59" s="3">
        <v>1</v>
      </c>
      <c r="BB59" s="3">
        <v>15</v>
      </c>
      <c r="BC59" s="3">
        <v>14</v>
      </c>
      <c r="BD59" s="3">
        <v>13</v>
      </c>
      <c r="BE59" s="3">
        <v>12</v>
      </c>
      <c r="BF59" s="31">
        <v>11</v>
      </c>
      <c r="BG59" s="8">
        <v>10</v>
      </c>
      <c r="BH59" s="86">
        <v>9</v>
      </c>
      <c r="BI59" s="86">
        <v>8</v>
      </c>
      <c r="BJ59" s="86">
        <v>7</v>
      </c>
      <c r="BK59" s="3">
        <v>6</v>
      </c>
      <c r="BL59" s="3">
        <v>5</v>
      </c>
      <c r="BM59" s="3">
        <v>4</v>
      </c>
      <c r="BN59" s="3">
        <v>3</v>
      </c>
      <c r="BO59" s="3">
        <v>2</v>
      </c>
      <c r="BP59" s="3">
        <v>1</v>
      </c>
      <c r="BQ59" s="3">
        <v>15</v>
      </c>
      <c r="BR59" s="3">
        <v>14</v>
      </c>
      <c r="BS59" s="3">
        <v>13</v>
      </c>
      <c r="BT59" s="3">
        <v>12</v>
      </c>
      <c r="BU59" s="31">
        <v>11</v>
      </c>
      <c r="BV59" s="8">
        <v>10</v>
      </c>
      <c r="BW59" s="86">
        <v>9</v>
      </c>
      <c r="BX59" s="86">
        <v>8</v>
      </c>
      <c r="BY59" s="86">
        <v>7</v>
      </c>
      <c r="BZ59" s="3">
        <v>6</v>
      </c>
      <c r="CA59" s="3">
        <v>5</v>
      </c>
      <c r="CB59" s="3">
        <v>4</v>
      </c>
      <c r="CC59" s="3">
        <v>3</v>
      </c>
      <c r="CD59" s="3">
        <v>2</v>
      </c>
      <c r="CE59" s="3">
        <v>1</v>
      </c>
      <c r="CF59" s="3">
        <v>15</v>
      </c>
      <c r="CG59" s="3">
        <v>14</v>
      </c>
      <c r="CH59" s="3">
        <v>13</v>
      </c>
      <c r="CI59" s="3">
        <v>12</v>
      </c>
      <c r="CJ59" s="31">
        <v>11</v>
      </c>
    </row>
    <row r="60" spans="2:88" hidden="1" x14ac:dyDescent="0.25">
      <c r="B60" s="284"/>
      <c r="C60" s="265">
        <v>1</v>
      </c>
      <c r="D60" s="265" t="str">
        <f t="shared" si="0"/>
        <v>SORTING_EAST_K_2_15</v>
      </c>
      <c r="E60" s="265" t="s">
        <v>35</v>
      </c>
      <c r="F60" s="49" t="s">
        <v>45</v>
      </c>
      <c r="G60" s="3" t="s">
        <v>18</v>
      </c>
      <c r="H60" s="3">
        <v>2</v>
      </c>
      <c r="I60" s="3">
        <v>2</v>
      </c>
      <c r="J60" s="3" t="s">
        <v>12</v>
      </c>
      <c r="K60" s="37"/>
      <c r="L60" s="90">
        <f>COUNT(W60:AQ60)</f>
        <v>13</v>
      </c>
      <c r="M60" s="30"/>
      <c r="N60" s="323"/>
      <c r="O60" s="324"/>
      <c r="P60" s="324"/>
      <c r="Q60" s="324"/>
      <c r="R60" s="256"/>
      <c r="S60" s="256"/>
      <c r="T60" s="256"/>
      <c r="U60" s="256"/>
      <c r="V60" s="325"/>
      <c r="W60" s="321">
        <v>1</v>
      </c>
      <c r="X60" s="33">
        <f t="shared" ref="X60:AM64" si="61">W60+1</f>
        <v>2</v>
      </c>
      <c r="Y60" s="33">
        <f t="shared" si="61"/>
        <v>3</v>
      </c>
      <c r="Z60" s="33">
        <f t="shared" si="61"/>
        <v>4</v>
      </c>
      <c r="AA60" s="33">
        <f t="shared" si="61"/>
        <v>5</v>
      </c>
      <c r="AB60" s="282">
        <f t="shared" si="61"/>
        <v>6</v>
      </c>
      <c r="AC60" s="321">
        <f t="shared" si="61"/>
        <v>7</v>
      </c>
      <c r="AD60" s="33">
        <f t="shared" si="61"/>
        <v>8</v>
      </c>
      <c r="AE60" s="33">
        <f t="shared" si="61"/>
        <v>9</v>
      </c>
      <c r="AF60" s="33">
        <f t="shared" si="61"/>
        <v>10</v>
      </c>
      <c r="AG60" s="33">
        <f t="shared" si="61"/>
        <v>11</v>
      </c>
      <c r="AH60" s="33">
        <f t="shared" si="61"/>
        <v>12</v>
      </c>
      <c r="AI60" s="33">
        <f t="shared" si="61"/>
        <v>13</v>
      </c>
      <c r="AJ60" s="61"/>
      <c r="AK60" s="294"/>
      <c r="AL60" s="290"/>
      <c r="AM60" s="284"/>
      <c r="AN60" s="284"/>
      <c r="AO60" s="284"/>
      <c r="AP60" s="284"/>
      <c r="AQ60" s="295"/>
      <c r="AR60" s="292"/>
      <c r="AS60" s="290"/>
      <c r="AT60" s="290"/>
      <c r="AU60" s="290"/>
      <c r="AV60" s="284"/>
      <c r="AW60" s="284"/>
      <c r="AX60" s="284"/>
      <c r="AY60" s="284"/>
      <c r="AZ60" s="284"/>
      <c r="BA60" s="284"/>
      <c r="BB60" s="284"/>
      <c r="BC60" s="284"/>
      <c r="BD60" s="284"/>
      <c r="BE60" s="284"/>
      <c r="BF60" s="295"/>
      <c r="BG60" s="8"/>
      <c r="BH60" s="86"/>
      <c r="BI60" s="86"/>
      <c r="BJ60" s="86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1"/>
      <c r="BV60" s="8"/>
      <c r="BW60" s="86"/>
      <c r="BX60" s="86"/>
      <c r="BY60" s="86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1"/>
    </row>
    <row r="61" spans="2:88" hidden="1" x14ac:dyDescent="0.25">
      <c r="B61" s="284"/>
      <c r="C61" s="265">
        <v>2</v>
      </c>
      <c r="D61" s="265" t="str">
        <f t="shared" si="0"/>
        <v>TRANSFER_EAST_K_2_15</v>
      </c>
      <c r="E61" s="265" t="s">
        <v>21</v>
      </c>
      <c r="F61" s="49" t="s">
        <v>21</v>
      </c>
      <c r="G61" s="3" t="s">
        <v>18</v>
      </c>
      <c r="H61" s="3">
        <v>2</v>
      </c>
      <c r="I61" s="3">
        <v>2</v>
      </c>
      <c r="J61" s="3" t="s">
        <v>12</v>
      </c>
      <c r="K61" s="37"/>
      <c r="L61" s="90">
        <f>COUNT(W61:AQ61)</f>
        <v>15</v>
      </c>
      <c r="M61" s="30"/>
      <c r="N61" s="323"/>
      <c r="O61" s="324"/>
      <c r="P61" s="324"/>
      <c r="Q61" s="324"/>
      <c r="R61" s="256"/>
      <c r="S61" s="256"/>
      <c r="T61" s="256"/>
      <c r="U61" s="256"/>
      <c r="V61" s="325"/>
      <c r="W61" s="328">
        <v>1</v>
      </c>
      <c r="X61" s="3">
        <f t="shared" si="61"/>
        <v>2</v>
      </c>
      <c r="Y61" s="3">
        <f t="shared" si="61"/>
        <v>3</v>
      </c>
      <c r="Z61" s="3">
        <f t="shared" si="61"/>
        <v>4</v>
      </c>
      <c r="AA61" s="3">
        <f t="shared" si="61"/>
        <v>5</v>
      </c>
      <c r="AB61" s="280">
        <f t="shared" si="61"/>
        <v>6</v>
      </c>
      <c r="AC61" s="319">
        <f t="shared" si="61"/>
        <v>7</v>
      </c>
      <c r="AD61" s="3">
        <f t="shared" si="61"/>
        <v>8</v>
      </c>
      <c r="AE61" s="3">
        <f t="shared" si="61"/>
        <v>9</v>
      </c>
      <c r="AF61" s="3">
        <f t="shared" si="61"/>
        <v>10</v>
      </c>
      <c r="AG61" s="3">
        <f t="shared" si="61"/>
        <v>11</v>
      </c>
      <c r="AH61" s="3">
        <f t="shared" si="61"/>
        <v>12</v>
      </c>
      <c r="AI61" s="3">
        <f t="shared" si="61"/>
        <v>13</v>
      </c>
      <c r="AJ61" s="3">
        <f t="shared" si="61"/>
        <v>14</v>
      </c>
      <c r="AK61" s="280">
        <f t="shared" si="61"/>
        <v>15</v>
      </c>
      <c r="AL61" s="93"/>
      <c r="AM61" s="3"/>
      <c r="AN61" s="284"/>
      <c r="AO61" s="284"/>
      <c r="AP61" s="284"/>
      <c r="AQ61" s="295"/>
      <c r="AR61" s="292"/>
      <c r="AS61" s="290"/>
      <c r="AT61" s="290"/>
      <c r="AU61" s="290"/>
      <c r="AV61" s="284"/>
      <c r="AW61" s="284"/>
      <c r="AX61" s="284"/>
      <c r="AY61" s="284"/>
      <c r="AZ61" s="284"/>
      <c r="BA61" s="284"/>
      <c r="BB61" s="284"/>
      <c r="BC61" s="284"/>
      <c r="BD61" s="284"/>
      <c r="BE61" s="284"/>
      <c r="BF61" s="295"/>
      <c r="BG61" s="8"/>
      <c r="BH61" s="86"/>
      <c r="BI61" s="86"/>
      <c r="BJ61" s="86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1"/>
      <c r="BV61" s="8"/>
      <c r="BW61" s="86"/>
      <c r="BX61" s="86"/>
      <c r="BY61" s="86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1"/>
    </row>
    <row r="62" spans="2:88" hidden="1" x14ac:dyDescent="0.25">
      <c r="B62" s="284"/>
      <c r="C62" s="265">
        <v>3</v>
      </c>
      <c r="D62" s="265" t="str">
        <f t="shared" si="0"/>
        <v>SUPPLY_EAST_K_2_15</v>
      </c>
      <c r="E62" s="265" t="s">
        <v>0</v>
      </c>
      <c r="F62" s="34" t="s">
        <v>0</v>
      </c>
      <c r="G62" s="3" t="s">
        <v>18</v>
      </c>
      <c r="H62" s="3">
        <v>2</v>
      </c>
      <c r="I62" s="3">
        <v>2</v>
      </c>
      <c r="J62" s="3" t="s">
        <v>12</v>
      </c>
      <c r="K62" s="90"/>
      <c r="L62" s="90">
        <f>COUNT(AC62:BF62)</f>
        <v>13</v>
      </c>
      <c r="M62" s="30"/>
      <c r="N62" s="323"/>
      <c r="O62" s="324"/>
      <c r="P62" s="324"/>
      <c r="Q62" s="324"/>
      <c r="R62" s="256"/>
      <c r="S62" s="256"/>
      <c r="T62" s="256"/>
      <c r="U62" s="256"/>
      <c r="V62" s="325"/>
      <c r="W62" s="326"/>
      <c r="X62" s="256"/>
      <c r="Y62" s="256"/>
      <c r="Z62" s="256"/>
      <c r="AA62" s="256"/>
      <c r="AB62" s="341"/>
      <c r="AC62" s="319">
        <v>1</v>
      </c>
      <c r="AD62" s="3">
        <f>AC62+1</f>
        <v>2</v>
      </c>
      <c r="AE62" s="3">
        <f t="shared" si="61"/>
        <v>3</v>
      </c>
      <c r="AF62" s="3">
        <f t="shared" si="61"/>
        <v>4</v>
      </c>
      <c r="AG62" s="3">
        <f t="shared" si="61"/>
        <v>5</v>
      </c>
      <c r="AH62" s="3">
        <f t="shared" si="61"/>
        <v>6</v>
      </c>
      <c r="AI62" s="3">
        <f t="shared" si="61"/>
        <v>7</v>
      </c>
      <c r="AJ62" s="3">
        <f t="shared" si="61"/>
        <v>8</v>
      </c>
      <c r="AK62" s="280">
        <f t="shared" si="61"/>
        <v>9</v>
      </c>
      <c r="AL62" s="86">
        <f t="shared" si="61"/>
        <v>10</v>
      </c>
      <c r="AM62" s="86">
        <f t="shared" si="61"/>
        <v>11</v>
      </c>
      <c r="AN62" s="86">
        <f t="shared" ref="AN62:AO62" si="62">AM62+1</f>
        <v>12</v>
      </c>
      <c r="AO62" s="86">
        <f t="shared" si="62"/>
        <v>13</v>
      </c>
      <c r="AP62" s="93"/>
      <c r="AQ62" s="21"/>
      <c r="AR62" s="9"/>
      <c r="AS62" s="93"/>
      <c r="AT62" s="93"/>
      <c r="AU62" s="93"/>
      <c r="AV62" s="4"/>
      <c r="AW62" s="4"/>
      <c r="AX62" s="4"/>
      <c r="AY62" s="4"/>
      <c r="AZ62" s="4"/>
      <c r="BA62" s="284"/>
      <c r="BB62" s="284"/>
      <c r="BC62" s="284"/>
      <c r="BD62" s="284"/>
      <c r="BE62" s="284"/>
      <c r="BF62" s="295"/>
      <c r="BG62" s="8"/>
      <c r="BH62" s="86"/>
      <c r="BI62" s="86"/>
      <c r="BJ62" s="86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1"/>
      <c r="BV62" s="8"/>
      <c r="BW62" s="86"/>
      <c r="BX62" s="86"/>
      <c r="BY62" s="86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1"/>
    </row>
    <row r="63" spans="2:88" x14ac:dyDescent="0.25">
      <c r="B63" s="284"/>
      <c r="C63" s="265">
        <v>4</v>
      </c>
      <c r="D63" s="265" t="str">
        <f t="shared" si="0"/>
        <v>EMPTY_EAST_K_2_15</v>
      </c>
      <c r="E63" s="265" t="s">
        <v>0</v>
      </c>
      <c r="F63" s="34" t="s">
        <v>32</v>
      </c>
      <c r="G63" s="3" t="s">
        <v>18</v>
      </c>
      <c r="H63" s="3">
        <v>2</v>
      </c>
      <c r="I63" s="3">
        <v>2</v>
      </c>
      <c r="J63" s="3" t="s">
        <v>12</v>
      </c>
      <c r="K63" s="90"/>
      <c r="L63" s="90">
        <f>COUNT(N63:AQ63)</f>
        <v>24</v>
      </c>
      <c r="M63" s="30"/>
      <c r="N63" s="292">
        <v>1</v>
      </c>
      <c r="O63" s="86">
        <f t="shared" ref="O63:AD64" si="63">N63+1</f>
        <v>2</v>
      </c>
      <c r="P63" s="86">
        <f t="shared" si="63"/>
        <v>3</v>
      </c>
      <c r="Q63" s="86">
        <f t="shared" si="63"/>
        <v>4</v>
      </c>
      <c r="R63" s="86">
        <f t="shared" si="63"/>
        <v>5</v>
      </c>
      <c r="S63" s="86">
        <f t="shared" si="63"/>
        <v>6</v>
      </c>
      <c r="T63" s="86">
        <f t="shared" si="63"/>
        <v>7</v>
      </c>
      <c r="U63" s="86">
        <f t="shared" si="63"/>
        <v>8</v>
      </c>
      <c r="V63" s="336">
        <f t="shared" si="63"/>
        <v>9</v>
      </c>
      <c r="W63" s="319">
        <f t="shared" si="63"/>
        <v>10</v>
      </c>
      <c r="X63" s="3">
        <f t="shared" si="63"/>
        <v>11</v>
      </c>
      <c r="Y63" s="3">
        <f t="shared" si="63"/>
        <v>12</v>
      </c>
      <c r="Z63" s="3">
        <f t="shared" si="63"/>
        <v>13</v>
      </c>
      <c r="AA63" s="3">
        <f t="shared" si="63"/>
        <v>14</v>
      </c>
      <c r="AB63" s="280">
        <f t="shared" si="63"/>
        <v>15</v>
      </c>
      <c r="AC63" s="319">
        <f t="shared" si="63"/>
        <v>16</v>
      </c>
      <c r="AD63" s="3">
        <f t="shared" si="63"/>
        <v>17</v>
      </c>
      <c r="AE63" s="3">
        <f t="shared" si="61"/>
        <v>18</v>
      </c>
      <c r="AF63" s="3">
        <f t="shared" si="61"/>
        <v>19</v>
      </c>
      <c r="AG63" s="3">
        <f t="shared" si="61"/>
        <v>20</v>
      </c>
      <c r="AH63" s="3">
        <f t="shared" si="61"/>
        <v>21</v>
      </c>
      <c r="AI63" s="3">
        <f t="shared" si="61"/>
        <v>22</v>
      </c>
      <c r="AJ63" s="3">
        <f t="shared" si="61"/>
        <v>23</v>
      </c>
      <c r="AK63" s="280">
        <f t="shared" si="61"/>
        <v>24</v>
      </c>
      <c r="AL63" s="324"/>
      <c r="AM63" s="258"/>
      <c r="AN63" s="303"/>
      <c r="AO63" s="284"/>
      <c r="AP63" s="284"/>
      <c r="AQ63" s="295"/>
      <c r="AR63" s="292"/>
      <c r="AS63" s="290"/>
      <c r="AT63" s="290"/>
      <c r="AU63" s="290"/>
      <c r="AV63" s="284"/>
      <c r="AW63" s="284"/>
      <c r="AX63" s="284"/>
      <c r="AY63" s="284"/>
      <c r="AZ63" s="284"/>
      <c r="BA63" s="284"/>
      <c r="BB63" s="284"/>
      <c r="BC63" s="284"/>
      <c r="BD63" s="284"/>
      <c r="BE63" s="284"/>
      <c r="BF63" s="295"/>
      <c r="BG63" s="8"/>
      <c r="BH63" s="86"/>
      <c r="BI63" s="86"/>
      <c r="BJ63" s="86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1"/>
      <c r="BV63" s="8"/>
      <c r="BW63" s="86"/>
      <c r="BX63" s="86"/>
      <c r="BY63" s="86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1"/>
    </row>
    <row r="64" spans="2:88" hidden="1" x14ac:dyDescent="0.25">
      <c r="B64" s="284"/>
      <c r="C64" s="265">
        <v>5</v>
      </c>
      <c r="D64" s="265" t="str">
        <f t="shared" si="0"/>
        <v>PREPARE_EAST_K_2_15</v>
      </c>
      <c r="E64" s="265" t="s">
        <v>0</v>
      </c>
      <c r="F64" s="49" t="s">
        <v>46</v>
      </c>
      <c r="G64" s="3" t="s">
        <v>18</v>
      </c>
      <c r="H64" s="3">
        <v>2</v>
      </c>
      <c r="I64" s="3">
        <v>2</v>
      </c>
      <c r="J64" s="3" t="s">
        <v>12</v>
      </c>
      <c r="K64" s="37"/>
      <c r="L64" s="90">
        <f>COUNT(N64:AQ64)</f>
        <v>26</v>
      </c>
      <c r="M64" s="30"/>
      <c r="N64" s="292">
        <v>1</v>
      </c>
      <c r="O64" s="86">
        <f t="shared" si="63"/>
        <v>2</v>
      </c>
      <c r="P64" s="86">
        <f t="shared" si="63"/>
        <v>3</v>
      </c>
      <c r="Q64" s="86">
        <f t="shared" si="63"/>
        <v>4</v>
      </c>
      <c r="R64" s="86">
        <f t="shared" si="63"/>
        <v>5</v>
      </c>
      <c r="S64" s="86">
        <f t="shared" si="63"/>
        <v>6</v>
      </c>
      <c r="T64" s="86">
        <f t="shared" si="63"/>
        <v>7</v>
      </c>
      <c r="U64" s="86">
        <f t="shared" si="63"/>
        <v>8</v>
      </c>
      <c r="V64" s="336">
        <f t="shared" si="63"/>
        <v>9</v>
      </c>
      <c r="W64" s="319">
        <f t="shared" si="63"/>
        <v>10</v>
      </c>
      <c r="X64" s="3">
        <f t="shared" si="63"/>
        <v>11</v>
      </c>
      <c r="Y64" s="3">
        <f t="shared" si="63"/>
        <v>12</v>
      </c>
      <c r="Z64" s="3">
        <f t="shared" si="63"/>
        <v>13</v>
      </c>
      <c r="AA64" s="3">
        <f t="shared" si="63"/>
        <v>14</v>
      </c>
      <c r="AB64" s="280">
        <f t="shared" si="63"/>
        <v>15</v>
      </c>
      <c r="AC64" s="319">
        <f t="shared" si="63"/>
        <v>16</v>
      </c>
      <c r="AD64" s="3">
        <f t="shared" si="63"/>
        <v>17</v>
      </c>
      <c r="AE64" s="3">
        <f t="shared" si="61"/>
        <v>18</v>
      </c>
      <c r="AF64" s="3">
        <f t="shared" si="61"/>
        <v>19</v>
      </c>
      <c r="AG64" s="3">
        <f t="shared" si="61"/>
        <v>20</v>
      </c>
      <c r="AH64" s="3">
        <f t="shared" si="61"/>
        <v>21</v>
      </c>
      <c r="AI64" s="3">
        <f t="shared" si="61"/>
        <v>22</v>
      </c>
      <c r="AJ64" s="3">
        <f t="shared" si="61"/>
        <v>23</v>
      </c>
      <c r="AK64" s="280">
        <f t="shared" si="61"/>
        <v>24</v>
      </c>
      <c r="AL64" s="86">
        <f t="shared" si="61"/>
        <v>25</v>
      </c>
      <c r="AM64" s="86">
        <f t="shared" si="61"/>
        <v>26</v>
      </c>
      <c r="AN64" s="258"/>
      <c r="AO64" s="258"/>
      <c r="AP64" s="284"/>
      <c r="AQ64" s="295"/>
      <c r="AR64" s="292"/>
      <c r="AS64" s="290"/>
      <c r="AT64" s="290"/>
      <c r="AU64" s="290"/>
      <c r="AV64" s="284"/>
      <c r="AW64" s="284"/>
      <c r="AX64" s="284"/>
      <c r="AY64" s="284"/>
      <c r="AZ64" s="284"/>
      <c r="BA64" s="284"/>
      <c r="BB64" s="284"/>
      <c r="BC64" s="284"/>
      <c r="BD64" s="284"/>
      <c r="BE64" s="284"/>
      <c r="BF64" s="295"/>
      <c r="BG64" s="8"/>
      <c r="BH64" s="86"/>
      <c r="BI64" s="86"/>
      <c r="BJ64" s="86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1"/>
      <c r="BV64" s="8"/>
      <c r="BW64" s="86"/>
      <c r="BX64" s="86"/>
      <c r="BY64" s="86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1"/>
    </row>
    <row r="65" spans="1:88" hidden="1" x14ac:dyDescent="0.25">
      <c r="B65" s="284"/>
      <c r="C65" s="265">
        <v>6</v>
      </c>
      <c r="D65" s="265" t="str">
        <f t="shared" si="0"/>
        <v>COUNTDOWN_EAST_K_2_15</v>
      </c>
      <c r="E65" s="265"/>
      <c r="F65" s="34" t="s">
        <v>33</v>
      </c>
      <c r="G65" s="3" t="s">
        <v>18</v>
      </c>
      <c r="H65" s="3">
        <v>2</v>
      </c>
      <c r="I65" s="3">
        <v>2</v>
      </c>
      <c r="J65" s="3" t="s">
        <v>12</v>
      </c>
      <c r="K65" s="32"/>
      <c r="L65" s="32"/>
      <c r="M65" s="30"/>
      <c r="N65" s="8"/>
      <c r="O65" s="86"/>
      <c r="P65" s="86"/>
      <c r="Q65" s="86"/>
      <c r="R65" s="3"/>
      <c r="S65" s="3"/>
      <c r="T65" s="3"/>
      <c r="U65" s="3"/>
      <c r="V65" s="30"/>
      <c r="W65" s="319"/>
      <c r="X65" s="3"/>
      <c r="Y65" s="3"/>
      <c r="Z65" s="3"/>
      <c r="AA65" s="3"/>
      <c r="AB65" s="280"/>
      <c r="AC65" s="319"/>
      <c r="AD65" s="3"/>
      <c r="AE65" s="3"/>
      <c r="AF65" s="3"/>
      <c r="AG65" s="3"/>
      <c r="AH65" s="3"/>
      <c r="AI65" s="3"/>
      <c r="AJ65" s="3"/>
      <c r="AK65" s="280"/>
      <c r="AL65" s="86"/>
      <c r="AM65" s="3"/>
      <c r="AN65" s="3"/>
      <c r="AO65" s="3"/>
      <c r="AP65" s="3"/>
      <c r="AQ65" s="31"/>
      <c r="AR65" s="8"/>
      <c r="AS65" s="86"/>
      <c r="AT65" s="86"/>
      <c r="AU65" s="86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1"/>
      <c r="BG65" s="8"/>
      <c r="BH65" s="86"/>
      <c r="BI65" s="86"/>
      <c r="BJ65" s="86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1"/>
      <c r="BV65" s="8"/>
      <c r="BW65" s="86"/>
      <c r="BX65" s="86"/>
      <c r="BY65" s="86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1"/>
    </row>
    <row r="66" spans="1:88" hidden="1" x14ac:dyDescent="0.25">
      <c r="B66" s="265">
        <v>8</v>
      </c>
      <c r="C66" s="265">
        <v>1</v>
      </c>
      <c r="D66" s="265" t="str">
        <f t="shared" si="0"/>
        <v>SORTING_WEST_H_1_15</v>
      </c>
      <c r="E66" s="265" t="s">
        <v>35</v>
      </c>
      <c r="F66" s="49" t="s">
        <v>45</v>
      </c>
      <c r="G66" s="3" t="s">
        <v>19</v>
      </c>
      <c r="H66" s="3">
        <v>1</v>
      </c>
      <c r="I66" s="3">
        <v>1</v>
      </c>
      <c r="J66" s="3" t="s">
        <v>9</v>
      </c>
      <c r="K66" s="37"/>
      <c r="L66" s="90">
        <f>COUNT(W66:AQ66)</f>
        <v>0</v>
      </c>
      <c r="M66" s="30" t="s">
        <v>28</v>
      </c>
      <c r="N66" s="323"/>
      <c r="O66" s="324"/>
      <c r="P66" s="324"/>
      <c r="Q66" s="324"/>
      <c r="R66" s="256"/>
      <c r="S66" s="256"/>
      <c r="T66" s="256"/>
      <c r="U66" s="256"/>
      <c r="V66" s="325"/>
      <c r="W66" s="327"/>
      <c r="X66" s="284"/>
      <c r="Y66" s="284"/>
      <c r="Z66" s="284"/>
      <c r="AA66" s="284"/>
      <c r="AB66" s="293"/>
      <c r="AC66" s="328"/>
      <c r="AD66" s="284"/>
      <c r="AE66" s="284"/>
      <c r="AF66" s="284"/>
      <c r="AG66" s="284"/>
      <c r="AH66" s="284"/>
      <c r="AI66" s="284"/>
      <c r="AJ66" s="284"/>
      <c r="AK66" s="293"/>
      <c r="AL66" s="290"/>
      <c r="AM66" s="284"/>
      <c r="AN66" s="284"/>
      <c r="AO66" s="284"/>
      <c r="AP66" s="284"/>
      <c r="AQ66" s="295"/>
      <c r="AR66" s="292"/>
      <c r="AS66" s="290"/>
      <c r="AT66" s="290"/>
      <c r="AU66" s="290"/>
      <c r="AV66" s="284"/>
      <c r="AW66" s="284"/>
      <c r="AX66" s="284"/>
      <c r="AY66" s="284"/>
      <c r="AZ66" s="284"/>
      <c r="BA66" s="284"/>
      <c r="BB66" s="284"/>
      <c r="BC66" s="284"/>
      <c r="BD66" s="284"/>
      <c r="BE66" s="284"/>
      <c r="BF66" s="295"/>
      <c r="BG66" s="292"/>
      <c r="BH66" s="290"/>
      <c r="BI66" s="290"/>
      <c r="BJ66" s="290"/>
      <c r="BK66" s="284"/>
      <c r="BL66" s="284"/>
      <c r="BM66" s="284"/>
      <c r="BN66" s="284"/>
      <c r="BO66" s="284"/>
      <c r="BP66" s="284"/>
      <c r="BQ66" s="284"/>
      <c r="BR66" s="284"/>
      <c r="BS66" s="284"/>
      <c r="BT66" s="284"/>
      <c r="BU66" s="295"/>
      <c r="BV66" s="292"/>
      <c r="BW66" s="290"/>
      <c r="BX66" s="290"/>
      <c r="BY66" s="290"/>
      <c r="BZ66" s="284"/>
      <c r="CA66" s="284"/>
      <c r="CB66" s="284"/>
      <c r="CC66" s="284"/>
      <c r="CD66" s="284"/>
      <c r="CE66" s="284"/>
      <c r="CF66" s="284"/>
      <c r="CG66" s="284"/>
      <c r="CH66" s="284"/>
      <c r="CI66" s="284"/>
      <c r="CJ66" s="295"/>
    </row>
    <row r="67" spans="1:88" hidden="1" x14ac:dyDescent="0.25">
      <c r="B67" s="265">
        <v>8</v>
      </c>
      <c r="C67" s="265">
        <v>2</v>
      </c>
      <c r="D67" s="265" t="str">
        <f t="shared" si="0"/>
        <v>TRANSFER_WEST_H_1_15</v>
      </c>
      <c r="E67" s="265" t="s">
        <v>21</v>
      </c>
      <c r="F67" s="49" t="s">
        <v>21</v>
      </c>
      <c r="G67" s="3" t="s">
        <v>19</v>
      </c>
      <c r="H67" s="3">
        <v>1</v>
      </c>
      <c r="I67" s="3">
        <v>1</v>
      </c>
      <c r="J67" s="3" t="s">
        <v>9</v>
      </c>
      <c r="K67" s="37"/>
      <c r="L67" s="90">
        <f>COUNT(W67:AQ67)</f>
        <v>1</v>
      </c>
      <c r="M67" s="30" t="s">
        <v>28</v>
      </c>
      <c r="N67" s="323"/>
      <c r="O67" s="324"/>
      <c r="P67" s="324"/>
      <c r="Q67" s="324"/>
      <c r="R67" s="256"/>
      <c r="S67" s="256"/>
      <c r="T67" s="256"/>
      <c r="U67" s="256"/>
      <c r="V67" s="325"/>
      <c r="W67" s="328">
        <v>1</v>
      </c>
      <c r="X67" s="258"/>
      <c r="Y67" s="258"/>
      <c r="Z67" s="284"/>
      <c r="AA67" s="284"/>
      <c r="AB67" s="293"/>
      <c r="AC67" s="328"/>
      <c r="AD67" s="284"/>
      <c r="AE67" s="284"/>
      <c r="AF67" s="284"/>
      <c r="AG67" s="284"/>
      <c r="AH67" s="284"/>
      <c r="AI67" s="284"/>
      <c r="AJ67" s="284"/>
      <c r="AK67" s="293"/>
      <c r="AL67" s="290"/>
      <c r="AM67" s="284"/>
      <c r="AN67" s="284"/>
      <c r="AO67" s="284"/>
      <c r="AP67" s="284"/>
      <c r="AQ67" s="295"/>
      <c r="AR67" s="292"/>
      <c r="AS67" s="290"/>
      <c r="AT67" s="290"/>
      <c r="AU67" s="290"/>
      <c r="AV67" s="284"/>
      <c r="AW67" s="284"/>
      <c r="AX67" s="284"/>
      <c r="AY67" s="284"/>
      <c r="AZ67" s="284"/>
      <c r="BA67" s="284"/>
      <c r="BB67" s="284"/>
      <c r="BC67" s="284"/>
      <c r="BD67" s="284"/>
      <c r="BE67" s="284"/>
      <c r="BF67" s="295"/>
      <c r="BG67" s="292"/>
      <c r="BH67" s="290"/>
      <c r="BI67" s="290"/>
      <c r="BJ67" s="290"/>
      <c r="BK67" s="284"/>
      <c r="BL67" s="284"/>
      <c r="BM67" s="284"/>
      <c r="BN67" s="284"/>
      <c r="BO67" s="284"/>
      <c r="BP67" s="284"/>
      <c r="BQ67" s="284"/>
      <c r="BR67" s="284"/>
      <c r="BS67" s="284"/>
      <c r="BT67" s="284"/>
      <c r="BU67" s="295"/>
      <c r="BV67" s="292"/>
      <c r="BW67" s="290"/>
      <c r="BX67" s="290"/>
      <c r="BY67" s="290"/>
      <c r="BZ67" s="284"/>
      <c r="CA67" s="284"/>
      <c r="CB67" s="284"/>
      <c r="CC67" s="284"/>
      <c r="CD67" s="284"/>
      <c r="CE67" s="284"/>
      <c r="CF67" s="284"/>
      <c r="CG67" s="284"/>
      <c r="CH67" s="284"/>
      <c r="CI67" s="284"/>
      <c r="CJ67" s="295"/>
    </row>
    <row r="68" spans="1:88" hidden="1" x14ac:dyDescent="0.25">
      <c r="B68" s="265">
        <v>8</v>
      </c>
      <c r="C68" s="265">
        <v>3</v>
      </c>
      <c r="D68" s="265" t="str">
        <f t="shared" si="0"/>
        <v>SUPPLY_WEST_H_1_15</v>
      </c>
      <c r="E68" s="265" t="s">
        <v>0</v>
      </c>
      <c r="F68" s="34" t="s">
        <v>0</v>
      </c>
      <c r="G68" s="3" t="s">
        <v>19</v>
      </c>
      <c r="H68" s="3">
        <v>1</v>
      </c>
      <c r="I68" s="3">
        <v>1</v>
      </c>
      <c r="J68" s="3" t="s">
        <v>9</v>
      </c>
      <c r="K68" s="90"/>
      <c r="L68" s="90">
        <f>COUNT(AC68:BF68)</f>
        <v>0</v>
      </c>
      <c r="M68" s="30" t="s">
        <v>28</v>
      </c>
      <c r="N68" s="323"/>
      <c r="O68" s="324"/>
      <c r="P68" s="324"/>
      <c r="Q68" s="324"/>
      <c r="R68" s="256"/>
      <c r="S68" s="256"/>
      <c r="T68" s="256"/>
      <c r="U68" s="256"/>
      <c r="V68" s="325"/>
      <c r="W68" s="326"/>
      <c r="X68" s="256"/>
      <c r="Y68" s="256"/>
      <c r="Z68" s="256"/>
      <c r="AA68" s="256"/>
      <c r="AB68" s="341"/>
      <c r="AC68" s="327"/>
      <c r="AD68" s="258"/>
      <c r="AE68" s="258"/>
      <c r="AF68" s="258"/>
      <c r="AG68" s="258"/>
      <c r="AH68" s="258"/>
      <c r="AI68" s="258"/>
      <c r="AJ68" s="258"/>
      <c r="AK68" s="300"/>
      <c r="AL68" s="299"/>
      <c r="AM68" s="258"/>
      <c r="AN68" s="284"/>
      <c r="AO68" s="284"/>
      <c r="AP68" s="284"/>
      <c r="AQ68" s="295"/>
      <c r="AR68" s="296"/>
      <c r="AS68" s="297"/>
      <c r="AT68" s="297"/>
      <c r="AU68" s="297"/>
      <c r="AV68" s="284"/>
      <c r="AW68" s="284"/>
      <c r="AX68" s="284"/>
      <c r="AY68" s="284"/>
      <c r="AZ68" s="284"/>
      <c r="BA68" s="284"/>
      <c r="BB68" s="284"/>
      <c r="BC68" s="284"/>
      <c r="BD68" s="284"/>
      <c r="BE68" s="284"/>
      <c r="BF68" s="295"/>
      <c r="BG68" s="296"/>
      <c r="BH68" s="297"/>
      <c r="BI68" s="297"/>
      <c r="BJ68" s="297"/>
      <c r="BK68" s="284"/>
      <c r="BL68" s="284"/>
      <c r="BM68" s="284"/>
      <c r="BN68" s="284"/>
      <c r="BO68" s="284"/>
      <c r="BP68" s="284"/>
      <c r="BQ68" s="284"/>
      <c r="BR68" s="284"/>
      <c r="BS68" s="284"/>
      <c r="BT68" s="284"/>
      <c r="BU68" s="295"/>
      <c r="BV68" s="292"/>
      <c r="BW68" s="290"/>
      <c r="BX68" s="290"/>
      <c r="BY68" s="290"/>
      <c r="BZ68" s="284"/>
      <c r="CA68" s="284"/>
      <c r="CB68" s="284"/>
      <c r="CC68" s="284"/>
      <c r="CD68" s="284"/>
      <c r="CE68" s="284"/>
      <c r="CF68" s="284"/>
      <c r="CG68" s="284"/>
      <c r="CH68" s="284"/>
      <c r="CI68" s="284"/>
      <c r="CJ68" s="295"/>
    </row>
    <row r="69" spans="1:88" x14ac:dyDescent="0.25">
      <c r="B69" s="265">
        <f>B68</f>
        <v>8</v>
      </c>
      <c r="C69" s="265">
        <v>4</v>
      </c>
      <c r="D69" s="265" t="str">
        <f t="shared" si="0"/>
        <v>EMPTY_WEST_H_1_15</v>
      </c>
      <c r="E69" s="265" t="s">
        <v>0</v>
      </c>
      <c r="F69" s="34" t="s">
        <v>32</v>
      </c>
      <c r="G69" s="3" t="s">
        <v>19</v>
      </c>
      <c r="H69" s="3">
        <v>1</v>
      </c>
      <c r="I69" s="3">
        <v>1</v>
      </c>
      <c r="J69" s="3" t="s">
        <v>9</v>
      </c>
      <c r="K69" s="90"/>
      <c r="L69" s="90">
        <f>COUNT(N69:AQ69)</f>
        <v>11</v>
      </c>
      <c r="M69" s="30" t="s">
        <v>28</v>
      </c>
      <c r="N69" s="292">
        <v>1</v>
      </c>
      <c r="O69" s="86">
        <f t="shared" ref="O69:Z70" si="64">N69+1</f>
        <v>2</v>
      </c>
      <c r="P69" s="86">
        <f t="shared" si="64"/>
        <v>3</v>
      </c>
      <c r="Q69" s="86">
        <f t="shared" si="64"/>
        <v>4</v>
      </c>
      <c r="R69" s="86">
        <f t="shared" si="64"/>
        <v>5</v>
      </c>
      <c r="S69" s="86">
        <f t="shared" si="64"/>
        <v>6</v>
      </c>
      <c r="T69" s="86">
        <f t="shared" si="64"/>
        <v>7</v>
      </c>
      <c r="U69" s="86">
        <f t="shared" si="64"/>
        <v>8</v>
      </c>
      <c r="V69" s="336">
        <f t="shared" si="64"/>
        <v>9</v>
      </c>
      <c r="W69" s="319">
        <f t="shared" si="64"/>
        <v>10</v>
      </c>
      <c r="X69" s="3">
        <f t="shared" si="64"/>
        <v>11</v>
      </c>
      <c r="Y69" s="256"/>
      <c r="Z69" s="258"/>
      <c r="AA69" s="284"/>
      <c r="AB69" s="293"/>
      <c r="AC69" s="328"/>
      <c r="AD69" s="284"/>
      <c r="AE69" s="284"/>
      <c r="AF69" s="284"/>
      <c r="AG69" s="284"/>
      <c r="AH69" s="284"/>
      <c r="AI69" s="284"/>
      <c r="AJ69" s="284"/>
      <c r="AK69" s="293"/>
      <c r="AL69" s="290"/>
      <c r="AM69" s="284"/>
      <c r="AN69" s="284"/>
      <c r="AO69" s="284"/>
      <c r="AP69" s="284"/>
      <c r="AQ69" s="295"/>
      <c r="AR69" s="292"/>
      <c r="AS69" s="290"/>
      <c r="AT69" s="290"/>
      <c r="AU69" s="290"/>
      <c r="AV69" s="284"/>
      <c r="AW69" s="284"/>
      <c r="AX69" s="284"/>
      <c r="AY69" s="284"/>
      <c r="AZ69" s="284"/>
      <c r="BA69" s="284"/>
      <c r="BB69" s="284"/>
      <c r="BC69" s="284"/>
      <c r="BD69" s="284"/>
      <c r="BE69" s="284"/>
      <c r="BF69" s="295"/>
      <c r="BG69" s="292"/>
      <c r="BH69" s="290"/>
      <c r="BI69" s="290"/>
      <c r="BJ69" s="290"/>
      <c r="BK69" s="284"/>
      <c r="BL69" s="284"/>
      <c r="BM69" s="284"/>
      <c r="BN69" s="284"/>
      <c r="BO69" s="284"/>
      <c r="BP69" s="284"/>
      <c r="BQ69" s="284"/>
      <c r="BR69" s="284"/>
      <c r="BS69" s="284"/>
      <c r="BT69" s="284"/>
      <c r="BU69" s="295"/>
      <c r="BV69" s="292"/>
      <c r="BW69" s="290"/>
      <c r="BX69" s="290"/>
      <c r="BY69" s="290"/>
      <c r="BZ69" s="284"/>
      <c r="CA69" s="284"/>
      <c r="CB69" s="284"/>
      <c r="CC69" s="284"/>
      <c r="CD69" s="284"/>
      <c r="CE69" s="284"/>
      <c r="CF69" s="284"/>
      <c r="CG69" s="284"/>
      <c r="CH69" s="284"/>
      <c r="CI69" s="284"/>
      <c r="CJ69" s="295"/>
    </row>
    <row r="70" spans="1:88" hidden="1" x14ac:dyDescent="0.25">
      <c r="B70" s="265">
        <v>8</v>
      </c>
      <c r="C70" s="265">
        <v>5</v>
      </c>
      <c r="D70" s="265" t="str">
        <f t="shared" si="0"/>
        <v>PREPARE_WEST_H_1_15</v>
      </c>
      <c r="E70" s="265" t="s">
        <v>0</v>
      </c>
      <c r="F70" s="49" t="s">
        <v>46</v>
      </c>
      <c r="G70" s="3" t="s">
        <v>19</v>
      </c>
      <c r="H70" s="3">
        <v>1</v>
      </c>
      <c r="I70" s="3">
        <v>1</v>
      </c>
      <c r="J70" s="3" t="s">
        <v>9</v>
      </c>
      <c r="K70" s="37"/>
      <c r="L70" s="90">
        <f>COUNT(N70:AQ70)</f>
        <v>13</v>
      </c>
      <c r="M70" s="30" t="s">
        <v>28</v>
      </c>
      <c r="N70" s="292">
        <v>1</v>
      </c>
      <c r="O70" s="86">
        <f t="shared" si="64"/>
        <v>2</v>
      </c>
      <c r="P70" s="86">
        <f t="shared" si="64"/>
        <v>3</v>
      </c>
      <c r="Q70" s="86">
        <f t="shared" si="64"/>
        <v>4</v>
      </c>
      <c r="R70" s="86">
        <f t="shared" si="64"/>
        <v>5</v>
      </c>
      <c r="S70" s="86">
        <f t="shared" si="64"/>
        <v>6</v>
      </c>
      <c r="T70" s="86">
        <f t="shared" si="64"/>
        <v>7</v>
      </c>
      <c r="U70" s="86">
        <f t="shared" si="64"/>
        <v>8</v>
      </c>
      <c r="V70" s="336">
        <f t="shared" si="64"/>
        <v>9</v>
      </c>
      <c r="W70" s="319">
        <f t="shared" si="64"/>
        <v>10</v>
      </c>
      <c r="X70" s="3">
        <f t="shared" si="64"/>
        <v>11</v>
      </c>
      <c r="Y70" s="3">
        <f t="shared" si="64"/>
        <v>12</v>
      </c>
      <c r="Z70" s="3">
        <f t="shared" si="64"/>
        <v>13</v>
      </c>
      <c r="AA70" s="258"/>
      <c r="AB70" s="300"/>
      <c r="AC70" s="328"/>
      <c r="AD70" s="284"/>
      <c r="AE70" s="284"/>
      <c r="AF70" s="284"/>
      <c r="AG70" s="284"/>
      <c r="AH70" s="284"/>
      <c r="AI70" s="284"/>
      <c r="AJ70" s="284"/>
      <c r="AK70" s="293"/>
      <c r="AL70" s="290"/>
      <c r="AM70" s="284"/>
      <c r="AN70" s="284"/>
      <c r="AO70" s="284"/>
      <c r="AP70" s="284"/>
      <c r="AQ70" s="295"/>
      <c r="AR70" s="292"/>
      <c r="AS70" s="290"/>
      <c r="AT70" s="290"/>
      <c r="AU70" s="290"/>
      <c r="AV70" s="284"/>
      <c r="AW70" s="284"/>
      <c r="AX70" s="284"/>
      <c r="AY70" s="284"/>
      <c r="AZ70" s="284"/>
      <c r="BA70" s="284"/>
      <c r="BB70" s="284"/>
      <c r="BC70" s="284"/>
      <c r="BD70" s="284"/>
      <c r="BE70" s="284"/>
      <c r="BF70" s="295"/>
      <c r="BG70" s="292"/>
      <c r="BH70" s="290"/>
      <c r="BI70" s="290"/>
      <c r="BJ70" s="290"/>
      <c r="BK70" s="284"/>
      <c r="BL70" s="284"/>
      <c r="BM70" s="284"/>
      <c r="BN70" s="284"/>
      <c r="BO70" s="284"/>
      <c r="BP70" s="284"/>
      <c r="BQ70" s="284"/>
      <c r="BR70" s="284"/>
      <c r="BS70" s="284"/>
      <c r="BT70" s="284"/>
      <c r="BU70" s="295"/>
      <c r="BV70" s="292"/>
      <c r="BW70" s="290"/>
      <c r="BX70" s="290"/>
      <c r="BY70" s="290"/>
      <c r="BZ70" s="284"/>
      <c r="CA70" s="284"/>
      <c r="CB70" s="284"/>
      <c r="CC70" s="284"/>
      <c r="CD70" s="284"/>
      <c r="CE70" s="284"/>
      <c r="CF70" s="284"/>
      <c r="CG70" s="284"/>
      <c r="CH70" s="284"/>
      <c r="CI70" s="284"/>
      <c r="CJ70" s="295"/>
    </row>
    <row r="71" spans="1:88" hidden="1" x14ac:dyDescent="0.25">
      <c r="B71" s="265">
        <f>B69</f>
        <v>8</v>
      </c>
      <c r="C71" s="265">
        <v>6</v>
      </c>
      <c r="D71" s="265" t="str">
        <f t="shared" si="0"/>
        <v>COUNTDOWN_WEST_H_1_15</v>
      </c>
      <c r="E71" s="265"/>
      <c r="F71" s="34" t="s">
        <v>33</v>
      </c>
      <c r="G71" s="3" t="s">
        <v>19</v>
      </c>
      <c r="H71" s="3">
        <v>1</v>
      </c>
      <c r="I71" s="3">
        <v>1</v>
      </c>
      <c r="J71" s="3" t="s">
        <v>9</v>
      </c>
      <c r="K71" s="32"/>
      <c r="L71" s="32"/>
      <c r="M71" s="30" t="s">
        <v>28</v>
      </c>
      <c r="N71" s="292">
        <v>15</v>
      </c>
      <c r="O71" s="290">
        <v>14</v>
      </c>
      <c r="P71" s="290">
        <v>13</v>
      </c>
      <c r="Q71" s="290">
        <v>12</v>
      </c>
      <c r="R71" s="284">
        <v>11</v>
      </c>
      <c r="S71" s="284">
        <v>10</v>
      </c>
      <c r="T71" s="284">
        <v>9</v>
      </c>
      <c r="U71" s="284">
        <v>8</v>
      </c>
      <c r="V71" s="298">
        <v>7</v>
      </c>
      <c r="W71" s="328">
        <v>6</v>
      </c>
      <c r="X71" s="284">
        <v>5</v>
      </c>
      <c r="Y71" s="284">
        <v>4</v>
      </c>
      <c r="Z71" s="284">
        <v>3</v>
      </c>
      <c r="AA71" s="284">
        <v>2</v>
      </c>
      <c r="AB71" s="293">
        <v>1</v>
      </c>
      <c r="AC71" s="328">
        <v>15</v>
      </c>
      <c r="AD71" s="284">
        <v>14</v>
      </c>
      <c r="AE71" s="284">
        <v>13</v>
      </c>
      <c r="AF71" s="284">
        <v>12</v>
      </c>
      <c r="AG71" s="284">
        <v>11</v>
      </c>
      <c r="AH71" s="284">
        <v>10</v>
      </c>
      <c r="AI71" s="284">
        <v>9</v>
      </c>
      <c r="AJ71" s="284">
        <v>8</v>
      </c>
      <c r="AK71" s="293">
        <v>7</v>
      </c>
      <c r="AL71" s="290">
        <v>6</v>
      </c>
      <c r="AM71" s="284">
        <v>5</v>
      </c>
      <c r="AN71" s="284">
        <v>4</v>
      </c>
      <c r="AO71" s="284">
        <v>3</v>
      </c>
      <c r="AP71" s="284">
        <v>2</v>
      </c>
      <c r="AQ71" s="295">
        <v>1</v>
      </c>
      <c r="AR71" s="296">
        <v>15</v>
      </c>
      <c r="AS71" s="297">
        <v>14</v>
      </c>
      <c r="AT71" s="297">
        <v>13</v>
      </c>
      <c r="AU71" s="297">
        <v>12</v>
      </c>
      <c r="AV71" s="284">
        <v>11</v>
      </c>
      <c r="AW71" s="284">
        <v>10</v>
      </c>
      <c r="AX71" s="284">
        <v>9</v>
      </c>
      <c r="AY71" s="284">
        <v>8</v>
      </c>
      <c r="AZ71" s="284">
        <v>7</v>
      </c>
      <c r="BA71" s="284">
        <v>6</v>
      </c>
      <c r="BB71" s="284">
        <v>5</v>
      </c>
      <c r="BC71" s="284">
        <v>4</v>
      </c>
      <c r="BD71" s="284">
        <v>3</v>
      </c>
      <c r="BE71" s="284">
        <v>2</v>
      </c>
      <c r="BF71" s="295">
        <v>1</v>
      </c>
      <c r="BG71" s="296">
        <v>15</v>
      </c>
      <c r="BH71" s="297">
        <v>14</v>
      </c>
      <c r="BI71" s="297">
        <v>13</v>
      </c>
      <c r="BJ71" s="297">
        <v>12</v>
      </c>
      <c r="BK71" s="284">
        <v>11</v>
      </c>
      <c r="BL71" s="284">
        <v>10</v>
      </c>
      <c r="BM71" s="284">
        <v>9</v>
      </c>
      <c r="BN71" s="284">
        <v>8</v>
      </c>
      <c r="BO71" s="284">
        <v>7</v>
      </c>
      <c r="BP71" s="284">
        <v>6</v>
      </c>
      <c r="BQ71" s="284">
        <v>5</v>
      </c>
      <c r="BR71" s="284">
        <v>4</v>
      </c>
      <c r="BS71" s="284">
        <v>3</v>
      </c>
      <c r="BT71" s="284">
        <v>2</v>
      </c>
      <c r="BU71" s="295">
        <v>1</v>
      </c>
      <c r="BV71" s="292">
        <v>15</v>
      </c>
      <c r="BW71" s="290">
        <v>14</v>
      </c>
      <c r="BX71" s="290">
        <v>13</v>
      </c>
      <c r="BY71" s="290">
        <v>12</v>
      </c>
      <c r="BZ71" s="284">
        <v>11</v>
      </c>
      <c r="CA71" s="284">
        <v>10</v>
      </c>
      <c r="CB71" s="284">
        <v>9</v>
      </c>
      <c r="CC71" s="284">
        <v>8</v>
      </c>
      <c r="CD71" s="284">
        <v>7</v>
      </c>
      <c r="CE71" s="284">
        <v>6</v>
      </c>
      <c r="CF71" s="284">
        <v>5</v>
      </c>
      <c r="CG71" s="284">
        <v>4</v>
      </c>
      <c r="CH71" s="284">
        <v>3</v>
      </c>
      <c r="CI71" s="284">
        <v>2</v>
      </c>
      <c r="CJ71" s="295">
        <v>1</v>
      </c>
    </row>
    <row r="72" spans="1:88" hidden="1" x14ac:dyDescent="0.25">
      <c r="B72" s="265">
        <v>9</v>
      </c>
      <c r="C72" s="265">
        <v>1</v>
      </c>
      <c r="D72" s="265" t="str">
        <f t="shared" si="0"/>
        <v>SORTING_WEST_P_2_15</v>
      </c>
      <c r="E72" s="265" t="s">
        <v>35</v>
      </c>
      <c r="F72" s="49" t="s">
        <v>45</v>
      </c>
      <c r="G72" s="3" t="s">
        <v>19</v>
      </c>
      <c r="H72" s="3">
        <v>2</v>
      </c>
      <c r="I72" s="3">
        <v>2</v>
      </c>
      <c r="J72" s="3" t="s">
        <v>41</v>
      </c>
      <c r="K72" s="37"/>
      <c r="L72" s="90">
        <f>COUNT(W72:AQ72)</f>
        <v>1</v>
      </c>
      <c r="M72" s="30"/>
      <c r="N72" s="323"/>
      <c r="O72" s="324"/>
      <c r="P72" s="324"/>
      <c r="Q72" s="324"/>
      <c r="R72" s="256"/>
      <c r="S72" s="256"/>
      <c r="T72" s="256"/>
      <c r="U72" s="256"/>
      <c r="V72" s="325"/>
      <c r="W72" s="328">
        <v>1</v>
      </c>
      <c r="X72" s="258"/>
      <c r="Y72" s="258"/>
      <c r="Z72" s="284"/>
      <c r="AA72" s="284"/>
      <c r="AB72" s="293"/>
      <c r="AC72" s="328"/>
      <c r="AD72" s="284"/>
      <c r="AE72" s="284"/>
      <c r="AF72" s="284"/>
      <c r="AG72" s="284"/>
      <c r="AH72" s="284"/>
      <c r="AI72" s="284"/>
      <c r="AJ72" s="284"/>
      <c r="AK72" s="293"/>
      <c r="AL72" s="290"/>
      <c r="AM72" s="284"/>
      <c r="AN72" s="284"/>
      <c r="AO72" s="284"/>
      <c r="AP72" s="284"/>
      <c r="AQ72" s="295"/>
      <c r="AR72" s="292"/>
      <c r="AS72" s="290"/>
      <c r="AT72" s="290"/>
      <c r="AU72" s="290"/>
      <c r="AV72" s="284"/>
      <c r="AW72" s="284"/>
      <c r="AX72" s="284"/>
      <c r="AY72" s="284"/>
      <c r="AZ72" s="284"/>
      <c r="BA72" s="284"/>
      <c r="BB72" s="284"/>
      <c r="BC72" s="284"/>
      <c r="BD72" s="284"/>
      <c r="BE72" s="284"/>
      <c r="BF72" s="295"/>
      <c r="BG72" s="292"/>
      <c r="BH72" s="290"/>
      <c r="BI72" s="290"/>
      <c r="BJ72" s="290"/>
      <c r="BK72" s="284"/>
      <c r="BL72" s="284"/>
      <c r="BM72" s="284"/>
      <c r="BN72" s="284"/>
      <c r="BO72" s="284"/>
      <c r="BP72" s="284"/>
      <c r="BQ72" s="284"/>
      <c r="BR72" s="284"/>
      <c r="BS72" s="284"/>
      <c r="BT72" s="284"/>
      <c r="BU72" s="295"/>
      <c r="BV72" s="292"/>
      <c r="BW72" s="290"/>
      <c r="BX72" s="290"/>
      <c r="BY72" s="290"/>
      <c r="BZ72" s="284"/>
      <c r="CA72" s="284"/>
      <c r="CB72" s="284"/>
      <c r="CC72" s="284"/>
      <c r="CD72" s="284"/>
      <c r="CE72" s="284"/>
      <c r="CF72" s="284"/>
      <c r="CG72" s="284"/>
      <c r="CH72" s="284"/>
      <c r="CI72" s="284"/>
      <c r="CJ72" s="295"/>
    </row>
    <row r="73" spans="1:88" hidden="1" x14ac:dyDescent="0.25">
      <c r="B73" s="265">
        <v>9</v>
      </c>
      <c r="C73" s="265">
        <v>2</v>
      </c>
      <c r="D73" s="265" t="str">
        <f t="shared" si="0"/>
        <v>TRANSFER_WEST_P_2_15</v>
      </c>
      <c r="E73" s="265" t="s">
        <v>21</v>
      </c>
      <c r="F73" s="49" t="s">
        <v>21</v>
      </c>
      <c r="G73" s="3" t="s">
        <v>19</v>
      </c>
      <c r="H73" s="3">
        <v>2</v>
      </c>
      <c r="I73" s="3">
        <v>2</v>
      </c>
      <c r="J73" s="3" t="s">
        <v>41</v>
      </c>
      <c r="K73" s="37"/>
      <c r="L73" s="90">
        <f>COUNT(W73:AQ73)</f>
        <v>3</v>
      </c>
      <c r="M73" s="30"/>
      <c r="N73" s="323"/>
      <c r="O73" s="324"/>
      <c r="P73" s="324"/>
      <c r="Q73" s="324"/>
      <c r="R73" s="256"/>
      <c r="S73" s="256"/>
      <c r="T73" s="256"/>
      <c r="U73" s="256"/>
      <c r="V73" s="325"/>
      <c r="W73" s="328">
        <v>1</v>
      </c>
      <c r="X73" s="3">
        <f t="shared" ref="X73:Y73" si="65">W73+1</f>
        <v>2</v>
      </c>
      <c r="Y73" s="3">
        <f t="shared" si="65"/>
        <v>3</v>
      </c>
      <c r="Z73" s="258"/>
      <c r="AA73" s="258"/>
      <c r="AB73" s="293"/>
      <c r="AC73" s="328"/>
      <c r="AD73" s="284"/>
      <c r="AE73" s="284"/>
      <c r="AF73" s="284"/>
      <c r="AG73" s="284"/>
      <c r="AH73" s="284"/>
      <c r="AI73" s="284"/>
      <c r="AJ73" s="284"/>
      <c r="AK73" s="293"/>
      <c r="AL73" s="290"/>
      <c r="AM73" s="284"/>
      <c r="AN73" s="284"/>
      <c r="AO73" s="284"/>
      <c r="AP73" s="284"/>
      <c r="AQ73" s="295"/>
      <c r="AR73" s="292"/>
      <c r="AS73" s="290"/>
      <c r="AT73" s="290"/>
      <c r="AU73" s="290"/>
      <c r="AV73" s="284"/>
      <c r="AW73" s="284"/>
      <c r="AX73" s="284"/>
      <c r="AY73" s="284"/>
      <c r="AZ73" s="284"/>
      <c r="BA73" s="284"/>
      <c r="BB73" s="284"/>
      <c r="BC73" s="284"/>
      <c r="BD73" s="284"/>
      <c r="BE73" s="284"/>
      <c r="BF73" s="295"/>
      <c r="BG73" s="292"/>
      <c r="BH73" s="290"/>
      <c r="BI73" s="290"/>
      <c r="BJ73" s="290"/>
      <c r="BK73" s="284"/>
      <c r="BL73" s="284"/>
      <c r="BM73" s="284"/>
      <c r="BN73" s="284"/>
      <c r="BO73" s="284"/>
      <c r="BP73" s="284"/>
      <c r="BQ73" s="284"/>
      <c r="BR73" s="284"/>
      <c r="BS73" s="284"/>
      <c r="BT73" s="284"/>
      <c r="BU73" s="295"/>
      <c r="BV73" s="292"/>
      <c r="BW73" s="290"/>
      <c r="BX73" s="290"/>
      <c r="BY73" s="290"/>
      <c r="BZ73" s="284"/>
      <c r="CA73" s="284"/>
      <c r="CB73" s="284"/>
      <c r="CC73" s="284"/>
      <c r="CD73" s="284"/>
      <c r="CE73" s="284"/>
      <c r="CF73" s="284"/>
      <c r="CG73" s="284"/>
      <c r="CH73" s="284"/>
      <c r="CI73" s="284"/>
      <c r="CJ73" s="295"/>
    </row>
    <row r="74" spans="1:88" hidden="1" x14ac:dyDescent="0.25">
      <c r="B74" s="265">
        <v>9</v>
      </c>
      <c r="C74" s="265">
        <v>3</v>
      </c>
      <c r="D74" s="265" t="str">
        <f t="shared" si="0"/>
        <v>SUPPLY_WEST_P_2_15</v>
      </c>
      <c r="E74" s="265" t="s">
        <v>0</v>
      </c>
      <c r="F74" s="34" t="s">
        <v>0</v>
      </c>
      <c r="G74" s="3" t="s">
        <v>19</v>
      </c>
      <c r="H74" s="3">
        <v>2</v>
      </c>
      <c r="I74" s="3">
        <v>2</v>
      </c>
      <c r="J74" s="3" t="s">
        <v>41</v>
      </c>
      <c r="K74" s="90"/>
      <c r="L74" s="90">
        <f>COUNT(AC74:BF74)</f>
        <v>2</v>
      </c>
      <c r="M74" s="30"/>
      <c r="N74" s="323"/>
      <c r="O74" s="324"/>
      <c r="P74" s="324"/>
      <c r="Q74" s="324"/>
      <c r="R74" s="256"/>
      <c r="S74" s="256"/>
      <c r="T74" s="256"/>
      <c r="U74" s="256"/>
      <c r="V74" s="325"/>
      <c r="W74" s="326"/>
      <c r="X74" s="256"/>
      <c r="Y74" s="256"/>
      <c r="Z74" s="256"/>
      <c r="AA74" s="256"/>
      <c r="AB74" s="341"/>
      <c r="AC74" s="328">
        <v>1</v>
      </c>
      <c r="AD74" s="3">
        <f>AC74+1</f>
        <v>2</v>
      </c>
      <c r="AE74" s="258"/>
      <c r="AF74" s="258"/>
      <c r="AG74" s="258"/>
      <c r="AH74" s="258"/>
      <c r="AI74" s="258"/>
      <c r="AJ74" s="258"/>
      <c r="AK74" s="300"/>
      <c r="AL74" s="299"/>
      <c r="AM74" s="258"/>
      <c r="AN74" s="258"/>
      <c r="AO74" s="258"/>
      <c r="AP74" s="284"/>
      <c r="AQ74" s="295"/>
      <c r="AR74" s="296"/>
      <c r="AS74" s="297"/>
      <c r="AT74" s="297"/>
      <c r="AU74" s="297"/>
      <c r="AV74" s="284"/>
      <c r="AW74" s="284"/>
      <c r="AX74" s="284"/>
      <c r="AY74" s="284"/>
      <c r="AZ74" s="284"/>
      <c r="BA74" s="284"/>
      <c r="BB74" s="284"/>
      <c r="BC74" s="284"/>
      <c r="BD74" s="284"/>
      <c r="BE74" s="284"/>
      <c r="BF74" s="295"/>
      <c r="BG74" s="296"/>
      <c r="BH74" s="297"/>
      <c r="BI74" s="297"/>
      <c r="BJ74" s="297"/>
      <c r="BK74" s="284"/>
      <c r="BL74" s="284"/>
      <c r="BN74" s="284"/>
      <c r="BO74" s="284"/>
      <c r="BP74" s="284"/>
      <c r="BQ74" s="284"/>
      <c r="BR74" s="284"/>
      <c r="BS74" s="284"/>
      <c r="BT74" s="284"/>
      <c r="BU74" s="295"/>
      <c r="BV74" s="292"/>
      <c r="BW74" s="290"/>
      <c r="BX74" s="290"/>
      <c r="BY74" s="290"/>
      <c r="BZ74" s="284"/>
      <c r="CA74" s="284"/>
      <c r="CC74" s="284"/>
      <c r="CD74" s="284"/>
      <c r="CE74" s="284"/>
      <c r="CF74" s="284"/>
      <c r="CG74" s="284"/>
      <c r="CH74" s="284"/>
      <c r="CI74" s="284"/>
      <c r="CJ74" s="295"/>
    </row>
    <row r="75" spans="1:88" x14ac:dyDescent="0.25">
      <c r="B75" s="265">
        <f>B74</f>
        <v>9</v>
      </c>
      <c r="C75" s="265">
        <v>4</v>
      </c>
      <c r="D75" s="265" t="str">
        <f t="shared" si="0"/>
        <v>EMPTY_WEST_P_2_15</v>
      </c>
      <c r="E75" s="265" t="s">
        <v>0</v>
      </c>
      <c r="F75" s="34" t="s">
        <v>32</v>
      </c>
      <c r="G75" s="3" t="s">
        <v>19</v>
      </c>
      <c r="H75" s="3">
        <v>2</v>
      </c>
      <c r="I75" s="3">
        <v>2</v>
      </c>
      <c r="J75" s="3" t="s">
        <v>41</v>
      </c>
      <c r="K75" s="90"/>
      <c r="L75" s="90">
        <f>COUNT(N75:AQ75)</f>
        <v>13</v>
      </c>
      <c r="M75" s="30"/>
      <c r="N75" s="292">
        <v>1</v>
      </c>
      <c r="O75" s="86">
        <f t="shared" ref="O75:AB76" si="66">N75+1</f>
        <v>2</v>
      </c>
      <c r="P75" s="86">
        <f t="shared" si="66"/>
        <v>3</v>
      </c>
      <c r="Q75" s="86">
        <f t="shared" si="66"/>
        <v>4</v>
      </c>
      <c r="R75" s="86">
        <f t="shared" si="66"/>
        <v>5</v>
      </c>
      <c r="S75" s="86">
        <f t="shared" si="66"/>
        <v>6</v>
      </c>
      <c r="T75" s="86">
        <f t="shared" si="66"/>
        <v>7</v>
      </c>
      <c r="U75" s="86">
        <f t="shared" si="66"/>
        <v>8</v>
      </c>
      <c r="V75" s="336">
        <f t="shared" si="66"/>
        <v>9</v>
      </c>
      <c r="W75" s="319">
        <f t="shared" si="66"/>
        <v>10</v>
      </c>
      <c r="X75" s="3">
        <f t="shared" si="66"/>
        <v>11</v>
      </c>
      <c r="Y75" s="3">
        <f t="shared" si="66"/>
        <v>12</v>
      </c>
      <c r="Z75" s="3">
        <f t="shared" si="66"/>
        <v>13</v>
      </c>
      <c r="AA75" s="256"/>
      <c r="AB75" s="300"/>
      <c r="AC75" s="328"/>
      <c r="AD75" s="284"/>
      <c r="AE75" s="284"/>
      <c r="AF75" s="284"/>
      <c r="AG75" s="284"/>
      <c r="AH75" s="284"/>
      <c r="AI75" s="284"/>
      <c r="AJ75" s="284"/>
      <c r="AK75" s="293"/>
      <c r="AL75" s="290"/>
      <c r="AM75" s="284"/>
      <c r="AN75" s="284"/>
      <c r="AO75" s="284"/>
      <c r="AP75" s="284"/>
      <c r="AQ75" s="295"/>
      <c r="AR75" s="292"/>
      <c r="AS75" s="290"/>
      <c r="AT75" s="290"/>
      <c r="AU75" s="290"/>
      <c r="AV75" s="284"/>
      <c r="AW75" s="284"/>
      <c r="AX75" s="284"/>
      <c r="AY75" s="284"/>
      <c r="AZ75" s="284"/>
      <c r="BA75" s="284"/>
      <c r="BB75" s="284"/>
      <c r="BC75" s="284"/>
      <c r="BD75" s="284"/>
      <c r="BE75" s="284"/>
      <c r="BF75" s="295"/>
      <c r="BG75" s="292"/>
      <c r="BH75" s="290"/>
      <c r="BI75" s="290"/>
      <c r="BJ75" s="290"/>
      <c r="BK75" s="284"/>
      <c r="BL75" s="284"/>
      <c r="BM75" s="284"/>
      <c r="BN75" s="284"/>
      <c r="BO75" s="284"/>
      <c r="BP75" s="284"/>
      <c r="BQ75" s="284"/>
      <c r="BR75" s="284"/>
      <c r="BS75" s="284"/>
      <c r="BT75" s="284"/>
      <c r="BU75" s="295"/>
      <c r="BV75" s="292"/>
      <c r="BW75" s="290"/>
      <c r="BX75" s="290"/>
      <c r="BY75" s="290"/>
      <c r="BZ75" s="284"/>
      <c r="CA75" s="284"/>
      <c r="CB75" s="284"/>
      <c r="CC75" s="284"/>
      <c r="CD75" s="284"/>
      <c r="CE75" s="284"/>
      <c r="CF75" s="284"/>
      <c r="CG75" s="284"/>
      <c r="CH75" s="284"/>
      <c r="CI75" s="284"/>
      <c r="CJ75" s="295"/>
    </row>
    <row r="76" spans="1:88" hidden="1" x14ac:dyDescent="0.25">
      <c r="B76" s="265">
        <v>9</v>
      </c>
      <c r="C76" s="265">
        <v>5</v>
      </c>
      <c r="D76" s="265" t="str">
        <f t="shared" si="0"/>
        <v>PREPARE_WEST_P_2_15</v>
      </c>
      <c r="E76" s="265" t="s">
        <v>0</v>
      </c>
      <c r="F76" s="49" t="s">
        <v>46</v>
      </c>
      <c r="G76" s="3" t="s">
        <v>19</v>
      </c>
      <c r="H76" s="3">
        <v>2</v>
      </c>
      <c r="I76" s="3">
        <v>2</v>
      </c>
      <c r="J76" s="3" t="s">
        <v>41</v>
      </c>
      <c r="K76" s="37"/>
      <c r="L76" s="90">
        <f>COUNT(N76:AQ76)</f>
        <v>15</v>
      </c>
      <c r="M76" s="30"/>
      <c r="N76" s="292">
        <v>1</v>
      </c>
      <c r="O76" s="86">
        <f t="shared" si="66"/>
        <v>2</v>
      </c>
      <c r="P76" s="86">
        <f t="shared" si="66"/>
        <v>3</v>
      </c>
      <c r="Q76" s="86">
        <f t="shared" si="66"/>
        <v>4</v>
      </c>
      <c r="R76" s="86">
        <f t="shared" si="66"/>
        <v>5</v>
      </c>
      <c r="S76" s="86">
        <f t="shared" si="66"/>
        <v>6</v>
      </c>
      <c r="T76" s="86">
        <f t="shared" si="66"/>
        <v>7</v>
      </c>
      <c r="U76" s="86">
        <f t="shared" si="66"/>
        <v>8</v>
      </c>
      <c r="V76" s="336">
        <f t="shared" si="66"/>
        <v>9</v>
      </c>
      <c r="W76" s="319">
        <f t="shared" si="66"/>
        <v>10</v>
      </c>
      <c r="X76" s="3">
        <f t="shared" si="66"/>
        <v>11</v>
      </c>
      <c r="Y76" s="3">
        <f t="shared" si="66"/>
        <v>12</v>
      </c>
      <c r="Z76" s="3">
        <f t="shared" si="66"/>
        <v>13</v>
      </c>
      <c r="AA76" s="3">
        <f t="shared" si="66"/>
        <v>14</v>
      </c>
      <c r="AB76" s="280">
        <f t="shared" si="66"/>
        <v>15</v>
      </c>
      <c r="AC76" s="327"/>
      <c r="AD76" s="258"/>
      <c r="AE76" s="284"/>
      <c r="AF76" s="284"/>
      <c r="AG76" s="284"/>
      <c r="AH76" s="284"/>
      <c r="AI76" s="284"/>
      <c r="AJ76" s="284"/>
      <c r="AK76" s="293"/>
      <c r="AL76" s="290"/>
      <c r="AM76" s="284"/>
      <c r="AN76" s="284"/>
      <c r="AO76" s="284"/>
      <c r="AP76" s="284"/>
      <c r="AQ76" s="295"/>
      <c r="AR76" s="292"/>
      <c r="AS76" s="290"/>
      <c r="AT76" s="290"/>
      <c r="AU76" s="290"/>
      <c r="AV76" s="284"/>
      <c r="AW76" s="284"/>
      <c r="AX76" s="284"/>
      <c r="AY76" s="284"/>
      <c r="AZ76" s="284"/>
      <c r="BA76" s="284"/>
      <c r="BB76" s="284"/>
      <c r="BC76" s="284"/>
      <c r="BD76" s="284"/>
      <c r="BE76" s="284"/>
      <c r="BF76" s="295"/>
      <c r="BG76" s="292"/>
      <c r="BH76" s="290"/>
      <c r="BI76" s="290"/>
      <c r="BJ76" s="290"/>
      <c r="BK76" s="284"/>
      <c r="BL76" s="284"/>
      <c r="BM76" s="284"/>
      <c r="BN76" s="284"/>
      <c r="BO76" s="284"/>
      <c r="BP76" s="284"/>
      <c r="BQ76" s="284"/>
      <c r="BR76" s="284"/>
      <c r="BS76" s="284"/>
      <c r="BT76" s="284"/>
      <c r="BU76" s="295"/>
      <c r="BV76" s="292"/>
      <c r="BW76" s="290"/>
      <c r="BX76" s="290"/>
      <c r="BY76" s="290"/>
      <c r="BZ76" s="284"/>
      <c r="CA76" s="284"/>
      <c r="CB76" s="284"/>
      <c r="CC76" s="284"/>
      <c r="CD76" s="284"/>
      <c r="CE76" s="284"/>
      <c r="CF76" s="284"/>
      <c r="CG76" s="284"/>
      <c r="CH76" s="284"/>
      <c r="CI76" s="284"/>
      <c r="CJ76" s="295"/>
    </row>
    <row r="77" spans="1:88" hidden="1" x14ac:dyDescent="0.25">
      <c r="B77" s="265">
        <f>B75</f>
        <v>9</v>
      </c>
      <c r="C77" s="265">
        <v>6</v>
      </c>
      <c r="D77" s="265" t="str">
        <f t="shared" ref="D77:D119" si="67">F77&amp;"_"&amp;G77&amp;"_"&amp;J77&amp;"_"&amp;H77&amp;"_"&amp;$D$1</f>
        <v>COUNTDOWN_WEST_P_2_15</v>
      </c>
      <c r="E77" s="265"/>
      <c r="F77" s="34" t="s">
        <v>33</v>
      </c>
      <c r="G77" s="3" t="s">
        <v>19</v>
      </c>
      <c r="H77" s="3">
        <v>2</v>
      </c>
      <c r="I77" s="3">
        <v>2</v>
      </c>
      <c r="J77" s="3" t="s">
        <v>41</v>
      </c>
      <c r="K77" s="32"/>
      <c r="L77" s="32"/>
      <c r="M77" s="30"/>
      <c r="N77" s="292">
        <v>1</v>
      </c>
      <c r="O77" s="290">
        <v>15</v>
      </c>
      <c r="P77" s="290">
        <v>14</v>
      </c>
      <c r="Q77" s="290">
        <v>13</v>
      </c>
      <c r="R77" s="284">
        <v>12</v>
      </c>
      <c r="S77" s="284">
        <v>11</v>
      </c>
      <c r="T77" s="284">
        <v>10</v>
      </c>
      <c r="U77" s="284">
        <v>9</v>
      </c>
      <c r="V77" s="298">
        <v>8</v>
      </c>
      <c r="W77" s="328">
        <v>7</v>
      </c>
      <c r="X77" s="284">
        <v>6</v>
      </c>
      <c r="Y77" s="284">
        <v>5</v>
      </c>
      <c r="Z77" s="284">
        <v>4</v>
      </c>
      <c r="AA77" s="284">
        <v>3</v>
      </c>
      <c r="AB77" s="293">
        <v>2</v>
      </c>
      <c r="AC77" s="328">
        <v>1</v>
      </c>
      <c r="AD77" s="284">
        <v>15</v>
      </c>
      <c r="AE77" s="284">
        <v>14</v>
      </c>
      <c r="AF77" s="284">
        <v>13</v>
      </c>
      <c r="AG77" s="284">
        <v>12</v>
      </c>
      <c r="AH77" s="284">
        <v>11</v>
      </c>
      <c r="AI77" s="284">
        <v>10</v>
      </c>
      <c r="AJ77" s="284">
        <v>9</v>
      </c>
      <c r="AK77" s="293">
        <v>8</v>
      </c>
      <c r="AL77" s="290">
        <v>7</v>
      </c>
      <c r="AM77" s="284">
        <v>6</v>
      </c>
      <c r="AN77" s="284">
        <v>5</v>
      </c>
      <c r="AO77" s="284">
        <v>4</v>
      </c>
      <c r="AP77" s="284">
        <v>3</v>
      </c>
      <c r="AQ77" s="295">
        <v>2</v>
      </c>
      <c r="AR77" s="296">
        <v>1</v>
      </c>
      <c r="AS77" s="297">
        <v>15</v>
      </c>
      <c r="AT77" s="297">
        <v>14</v>
      </c>
      <c r="AU77" s="297">
        <v>13</v>
      </c>
      <c r="AV77" s="284">
        <v>12</v>
      </c>
      <c r="AW77" s="284">
        <v>11</v>
      </c>
      <c r="AX77" s="284">
        <v>10</v>
      </c>
      <c r="AY77" s="284">
        <v>9</v>
      </c>
      <c r="AZ77" s="284">
        <v>8</v>
      </c>
      <c r="BA77" s="284">
        <v>7</v>
      </c>
      <c r="BB77" s="284">
        <v>6</v>
      </c>
      <c r="BC77" s="284">
        <v>5</v>
      </c>
      <c r="BD77" s="284">
        <v>4</v>
      </c>
      <c r="BE77" s="284">
        <v>3</v>
      </c>
      <c r="BF77" s="295">
        <v>2</v>
      </c>
      <c r="BG77" s="296">
        <v>1</v>
      </c>
      <c r="BH77" s="297">
        <v>15</v>
      </c>
      <c r="BI77" s="297">
        <v>14</v>
      </c>
      <c r="BJ77" s="297">
        <v>13</v>
      </c>
      <c r="BK77" s="284">
        <v>12</v>
      </c>
      <c r="BL77" s="284">
        <v>11</v>
      </c>
      <c r="BM77" s="284">
        <v>10</v>
      </c>
      <c r="BN77" s="284">
        <v>9</v>
      </c>
      <c r="BO77" s="284">
        <v>8</v>
      </c>
      <c r="BP77" s="284">
        <v>7</v>
      </c>
      <c r="BQ77" s="284">
        <v>6</v>
      </c>
      <c r="BR77" s="284">
        <v>5</v>
      </c>
      <c r="BS77" s="284">
        <v>4</v>
      </c>
      <c r="BT77" s="284">
        <v>3</v>
      </c>
      <c r="BU77" s="295">
        <v>2</v>
      </c>
      <c r="BV77" s="292">
        <v>1</v>
      </c>
      <c r="BW77" s="290">
        <v>15</v>
      </c>
      <c r="BX77" s="290">
        <v>14</v>
      </c>
      <c r="BY77" s="290">
        <v>13</v>
      </c>
      <c r="BZ77" s="284">
        <v>12</v>
      </c>
      <c r="CA77" s="284">
        <v>11</v>
      </c>
      <c r="CB77" s="284">
        <v>10</v>
      </c>
      <c r="CC77" s="284">
        <v>9</v>
      </c>
      <c r="CD77" s="284">
        <v>8</v>
      </c>
      <c r="CE77" s="284">
        <v>7</v>
      </c>
      <c r="CF77" s="284">
        <v>6</v>
      </c>
      <c r="CG77" s="284">
        <v>5</v>
      </c>
      <c r="CH77" s="284">
        <v>4</v>
      </c>
      <c r="CI77" s="284">
        <v>3</v>
      </c>
      <c r="CJ77" s="295">
        <v>2</v>
      </c>
    </row>
    <row r="78" spans="1:88" hidden="1" x14ac:dyDescent="0.25">
      <c r="A78" s="286" t="s">
        <v>8</v>
      </c>
      <c r="B78" s="265">
        <v>10</v>
      </c>
      <c r="C78" s="265">
        <v>1</v>
      </c>
      <c r="D78" s="265" t="str">
        <f t="shared" si="67"/>
        <v>SORTING_WEST_O_1_15</v>
      </c>
      <c r="E78" s="265" t="s">
        <v>35</v>
      </c>
      <c r="F78" s="49" t="s">
        <v>45</v>
      </c>
      <c r="G78" s="3" t="s">
        <v>19</v>
      </c>
      <c r="H78" s="3">
        <v>1</v>
      </c>
      <c r="I78" s="3">
        <v>1</v>
      </c>
      <c r="J78" s="3" t="s">
        <v>40</v>
      </c>
      <c r="K78" s="37"/>
      <c r="L78" s="90">
        <f>COUNT(W78:AQ78)</f>
        <v>3</v>
      </c>
      <c r="M78" s="30" t="s">
        <v>28</v>
      </c>
      <c r="N78" s="323"/>
      <c r="O78" s="324"/>
      <c r="P78" s="324"/>
      <c r="Q78" s="324"/>
      <c r="R78" s="256"/>
      <c r="S78" s="256"/>
      <c r="T78" s="256"/>
      <c r="U78" s="256"/>
      <c r="V78" s="325"/>
      <c r="W78" s="328">
        <v>1</v>
      </c>
      <c r="X78" s="33">
        <f t="shared" ref="X78:AA79" si="68">W78+1</f>
        <v>2</v>
      </c>
      <c r="Y78" s="33">
        <f t="shared" si="68"/>
        <v>3</v>
      </c>
      <c r="Z78" s="258"/>
      <c r="AA78" s="258"/>
      <c r="AB78" s="293"/>
      <c r="AC78" s="328"/>
      <c r="AD78" s="284"/>
      <c r="AE78" s="284"/>
      <c r="AF78" s="284"/>
      <c r="AG78" s="284"/>
      <c r="AH78" s="284"/>
      <c r="AI78" s="284"/>
      <c r="AJ78" s="284"/>
      <c r="AK78" s="293"/>
      <c r="AL78" s="290"/>
      <c r="AM78" s="284"/>
      <c r="AN78" s="284"/>
      <c r="AO78" s="284"/>
      <c r="AP78" s="284"/>
      <c r="AQ78" s="295"/>
      <c r="AR78" s="292"/>
      <c r="AS78" s="290"/>
      <c r="AT78" s="290"/>
      <c r="AU78" s="290"/>
      <c r="AV78" s="284"/>
      <c r="AW78" s="284"/>
      <c r="AX78" s="284"/>
      <c r="AY78" s="284"/>
      <c r="AZ78" s="284"/>
      <c r="BA78" s="284"/>
      <c r="BB78" s="284"/>
      <c r="BC78" s="284"/>
      <c r="BD78" s="284"/>
      <c r="BE78" s="284"/>
      <c r="BF78" s="295"/>
      <c r="BG78" s="292"/>
      <c r="BH78" s="290"/>
      <c r="BI78" s="290"/>
      <c r="BJ78" s="290"/>
      <c r="BK78" s="284"/>
      <c r="BL78" s="284"/>
      <c r="BM78" s="284"/>
      <c r="BN78" s="284"/>
      <c r="BO78" s="284"/>
      <c r="BP78" s="284"/>
      <c r="BQ78" s="284"/>
      <c r="BR78" s="284"/>
      <c r="BS78" s="284"/>
      <c r="BT78" s="284"/>
      <c r="BU78" s="295"/>
      <c r="BV78" s="292"/>
      <c r="BW78" s="290"/>
      <c r="BX78" s="290"/>
      <c r="BY78" s="290"/>
      <c r="BZ78" s="284"/>
      <c r="CA78" s="284"/>
      <c r="CB78" s="284"/>
      <c r="CC78" s="284"/>
      <c r="CD78" s="284"/>
      <c r="CE78" s="284"/>
      <c r="CF78" s="284"/>
      <c r="CG78" s="284"/>
      <c r="CH78" s="284"/>
      <c r="CI78" s="284"/>
      <c r="CJ78" s="295"/>
    </row>
    <row r="79" spans="1:88" hidden="1" x14ac:dyDescent="0.25">
      <c r="A79" s="286" t="s">
        <v>8</v>
      </c>
      <c r="B79" s="265">
        <v>10</v>
      </c>
      <c r="C79" s="265">
        <v>2</v>
      </c>
      <c r="D79" s="265" t="str">
        <f t="shared" si="67"/>
        <v>TRANSFER_WEST_O_1_15</v>
      </c>
      <c r="E79" s="265" t="s">
        <v>21</v>
      </c>
      <c r="F79" s="49" t="s">
        <v>21</v>
      </c>
      <c r="G79" s="3" t="s">
        <v>19</v>
      </c>
      <c r="H79" s="3">
        <v>1</v>
      </c>
      <c r="I79" s="3">
        <v>1</v>
      </c>
      <c r="J79" s="3" t="s">
        <v>40</v>
      </c>
      <c r="K79" s="37"/>
      <c r="L79" s="90">
        <f>COUNT(W79:AQ79)</f>
        <v>5</v>
      </c>
      <c r="M79" s="30" t="s">
        <v>28</v>
      </c>
      <c r="N79" s="323"/>
      <c r="O79" s="324"/>
      <c r="P79" s="324"/>
      <c r="Q79" s="324"/>
      <c r="R79" s="256"/>
      <c r="S79" s="256"/>
      <c r="T79" s="256"/>
      <c r="U79" s="256"/>
      <c r="V79" s="325"/>
      <c r="W79" s="328">
        <v>1</v>
      </c>
      <c r="X79" s="3">
        <f t="shared" si="68"/>
        <v>2</v>
      </c>
      <c r="Y79" s="3">
        <f t="shared" si="68"/>
        <v>3</v>
      </c>
      <c r="Z79" s="3">
        <f t="shared" si="68"/>
        <v>4</v>
      </c>
      <c r="AA79" s="3">
        <f t="shared" si="68"/>
        <v>5</v>
      </c>
      <c r="AB79" s="300"/>
      <c r="AC79" s="327"/>
      <c r="AD79" s="284"/>
      <c r="AE79" s="284"/>
      <c r="AF79" s="284"/>
      <c r="AG79" s="284"/>
      <c r="AH79" s="284"/>
      <c r="AI79" s="284"/>
      <c r="AJ79" s="284"/>
      <c r="AK79" s="293"/>
      <c r="AL79" s="290"/>
      <c r="AM79" s="284"/>
      <c r="AN79" s="284"/>
      <c r="AO79" s="284"/>
      <c r="AP79" s="284"/>
      <c r="AQ79" s="295"/>
      <c r="AR79" s="292"/>
      <c r="AS79" s="290"/>
      <c r="AT79" s="290"/>
      <c r="AU79" s="290"/>
      <c r="AV79" s="284"/>
      <c r="AW79" s="284"/>
      <c r="AX79" s="284"/>
      <c r="AY79" s="284"/>
      <c r="AZ79" s="284"/>
      <c r="BA79" s="284"/>
      <c r="BB79" s="284"/>
      <c r="BC79" s="284"/>
      <c r="BD79" s="284"/>
      <c r="BE79" s="284"/>
      <c r="BF79" s="295"/>
      <c r="BG79" s="292"/>
      <c r="BH79" s="290"/>
      <c r="BI79" s="290"/>
      <c r="BJ79" s="290"/>
      <c r="BK79" s="284"/>
      <c r="BL79" s="284"/>
      <c r="BM79" s="284"/>
      <c r="BN79" s="284"/>
      <c r="BO79" s="284"/>
      <c r="BP79" s="284"/>
      <c r="BQ79" s="284"/>
      <c r="BR79" s="284"/>
      <c r="BS79" s="284"/>
      <c r="BT79" s="284"/>
      <c r="BU79" s="295"/>
      <c r="BV79" s="292"/>
      <c r="BW79" s="290"/>
      <c r="BX79" s="290"/>
      <c r="BY79" s="290"/>
      <c r="BZ79" s="284"/>
      <c r="CA79" s="284"/>
      <c r="CB79" s="284"/>
      <c r="CC79" s="284"/>
      <c r="CD79" s="284"/>
      <c r="CE79" s="284"/>
      <c r="CF79" s="284"/>
      <c r="CG79" s="284"/>
      <c r="CH79" s="284"/>
      <c r="CI79" s="284"/>
      <c r="CJ79" s="295"/>
    </row>
    <row r="80" spans="1:88" hidden="1" x14ac:dyDescent="0.25">
      <c r="A80" s="286" t="s">
        <v>8</v>
      </c>
      <c r="B80" s="265">
        <v>10</v>
      </c>
      <c r="C80" s="265">
        <v>3</v>
      </c>
      <c r="D80" s="265" t="str">
        <f t="shared" si="67"/>
        <v>SUPPLY_WEST_O_1_15</v>
      </c>
      <c r="E80" s="265" t="s">
        <v>0</v>
      </c>
      <c r="F80" s="34" t="s">
        <v>0</v>
      </c>
      <c r="G80" s="3" t="s">
        <v>19</v>
      </c>
      <c r="H80" s="3">
        <v>1</v>
      </c>
      <c r="I80" s="3">
        <v>1</v>
      </c>
      <c r="J80" s="3" t="s">
        <v>40</v>
      </c>
      <c r="K80" s="90"/>
      <c r="L80" s="90">
        <f>COUNT(AC80:BF80)</f>
        <v>4</v>
      </c>
      <c r="M80" s="30" t="s">
        <v>28</v>
      </c>
      <c r="N80" s="323"/>
      <c r="O80" s="324"/>
      <c r="P80" s="324"/>
      <c r="Q80" s="324"/>
      <c r="R80" s="256"/>
      <c r="S80" s="256"/>
      <c r="T80" s="256"/>
      <c r="U80" s="256"/>
      <c r="V80" s="325"/>
      <c r="W80" s="326"/>
      <c r="X80" s="256"/>
      <c r="Y80" s="256"/>
      <c r="Z80" s="256"/>
      <c r="AA80" s="256"/>
      <c r="AB80" s="341"/>
      <c r="AC80" s="328">
        <v>1</v>
      </c>
      <c r="AD80" s="3">
        <f>AC80+1</f>
        <v>2</v>
      </c>
      <c r="AE80" s="3">
        <f t="shared" ref="AE80:AF80" si="69">AD80+1</f>
        <v>3</v>
      </c>
      <c r="AF80" s="3">
        <f t="shared" si="69"/>
        <v>4</v>
      </c>
      <c r="AG80" s="258"/>
      <c r="AH80" s="258"/>
      <c r="AI80" s="258"/>
      <c r="AJ80" s="258"/>
      <c r="AK80" s="300"/>
      <c r="AL80" s="299"/>
      <c r="AM80" s="258"/>
      <c r="AN80" s="258"/>
      <c r="AO80" s="258"/>
      <c r="AP80" s="258"/>
      <c r="AQ80" s="259"/>
      <c r="AR80" s="296"/>
      <c r="AS80" s="297"/>
      <c r="AT80" s="297"/>
      <c r="AU80" s="297"/>
      <c r="AV80" s="284"/>
      <c r="AW80" s="284"/>
      <c r="AX80" s="284"/>
      <c r="AY80" s="284"/>
      <c r="AZ80" s="284"/>
      <c r="BA80" s="284"/>
      <c r="BB80" s="284"/>
      <c r="BC80" s="284"/>
      <c r="BD80" s="284"/>
      <c r="BE80" s="284"/>
      <c r="BF80" s="295"/>
      <c r="BG80" s="292"/>
      <c r="BH80" s="314"/>
      <c r="BI80" s="314"/>
      <c r="BJ80" s="314"/>
      <c r="BL80" s="284"/>
      <c r="BM80" s="284"/>
      <c r="BN80" s="284"/>
      <c r="BO80" s="284"/>
      <c r="BP80" s="284"/>
      <c r="BQ80" s="284"/>
      <c r="BR80" s="284"/>
      <c r="BS80" s="284"/>
      <c r="BT80" s="284"/>
      <c r="BU80" s="295"/>
      <c r="BV80" s="292"/>
      <c r="BW80" s="314"/>
      <c r="BX80" s="314"/>
      <c r="BY80" s="314"/>
      <c r="CA80" s="284"/>
      <c r="CB80" s="284"/>
      <c r="CC80" s="284"/>
      <c r="CD80" s="284"/>
      <c r="CE80" s="284"/>
      <c r="CF80" s="284"/>
      <c r="CG80" s="284"/>
      <c r="CH80" s="284"/>
      <c r="CI80" s="284"/>
      <c r="CJ80" s="295"/>
    </row>
    <row r="81" spans="1:88" x14ac:dyDescent="0.25">
      <c r="A81" s="286" t="s">
        <v>8</v>
      </c>
      <c r="B81" s="265">
        <f>B80</f>
        <v>10</v>
      </c>
      <c r="C81" s="265">
        <v>4</v>
      </c>
      <c r="D81" s="265" t="str">
        <f t="shared" si="67"/>
        <v>EMPTY_WEST_O_1_15</v>
      </c>
      <c r="E81" s="265" t="s">
        <v>0</v>
      </c>
      <c r="F81" s="34" t="s">
        <v>32</v>
      </c>
      <c r="G81" s="3" t="s">
        <v>19</v>
      </c>
      <c r="H81" s="3">
        <v>1</v>
      </c>
      <c r="I81" s="3">
        <v>1</v>
      </c>
      <c r="J81" s="3" t="s">
        <v>40</v>
      </c>
      <c r="K81" s="90"/>
      <c r="L81" s="90">
        <f>COUNT(N81:AQ81)</f>
        <v>15</v>
      </c>
      <c r="M81" s="30" t="s">
        <v>28</v>
      </c>
      <c r="N81" s="292">
        <v>1</v>
      </c>
      <c r="O81" s="86">
        <f t="shared" ref="O81:AD82" si="70">N81+1</f>
        <v>2</v>
      </c>
      <c r="P81" s="86">
        <f t="shared" si="70"/>
        <v>3</v>
      </c>
      <c r="Q81" s="86">
        <f t="shared" si="70"/>
        <v>4</v>
      </c>
      <c r="R81" s="86">
        <f t="shared" si="70"/>
        <v>5</v>
      </c>
      <c r="S81" s="86">
        <f t="shared" si="70"/>
        <v>6</v>
      </c>
      <c r="T81" s="86">
        <f t="shared" si="70"/>
        <v>7</v>
      </c>
      <c r="U81" s="86">
        <f t="shared" si="70"/>
        <v>8</v>
      </c>
      <c r="V81" s="336">
        <f t="shared" si="70"/>
        <v>9</v>
      </c>
      <c r="W81" s="319">
        <f t="shared" si="70"/>
        <v>10</v>
      </c>
      <c r="X81" s="3">
        <f t="shared" si="70"/>
        <v>11</v>
      </c>
      <c r="Y81" s="3">
        <f t="shared" si="70"/>
        <v>12</v>
      </c>
      <c r="Z81" s="3">
        <f t="shared" si="70"/>
        <v>13</v>
      </c>
      <c r="AA81" s="3">
        <f t="shared" si="70"/>
        <v>14</v>
      </c>
      <c r="AB81" s="280">
        <f t="shared" si="70"/>
        <v>15</v>
      </c>
      <c r="AC81" s="326"/>
      <c r="AD81" s="258"/>
      <c r="AE81" s="284"/>
      <c r="AF81" s="284"/>
      <c r="AG81" s="284"/>
      <c r="AH81" s="284"/>
      <c r="AI81" s="284"/>
      <c r="AJ81" s="284"/>
      <c r="AK81" s="293"/>
      <c r="AL81" s="290"/>
      <c r="AM81" s="284"/>
      <c r="AN81" s="284"/>
      <c r="AO81" s="284"/>
      <c r="AP81" s="284"/>
      <c r="AQ81" s="295"/>
      <c r="AR81" s="292"/>
      <c r="AS81" s="297"/>
      <c r="AT81" s="297"/>
      <c r="AU81" s="297"/>
      <c r="AV81" s="298"/>
      <c r="AW81" s="284"/>
      <c r="AX81" s="284"/>
      <c r="AY81" s="284"/>
      <c r="AZ81" s="284"/>
      <c r="BA81" s="284"/>
      <c r="BB81" s="284"/>
      <c r="BC81" s="284"/>
      <c r="BD81" s="284"/>
      <c r="BE81" s="284"/>
      <c r="BF81" s="295"/>
      <c r="BG81" s="292"/>
      <c r="BH81" s="297"/>
      <c r="BI81" s="297"/>
      <c r="BJ81" s="297"/>
      <c r="BK81" s="298"/>
      <c r="BL81" s="284"/>
      <c r="BM81" s="284"/>
      <c r="BN81" s="284"/>
      <c r="BO81" s="284"/>
      <c r="BP81" s="284"/>
      <c r="BQ81" s="284"/>
      <c r="BR81" s="284"/>
      <c r="BS81" s="284"/>
      <c r="BT81" s="284"/>
      <c r="BU81" s="295"/>
      <c r="BV81" s="292"/>
      <c r="BW81" s="290"/>
      <c r="BX81" s="290"/>
      <c r="BY81" s="290"/>
      <c r="BZ81" s="284"/>
      <c r="CA81" s="284"/>
      <c r="CB81" s="284"/>
      <c r="CC81" s="284"/>
      <c r="CD81" s="284"/>
      <c r="CE81" s="284"/>
      <c r="CF81" s="284"/>
      <c r="CG81" s="284"/>
      <c r="CH81" s="284"/>
      <c r="CI81" s="284"/>
      <c r="CJ81" s="295"/>
    </row>
    <row r="82" spans="1:88" hidden="1" x14ac:dyDescent="0.25">
      <c r="A82" s="286" t="s">
        <v>8</v>
      </c>
      <c r="B82" s="265">
        <v>10</v>
      </c>
      <c r="C82" s="265">
        <v>5</v>
      </c>
      <c r="D82" s="265" t="str">
        <f t="shared" si="67"/>
        <v>PREPARE_WEST_O_1_15</v>
      </c>
      <c r="E82" s="265" t="s">
        <v>0</v>
      </c>
      <c r="F82" s="49" t="s">
        <v>46</v>
      </c>
      <c r="G82" s="3" t="s">
        <v>19</v>
      </c>
      <c r="H82" s="3">
        <v>1</v>
      </c>
      <c r="I82" s="3">
        <v>1</v>
      </c>
      <c r="J82" s="3" t="s">
        <v>40</v>
      </c>
      <c r="K82" s="37"/>
      <c r="L82" s="90">
        <f>COUNT(N82:AQ82)</f>
        <v>17</v>
      </c>
      <c r="M82" s="30" t="s">
        <v>28</v>
      </c>
      <c r="N82" s="292">
        <v>1</v>
      </c>
      <c r="O82" s="86">
        <f t="shared" si="70"/>
        <v>2</v>
      </c>
      <c r="P82" s="86">
        <f t="shared" si="70"/>
        <v>3</v>
      </c>
      <c r="Q82" s="86">
        <f t="shared" si="70"/>
        <v>4</v>
      </c>
      <c r="R82" s="86">
        <f t="shared" si="70"/>
        <v>5</v>
      </c>
      <c r="S82" s="86">
        <f t="shared" si="70"/>
        <v>6</v>
      </c>
      <c r="T82" s="86">
        <f t="shared" si="70"/>
        <v>7</v>
      </c>
      <c r="U82" s="86">
        <f t="shared" si="70"/>
        <v>8</v>
      </c>
      <c r="V82" s="336">
        <f t="shared" si="70"/>
        <v>9</v>
      </c>
      <c r="W82" s="319">
        <f t="shared" si="70"/>
        <v>10</v>
      </c>
      <c r="X82" s="3">
        <f t="shared" si="70"/>
        <v>11</v>
      </c>
      <c r="Y82" s="3">
        <f t="shared" si="70"/>
        <v>12</v>
      </c>
      <c r="Z82" s="3">
        <f t="shared" si="70"/>
        <v>13</v>
      </c>
      <c r="AA82" s="3">
        <f t="shared" si="70"/>
        <v>14</v>
      </c>
      <c r="AB82" s="280">
        <f t="shared" si="70"/>
        <v>15</v>
      </c>
      <c r="AC82" s="319">
        <f t="shared" si="70"/>
        <v>16</v>
      </c>
      <c r="AD82" s="3">
        <f t="shared" si="70"/>
        <v>17</v>
      </c>
      <c r="AE82" s="258"/>
      <c r="AF82" s="258"/>
      <c r="AG82" s="284"/>
      <c r="AH82" s="284"/>
      <c r="AI82" s="284"/>
      <c r="AJ82" s="284"/>
      <c r="AK82" s="293"/>
      <c r="AL82" s="290"/>
      <c r="AM82" s="284"/>
      <c r="AN82" s="284"/>
      <c r="AO82" s="284"/>
      <c r="AP82" s="284"/>
      <c r="AQ82" s="295"/>
      <c r="AR82" s="292"/>
      <c r="AS82" s="290"/>
      <c r="AT82" s="290"/>
      <c r="AU82" s="290"/>
      <c r="AV82" s="284"/>
      <c r="AW82" s="284"/>
      <c r="AX82" s="284"/>
      <c r="AY82" s="284"/>
      <c r="AZ82" s="284"/>
      <c r="BA82" s="284"/>
      <c r="BB82" s="284"/>
      <c r="BC82" s="284"/>
      <c r="BD82" s="284"/>
      <c r="BE82" s="284"/>
      <c r="BF82" s="295"/>
      <c r="BG82" s="292"/>
      <c r="BH82" s="290"/>
      <c r="BI82" s="290"/>
      <c r="BJ82" s="290"/>
      <c r="BK82" s="284"/>
      <c r="BL82" s="284"/>
      <c r="BM82" s="284"/>
      <c r="BN82" s="284"/>
      <c r="BO82" s="284"/>
      <c r="BP82" s="284"/>
      <c r="BQ82" s="284"/>
      <c r="BR82" s="284"/>
      <c r="BS82" s="284"/>
      <c r="BT82" s="284"/>
      <c r="BU82" s="295"/>
      <c r="BV82" s="292"/>
      <c r="BW82" s="290"/>
      <c r="BX82" s="290"/>
      <c r="BY82" s="290"/>
      <c r="BZ82" s="284"/>
      <c r="CA82" s="284"/>
      <c r="CB82" s="284"/>
      <c r="CC82" s="284"/>
      <c r="CD82" s="284"/>
      <c r="CE82" s="284"/>
      <c r="CF82" s="284"/>
      <c r="CG82" s="284"/>
      <c r="CH82" s="284"/>
      <c r="CI82" s="284"/>
      <c r="CJ82" s="295"/>
    </row>
    <row r="83" spans="1:88" hidden="1" x14ac:dyDescent="0.25">
      <c r="A83" s="286" t="s">
        <v>8</v>
      </c>
      <c r="B83" s="265">
        <f>B81</f>
        <v>10</v>
      </c>
      <c r="C83" s="265">
        <v>6</v>
      </c>
      <c r="D83" s="265" t="str">
        <f t="shared" si="67"/>
        <v>COUNTDOWN_WEST_O_1_15</v>
      </c>
      <c r="E83" s="265"/>
      <c r="F83" s="34" t="s">
        <v>33</v>
      </c>
      <c r="G83" s="3" t="s">
        <v>19</v>
      </c>
      <c r="H83" s="3">
        <v>1</v>
      </c>
      <c r="I83" s="3">
        <v>1</v>
      </c>
      <c r="J83" s="3" t="s">
        <v>40</v>
      </c>
      <c r="K83" s="32"/>
      <c r="L83" s="32"/>
      <c r="M83" s="30" t="s">
        <v>28</v>
      </c>
      <c r="N83" s="292">
        <v>3</v>
      </c>
      <c r="O83" s="290">
        <v>2</v>
      </c>
      <c r="P83" s="290">
        <v>1</v>
      </c>
      <c r="Q83" s="290">
        <v>15</v>
      </c>
      <c r="R83" s="284">
        <v>14</v>
      </c>
      <c r="S83" s="284">
        <v>13</v>
      </c>
      <c r="T83" s="284">
        <v>12</v>
      </c>
      <c r="U83" s="284">
        <v>11</v>
      </c>
      <c r="V83" s="298">
        <v>10</v>
      </c>
      <c r="W83" s="328">
        <v>9</v>
      </c>
      <c r="X83" s="284">
        <v>8</v>
      </c>
      <c r="Y83" s="284">
        <v>7</v>
      </c>
      <c r="Z83" s="284">
        <v>6</v>
      </c>
      <c r="AA83" s="284">
        <v>5</v>
      </c>
      <c r="AB83" s="293">
        <v>4</v>
      </c>
      <c r="AC83" s="328">
        <v>3</v>
      </c>
      <c r="AD83" s="284">
        <v>2</v>
      </c>
      <c r="AE83" s="284">
        <v>1</v>
      </c>
      <c r="AF83" s="284">
        <v>15</v>
      </c>
      <c r="AG83" s="284">
        <v>14</v>
      </c>
      <c r="AH83" s="284">
        <v>13</v>
      </c>
      <c r="AI83" s="284">
        <v>12</v>
      </c>
      <c r="AJ83" s="284">
        <v>11</v>
      </c>
      <c r="AK83" s="293">
        <v>10</v>
      </c>
      <c r="AL83" s="290">
        <v>9</v>
      </c>
      <c r="AM83" s="284">
        <v>8</v>
      </c>
      <c r="AN83" s="284">
        <v>7</v>
      </c>
      <c r="AO83" s="284">
        <v>6</v>
      </c>
      <c r="AP83" s="284">
        <v>5</v>
      </c>
      <c r="AQ83" s="295">
        <v>4</v>
      </c>
      <c r="AR83" s="292">
        <v>3</v>
      </c>
      <c r="AS83" s="297">
        <v>2</v>
      </c>
      <c r="AT83" s="297">
        <v>1</v>
      </c>
      <c r="AU83" s="297">
        <v>15</v>
      </c>
      <c r="AV83" s="298">
        <v>14</v>
      </c>
      <c r="AW83" s="284">
        <v>13</v>
      </c>
      <c r="AX83" s="284">
        <v>12</v>
      </c>
      <c r="AY83" s="284">
        <v>11</v>
      </c>
      <c r="AZ83" s="284">
        <v>10</v>
      </c>
      <c r="BA83" s="284">
        <v>9</v>
      </c>
      <c r="BB83" s="284">
        <v>8</v>
      </c>
      <c r="BC83" s="284">
        <v>7</v>
      </c>
      <c r="BD83" s="284">
        <v>6</v>
      </c>
      <c r="BE83" s="284">
        <v>5</v>
      </c>
      <c r="BF83" s="295">
        <v>4</v>
      </c>
      <c r="BG83" s="292">
        <v>3</v>
      </c>
      <c r="BH83" s="297">
        <v>2</v>
      </c>
      <c r="BI83" s="297">
        <v>1</v>
      </c>
      <c r="BJ83" s="297">
        <v>15</v>
      </c>
      <c r="BK83" s="298">
        <v>14</v>
      </c>
      <c r="BL83" s="284">
        <v>13</v>
      </c>
      <c r="BM83" s="284">
        <v>12</v>
      </c>
      <c r="BN83" s="284">
        <v>11</v>
      </c>
      <c r="BO83" s="284">
        <v>10</v>
      </c>
      <c r="BP83" s="284">
        <v>9</v>
      </c>
      <c r="BQ83" s="284">
        <v>8</v>
      </c>
      <c r="BR83" s="284">
        <v>7</v>
      </c>
      <c r="BS83" s="284">
        <v>6</v>
      </c>
      <c r="BT83" s="284">
        <v>5</v>
      </c>
      <c r="BU83" s="295">
        <v>4</v>
      </c>
      <c r="BV83" s="292">
        <v>3</v>
      </c>
      <c r="BW83" s="290">
        <v>2</v>
      </c>
      <c r="BX83" s="290">
        <v>1</v>
      </c>
      <c r="BY83" s="290">
        <v>15</v>
      </c>
      <c r="BZ83" s="284">
        <v>14</v>
      </c>
      <c r="CA83" s="284">
        <v>13</v>
      </c>
      <c r="CB83" s="284">
        <v>12</v>
      </c>
      <c r="CC83" s="284">
        <v>11</v>
      </c>
      <c r="CD83" s="284">
        <v>10</v>
      </c>
      <c r="CE83" s="284">
        <v>9</v>
      </c>
      <c r="CF83" s="284">
        <v>8</v>
      </c>
      <c r="CG83" s="284">
        <v>7</v>
      </c>
      <c r="CH83" s="284">
        <v>6</v>
      </c>
      <c r="CI83" s="284">
        <v>5</v>
      </c>
      <c r="CJ83" s="295">
        <v>4</v>
      </c>
    </row>
    <row r="84" spans="1:88" hidden="1" x14ac:dyDescent="0.25">
      <c r="B84" s="265">
        <v>11</v>
      </c>
      <c r="C84" s="265">
        <v>1</v>
      </c>
      <c r="D84" s="265" t="str">
        <f t="shared" si="67"/>
        <v>SORTING_WEST_L_2_15</v>
      </c>
      <c r="E84" s="265" t="s">
        <v>35</v>
      </c>
      <c r="F84" s="49" t="s">
        <v>45</v>
      </c>
      <c r="G84" s="3" t="s">
        <v>19</v>
      </c>
      <c r="H84" s="3">
        <v>2</v>
      </c>
      <c r="I84" s="3">
        <v>2</v>
      </c>
      <c r="J84" s="3" t="s">
        <v>13</v>
      </c>
      <c r="K84" s="37"/>
      <c r="L84" s="90">
        <f>COUNT(W84:AQ84)</f>
        <v>5</v>
      </c>
      <c r="M84" s="30" t="s">
        <v>28</v>
      </c>
      <c r="N84" s="323"/>
      <c r="O84" s="324"/>
      <c r="P84" s="324"/>
      <c r="Q84" s="324"/>
      <c r="R84" s="256"/>
      <c r="S84" s="256"/>
      <c r="T84" s="256"/>
      <c r="U84" s="256"/>
      <c r="V84" s="325"/>
      <c r="W84" s="328">
        <v>1</v>
      </c>
      <c r="X84" s="33">
        <f t="shared" ref="X84:AC85" si="71">W84+1</f>
        <v>2</v>
      </c>
      <c r="Y84" s="33">
        <f t="shared" si="71"/>
        <v>3</v>
      </c>
      <c r="Z84" s="33">
        <f t="shared" si="71"/>
        <v>4</v>
      </c>
      <c r="AA84" s="33">
        <f t="shared" si="71"/>
        <v>5</v>
      </c>
      <c r="AB84" s="300"/>
      <c r="AC84" s="327"/>
      <c r="AD84" s="284"/>
      <c r="AE84" s="284"/>
      <c r="AF84" s="284"/>
      <c r="AG84" s="284"/>
      <c r="AH84" s="284"/>
      <c r="AI84" s="284"/>
      <c r="AJ84" s="284"/>
      <c r="AK84" s="293"/>
      <c r="AL84" s="290"/>
      <c r="AM84" s="284"/>
      <c r="AN84" s="284"/>
      <c r="AO84" s="284"/>
      <c r="AP84" s="284"/>
      <c r="AQ84" s="329"/>
      <c r="AR84" s="292"/>
      <c r="AS84" s="290"/>
      <c r="AT84" s="290"/>
      <c r="AU84" s="290"/>
      <c r="AV84" s="284"/>
      <c r="AW84" s="284"/>
      <c r="AX84" s="284"/>
      <c r="AY84" s="284"/>
      <c r="AZ84" s="284"/>
      <c r="BA84" s="284"/>
      <c r="BB84" s="284"/>
      <c r="BC84" s="284"/>
      <c r="BD84" s="284"/>
      <c r="BE84" s="284"/>
      <c r="BF84" s="295"/>
      <c r="BG84" s="292"/>
      <c r="BH84" s="290"/>
      <c r="BI84" s="290"/>
      <c r="BJ84" s="290"/>
      <c r="BK84" s="284"/>
      <c r="BL84" s="284"/>
      <c r="BM84" s="284"/>
      <c r="BN84" s="284"/>
      <c r="BO84" s="284"/>
      <c r="BP84" s="284"/>
      <c r="BQ84" s="284"/>
      <c r="BR84" s="284"/>
      <c r="BS84" s="284"/>
      <c r="BT84" s="284"/>
      <c r="BU84" s="295"/>
      <c r="BV84" s="292"/>
      <c r="BW84" s="290"/>
      <c r="BX84" s="290"/>
      <c r="BY84" s="290"/>
      <c r="BZ84" s="284"/>
      <c r="CA84" s="284"/>
      <c r="CB84" s="284"/>
      <c r="CC84" s="284"/>
      <c r="CD84" s="284"/>
      <c r="CE84" s="284"/>
      <c r="CF84" s="284"/>
      <c r="CG84" s="284"/>
      <c r="CH84" s="284"/>
      <c r="CI84" s="284"/>
      <c r="CJ84" s="295"/>
    </row>
    <row r="85" spans="1:88" hidden="1" x14ac:dyDescent="0.25">
      <c r="B85" s="265">
        <v>11</v>
      </c>
      <c r="C85" s="265">
        <v>2</v>
      </c>
      <c r="D85" s="265" t="str">
        <f t="shared" si="67"/>
        <v>TRANSFER_WEST_L_2_15</v>
      </c>
      <c r="E85" s="265" t="s">
        <v>21</v>
      </c>
      <c r="F85" s="49" t="s">
        <v>21</v>
      </c>
      <c r="G85" s="3" t="s">
        <v>19</v>
      </c>
      <c r="H85" s="3">
        <v>2</v>
      </c>
      <c r="I85" s="3">
        <v>2</v>
      </c>
      <c r="J85" s="3" t="s">
        <v>13</v>
      </c>
      <c r="K85" s="37"/>
      <c r="L85" s="90">
        <f>COUNT(W85:AQ85)</f>
        <v>7</v>
      </c>
      <c r="M85" s="30" t="s">
        <v>28</v>
      </c>
      <c r="N85" s="323"/>
      <c r="O85" s="324"/>
      <c r="P85" s="324"/>
      <c r="Q85" s="324"/>
      <c r="R85" s="256"/>
      <c r="S85" s="256"/>
      <c r="T85" s="256"/>
      <c r="U85" s="256"/>
      <c r="V85" s="325"/>
      <c r="W85" s="328">
        <v>1</v>
      </c>
      <c r="X85" s="3">
        <f t="shared" si="71"/>
        <v>2</v>
      </c>
      <c r="Y85" s="3">
        <f t="shared" si="71"/>
        <v>3</v>
      </c>
      <c r="Z85" s="3">
        <f t="shared" si="71"/>
        <v>4</v>
      </c>
      <c r="AA85" s="3">
        <f t="shared" si="71"/>
        <v>5</v>
      </c>
      <c r="AB85" s="280">
        <f t="shared" si="71"/>
        <v>6</v>
      </c>
      <c r="AC85" s="319">
        <f t="shared" si="71"/>
        <v>7</v>
      </c>
      <c r="AD85" s="258"/>
      <c r="AE85" s="258"/>
      <c r="AF85" s="284"/>
      <c r="AG85" s="284"/>
      <c r="AH85" s="284"/>
      <c r="AI85" s="284"/>
      <c r="AJ85" s="284"/>
      <c r="AK85" s="293"/>
      <c r="AL85" s="290"/>
      <c r="AM85" s="284"/>
      <c r="AN85" s="284"/>
      <c r="AO85" s="284"/>
      <c r="AP85" s="284"/>
      <c r="AQ85" s="329"/>
      <c r="AR85" s="292"/>
      <c r="AS85" s="290"/>
      <c r="AT85" s="290"/>
      <c r="AU85" s="290"/>
      <c r="AV85" s="284"/>
      <c r="AW85" s="284"/>
      <c r="AX85" s="284"/>
      <c r="AY85" s="284"/>
      <c r="AZ85" s="284"/>
      <c r="BA85" s="284"/>
      <c r="BB85" s="284"/>
      <c r="BC85" s="284"/>
      <c r="BD85" s="284"/>
      <c r="BE85" s="284"/>
      <c r="BF85" s="295"/>
      <c r="BG85" s="292"/>
      <c r="BH85" s="290"/>
      <c r="BI85" s="290"/>
      <c r="BJ85" s="290"/>
      <c r="BK85" s="284"/>
      <c r="BL85" s="284"/>
      <c r="BM85" s="284"/>
      <c r="BN85" s="284"/>
      <c r="BO85" s="284"/>
      <c r="BP85" s="284"/>
      <c r="BQ85" s="284"/>
      <c r="BR85" s="284"/>
      <c r="BS85" s="284"/>
      <c r="BT85" s="284"/>
      <c r="BU85" s="295"/>
      <c r="BV85" s="292"/>
      <c r="BW85" s="290"/>
      <c r="BX85" s="290"/>
      <c r="BY85" s="290"/>
      <c r="BZ85" s="284"/>
      <c r="CA85" s="284"/>
      <c r="CB85" s="284"/>
      <c r="CC85" s="284"/>
      <c r="CD85" s="284"/>
      <c r="CE85" s="284"/>
      <c r="CF85" s="284"/>
      <c r="CG85" s="284"/>
      <c r="CH85" s="284"/>
      <c r="CI85" s="284"/>
      <c r="CJ85" s="295"/>
    </row>
    <row r="86" spans="1:88" hidden="1" x14ac:dyDescent="0.25">
      <c r="B86" s="265">
        <v>11</v>
      </c>
      <c r="C86" s="265">
        <v>3</v>
      </c>
      <c r="D86" s="265" t="str">
        <f t="shared" si="67"/>
        <v>SUPPLY_WEST_L_2_15</v>
      </c>
      <c r="E86" s="265" t="s">
        <v>0</v>
      </c>
      <c r="F86" s="34" t="s">
        <v>0</v>
      </c>
      <c r="G86" s="3" t="s">
        <v>19</v>
      </c>
      <c r="H86" s="3">
        <v>2</v>
      </c>
      <c r="I86" s="3">
        <v>2</v>
      </c>
      <c r="J86" s="3" t="s">
        <v>13</v>
      </c>
      <c r="K86" s="90"/>
      <c r="L86" s="90">
        <f>COUNT(AC86:BF86)</f>
        <v>6</v>
      </c>
      <c r="M86" s="30" t="s">
        <v>28</v>
      </c>
      <c r="N86" s="323"/>
      <c r="O86" s="324"/>
      <c r="P86" s="324"/>
      <c r="Q86" s="324"/>
      <c r="R86" s="256"/>
      <c r="S86" s="256"/>
      <c r="T86" s="256"/>
      <c r="U86" s="256"/>
      <c r="V86" s="325"/>
      <c r="W86" s="326"/>
      <c r="X86" s="256"/>
      <c r="Y86" s="256"/>
      <c r="Z86" s="256"/>
      <c r="AA86" s="256"/>
      <c r="AB86" s="341"/>
      <c r="AC86" s="328">
        <v>1</v>
      </c>
      <c r="AD86" s="3">
        <f>AC86+1</f>
        <v>2</v>
      </c>
      <c r="AE86" s="3">
        <f t="shared" ref="AE86:AH86" si="72">AD86+1</f>
        <v>3</v>
      </c>
      <c r="AF86" s="3">
        <f t="shared" si="72"/>
        <v>4</v>
      </c>
      <c r="AG86" s="3">
        <f t="shared" si="72"/>
        <v>5</v>
      </c>
      <c r="AH86" s="3">
        <f t="shared" si="72"/>
        <v>6</v>
      </c>
      <c r="AI86" s="258"/>
      <c r="AJ86" s="258"/>
      <c r="AK86" s="300"/>
      <c r="AL86" s="299"/>
      <c r="AM86" s="258"/>
      <c r="AN86" s="258"/>
      <c r="AO86" s="258"/>
      <c r="AP86" s="258"/>
      <c r="AQ86" s="259"/>
      <c r="AR86" s="330"/>
      <c r="AS86" s="301"/>
      <c r="AT86" s="297"/>
      <c r="AU86" s="297"/>
      <c r="AV86" s="284"/>
      <c r="AW86" s="284"/>
      <c r="AX86" s="284"/>
      <c r="AY86" s="284"/>
      <c r="AZ86" s="284"/>
      <c r="BA86" s="284"/>
      <c r="BB86" s="284"/>
      <c r="BD86" s="284"/>
      <c r="BE86" s="284"/>
      <c r="BF86" s="295"/>
      <c r="BG86" s="292"/>
      <c r="BH86" s="290"/>
      <c r="BI86" s="290"/>
      <c r="BJ86" s="290"/>
      <c r="BK86" s="284"/>
      <c r="BL86" s="284"/>
      <c r="BM86" s="284"/>
      <c r="BN86" s="284"/>
      <c r="BO86" s="284"/>
      <c r="BP86" s="284"/>
      <c r="BQ86" s="284"/>
      <c r="BS86" s="284"/>
      <c r="BT86" s="284"/>
      <c r="BU86" s="295"/>
      <c r="BV86" s="292"/>
      <c r="BW86" s="290"/>
      <c r="BX86" s="290"/>
      <c r="BY86" s="290"/>
      <c r="BZ86" s="284"/>
      <c r="CA86" s="284"/>
      <c r="CB86" s="284"/>
      <c r="CC86" s="284"/>
      <c r="CD86" s="284"/>
      <c r="CE86" s="284"/>
      <c r="CF86" s="284"/>
      <c r="CG86" s="284"/>
      <c r="CH86" s="284"/>
      <c r="CI86" s="284"/>
      <c r="CJ86" s="295"/>
    </row>
    <row r="87" spans="1:88" x14ac:dyDescent="0.25">
      <c r="B87" s="265">
        <f>B86</f>
        <v>11</v>
      </c>
      <c r="C87" s="265">
        <v>4</v>
      </c>
      <c r="D87" s="265" t="str">
        <f t="shared" si="67"/>
        <v>EMPTY_WEST_L_2_15</v>
      </c>
      <c r="E87" s="265" t="s">
        <v>0</v>
      </c>
      <c r="F87" s="34" t="s">
        <v>32</v>
      </c>
      <c r="G87" s="3" t="s">
        <v>19</v>
      </c>
      <c r="H87" s="3">
        <v>2</v>
      </c>
      <c r="I87" s="3">
        <v>2</v>
      </c>
      <c r="J87" s="3" t="s">
        <v>13</v>
      </c>
      <c r="K87" s="90"/>
      <c r="L87" s="90">
        <f>COUNT(N87:AQ87)</f>
        <v>17</v>
      </c>
      <c r="M87" s="30" t="s">
        <v>28</v>
      </c>
      <c r="N87" s="292">
        <v>1</v>
      </c>
      <c r="O87" s="86">
        <f t="shared" ref="O87:AD88" si="73">N87+1</f>
        <v>2</v>
      </c>
      <c r="P87" s="86">
        <f t="shared" si="73"/>
        <v>3</v>
      </c>
      <c r="Q87" s="86">
        <f t="shared" si="73"/>
        <v>4</v>
      </c>
      <c r="R87" s="86">
        <f t="shared" si="73"/>
        <v>5</v>
      </c>
      <c r="S87" s="86">
        <f t="shared" si="73"/>
        <v>6</v>
      </c>
      <c r="T87" s="86">
        <f t="shared" si="73"/>
        <v>7</v>
      </c>
      <c r="U87" s="86">
        <f t="shared" si="73"/>
        <v>8</v>
      </c>
      <c r="V87" s="336">
        <f t="shared" si="73"/>
        <v>9</v>
      </c>
      <c r="W87" s="319">
        <f t="shared" si="73"/>
        <v>10</v>
      </c>
      <c r="X87" s="3">
        <f t="shared" si="73"/>
        <v>11</v>
      </c>
      <c r="Y87" s="3">
        <f t="shared" si="73"/>
        <v>12</v>
      </c>
      <c r="Z87" s="3">
        <f t="shared" si="73"/>
        <v>13</v>
      </c>
      <c r="AA87" s="3">
        <f t="shared" si="73"/>
        <v>14</v>
      </c>
      <c r="AB87" s="280">
        <f t="shared" si="73"/>
        <v>15</v>
      </c>
      <c r="AC87" s="319">
        <f t="shared" si="73"/>
        <v>16</v>
      </c>
      <c r="AD87" s="3">
        <f t="shared" si="73"/>
        <v>17</v>
      </c>
      <c r="AE87" s="256"/>
      <c r="AF87" s="258"/>
      <c r="AG87" s="284"/>
      <c r="AH87" s="284"/>
      <c r="AI87" s="284"/>
      <c r="AJ87" s="284"/>
      <c r="AK87" s="293"/>
      <c r="AL87" s="290"/>
      <c r="AM87" s="284"/>
      <c r="AN87" s="284"/>
      <c r="AO87" s="284"/>
      <c r="AP87" s="284"/>
      <c r="AQ87" s="329"/>
      <c r="AR87" s="292"/>
      <c r="AS87" s="290"/>
      <c r="AT87" s="290"/>
      <c r="AU87" s="290"/>
      <c r="AV87" s="284"/>
      <c r="AW87" s="284"/>
      <c r="AX87" s="284"/>
      <c r="AY87" s="284"/>
      <c r="AZ87" s="284"/>
      <c r="BA87" s="284"/>
      <c r="BB87" s="284"/>
      <c r="BC87" s="284"/>
      <c r="BD87" s="284"/>
      <c r="BE87" s="284"/>
      <c r="BF87" s="295"/>
      <c r="BG87" s="292"/>
      <c r="BH87" s="290"/>
      <c r="BI87" s="290"/>
      <c r="BJ87" s="290"/>
      <c r="BK87" s="284"/>
      <c r="BL87" s="284"/>
      <c r="BM87" s="284"/>
      <c r="BN87" s="284"/>
      <c r="BO87" s="284"/>
      <c r="BP87" s="284"/>
      <c r="BQ87" s="284"/>
      <c r="BR87" s="284"/>
      <c r="BS87" s="284"/>
      <c r="BT87" s="284"/>
      <c r="BU87" s="295"/>
      <c r="BV87" s="292"/>
      <c r="BW87" s="290"/>
      <c r="BX87" s="290"/>
      <c r="BY87" s="290"/>
      <c r="BZ87" s="284"/>
      <c r="CA87" s="284"/>
      <c r="CB87" s="284"/>
      <c r="CC87" s="284"/>
      <c r="CD87" s="284"/>
      <c r="CE87" s="284"/>
      <c r="CF87" s="284"/>
      <c r="CG87" s="284"/>
      <c r="CH87" s="284"/>
      <c r="CI87" s="284"/>
      <c r="CJ87" s="295"/>
    </row>
    <row r="88" spans="1:88" hidden="1" x14ac:dyDescent="0.25">
      <c r="B88" s="265">
        <v>11</v>
      </c>
      <c r="C88" s="265">
        <v>5</v>
      </c>
      <c r="D88" s="265" t="str">
        <f t="shared" si="67"/>
        <v>PREPARE_WEST_L_2_15</v>
      </c>
      <c r="E88" s="265" t="s">
        <v>0</v>
      </c>
      <c r="F88" s="49" t="s">
        <v>46</v>
      </c>
      <c r="G88" s="3" t="s">
        <v>19</v>
      </c>
      <c r="H88" s="3">
        <v>2</v>
      </c>
      <c r="I88" s="3">
        <v>2</v>
      </c>
      <c r="J88" s="3" t="s">
        <v>13</v>
      </c>
      <c r="K88" s="37"/>
      <c r="L88" s="90">
        <f>COUNT(N88:AQ88)</f>
        <v>19</v>
      </c>
      <c r="M88" s="30" t="s">
        <v>28</v>
      </c>
      <c r="N88" s="292">
        <v>1</v>
      </c>
      <c r="O88" s="86">
        <f t="shared" si="73"/>
        <v>2</v>
      </c>
      <c r="P88" s="86">
        <f t="shared" si="73"/>
        <v>3</v>
      </c>
      <c r="Q88" s="86">
        <f t="shared" si="73"/>
        <v>4</v>
      </c>
      <c r="R88" s="86">
        <f t="shared" si="73"/>
        <v>5</v>
      </c>
      <c r="S88" s="86">
        <f t="shared" si="73"/>
        <v>6</v>
      </c>
      <c r="T88" s="86">
        <f t="shared" si="73"/>
        <v>7</v>
      </c>
      <c r="U88" s="86">
        <f t="shared" si="73"/>
        <v>8</v>
      </c>
      <c r="V88" s="336">
        <f t="shared" si="73"/>
        <v>9</v>
      </c>
      <c r="W88" s="319">
        <f t="shared" si="73"/>
        <v>10</v>
      </c>
      <c r="X88" s="3">
        <f t="shared" si="73"/>
        <v>11</v>
      </c>
      <c r="Y88" s="3">
        <f t="shared" si="73"/>
        <v>12</v>
      </c>
      <c r="Z88" s="3">
        <f t="shared" si="73"/>
        <v>13</v>
      </c>
      <c r="AA88" s="3">
        <f t="shared" si="73"/>
        <v>14</v>
      </c>
      <c r="AB88" s="280">
        <f t="shared" si="73"/>
        <v>15</v>
      </c>
      <c r="AC88" s="319">
        <f t="shared" si="73"/>
        <v>16</v>
      </c>
      <c r="AD88" s="3">
        <f t="shared" si="73"/>
        <v>17</v>
      </c>
      <c r="AE88" s="3">
        <f t="shared" ref="AE88:AF88" si="74">AD88+1</f>
        <v>18</v>
      </c>
      <c r="AF88" s="3">
        <f t="shared" si="74"/>
        <v>19</v>
      </c>
      <c r="AG88" s="258"/>
      <c r="AH88" s="258"/>
      <c r="AI88" s="284"/>
      <c r="AJ88" s="284"/>
      <c r="AK88" s="293"/>
      <c r="AL88" s="290"/>
      <c r="AM88" s="284"/>
      <c r="AN88" s="284"/>
      <c r="AO88" s="284"/>
      <c r="AP88" s="284"/>
      <c r="AQ88" s="290"/>
      <c r="AR88" s="292"/>
      <c r="AS88" s="297"/>
      <c r="AT88" s="284"/>
      <c r="AU88" s="284"/>
      <c r="AV88" s="284"/>
      <c r="AW88" s="284"/>
      <c r="AX88" s="284"/>
      <c r="AY88" s="284"/>
      <c r="AZ88" s="284"/>
      <c r="BA88" s="284"/>
      <c r="BB88" s="284"/>
      <c r="BC88" s="284"/>
      <c r="BD88" s="284"/>
      <c r="BE88" s="284"/>
      <c r="BF88" s="295"/>
      <c r="BG88" s="292"/>
      <c r="BH88" s="290"/>
      <c r="BI88" s="290"/>
      <c r="BJ88" s="290"/>
      <c r="BK88" s="284"/>
      <c r="BL88" s="284"/>
      <c r="BM88" s="284"/>
      <c r="BN88" s="284"/>
      <c r="BO88" s="284"/>
      <c r="BP88" s="284"/>
      <c r="BQ88" s="284"/>
      <c r="BR88" s="284"/>
      <c r="BS88" s="284"/>
      <c r="BT88" s="284"/>
      <c r="BU88" s="295"/>
      <c r="BV88" s="292"/>
      <c r="BW88" s="290"/>
      <c r="BX88" s="290"/>
      <c r="BY88" s="290"/>
      <c r="BZ88" s="284"/>
      <c r="CA88" s="284"/>
      <c r="CB88" s="284"/>
      <c r="CC88" s="284"/>
      <c r="CD88" s="284"/>
      <c r="CE88" s="284"/>
      <c r="CF88" s="284"/>
      <c r="CG88" s="284"/>
      <c r="CH88" s="284"/>
      <c r="CI88" s="284"/>
      <c r="CJ88" s="295"/>
    </row>
    <row r="89" spans="1:88" hidden="1" x14ac:dyDescent="0.25">
      <c r="B89" s="265">
        <f>B87</f>
        <v>11</v>
      </c>
      <c r="C89" s="265">
        <v>6</v>
      </c>
      <c r="D89" s="265" t="str">
        <f t="shared" si="67"/>
        <v>COUNTDOWN_WEST_L_2_15</v>
      </c>
      <c r="E89" s="265"/>
      <c r="F89" s="34" t="s">
        <v>33</v>
      </c>
      <c r="G89" s="3" t="s">
        <v>19</v>
      </c>
      <c r="H89" s="3">
        <v>2</v>
      </c>
      <c r="I89" s="3">
        <v>2</v>
      </c>
      <c r="J89" s="3" t="s">
        <v>13</v>
      </c>
      <c r="K89" s="32"/>
      <c r="L89" s="32"/>
      <c r="M89" s="30" t="s">
        <v>28</v>
      </c>
      <c r="N89" s="292">
        <v>4</v>
      </c>
      <c r="O89" s="290">
        <v>3</v>
      </c>
      <c r="P89" s="290">
        <v>2</v>
      </c>
      <c r="Q89" s="290">
        <v>1</v>
      </c>
      <c r="R89" s="284">
        <v>15</v>
      </c>
      <c r="S89" s="284">
        <v>14</v>
      </c>
      <c r="T89" s="284">
        <v>13</v>
      </c>
      <c r="U89" s="284">
        <v>12</v>
      </c>
      <c r="V89" s="298">
        <v>11</v>
      </c>
      <c r="W89" s="328">
        <v>10</v>
      </c>
      <c r="X89" s="284">
        <v>9</v>
      </c>
      <c r="Y89" s="284">
        <v>8</v>
      </c>
      <c r="Z89" s="284">
        <v>7</v>
      </c>
      <c r="AA89" s="284">
        <v>6</v>
      </c>
      <c r="AB89" s="293">
        <v>5</v>
      </c>
      <c r="AC89" s="328">
        <v>4</v>
      </c>
      <c r="AD89" s="284">
        <v>3</v>
      </c>
      <c r="AE89" s="284">
        <v>2</v>
      </c>
      <c r="AF89" s="284">
        <v>1</v>
      </c>
      <c r="AG89" s="284">
        <v>15</v>
      </c>
      <c r="AH89" s="284">
        <v>14</v>
      </c>
      <c r="AI89" s="284">
        <v>13</v>
      </c>
      <c r="AJ89" s="284">
        <v>12</v>
      </c>
      <c r="AK89" s="293">
        <v>11</v>
      </c>
      <c r="AL89" s="290">
        <v>10</v>
      </c>
      <c r="AM89" s="284">
        <v>9</v>
      </c>
      <c r="AN89" s="284">
        <v>8</v>
      </c>
      <c r="AO89" s="284">
        <v>7</v>
      </c>
      <c r="AP89" s="284">
        <v>6</v>
      </c>
      <c r="AQ89" s="295">
        <v>5</v>
      </c>
      <c r="AR89" s="292">
        <v>4</v>
      </c>
      <c r="AS89" s="290">
        <v>3</v>
      </c>
      <c r="AT89" s="290">
        <v>2</v>
      </c>
      <c r="AU89" s="290">
        <v>1</v>
      </c>
      <c r="AV89" s="284">
        <v>15</v>
      </c>
      <c r="AW89" s="284">
        <v>14</v>
      </c>
      <c r="AX89" s="284">
        <v>13</v>
      </c>
      <c r="AY89" s="284">
        <v>12</v>
      </c>
      <c r="AZ89" s="284">
        <v>11</v>
      </c>
      <c r="BA89" s="284">
        <v>10</v>
      </c>
      <c r="BB89" s="284">
        <v>9</v>
      </c>
      <c r="BC89" s="284">
        <v>8</v>
      </c>
      <c r="BD89" s="284">
        <v>7</v>
      </c>
      <c r="BE89" s="284">
        <v>6</v>
      </c>
      <c r="BF89" s="295">
        <v>5</v>
      </c>
      <c r="BG89" s="292">
        <v>4</v>
      </c>
      <c r="BH89" s="290">
        <v>3</v>
      </c>
      <c r="BI89" s="290">
        <v>2</v>
      </c>
      <c r="BJ89" s="290">
        <v>1</v>
      </c>
      <c r="BK89" s="284">
        <v>15</v>
      </c>
      <c r="BL89" s="284">
        <v>14</v>
      </c>
      <c r="BM89" s="284">
        <v>13</v>
      </c>
      <c r="BN89" s="284">
        <v>12</v>
      </c>
      <c r="BO89" s="284">
        <v>11</v>
      </c>
      <c r="BP89" s="284">
        <v>10</v>
      </c>
      <c r="BQ89" s="284">
        <v>9</v>
      </c>
      <c r="BR89" s="284">
        <v>8</v>
      </c>
      <c r="BS89" s="284">
        <v>7</v>
      </c>
      <c r="BT89" s="284">
        <v>6</v>
      </c>
      <c r="BU89" s="295">
        <v>5</v>
      </c>
      <c r="BV89" s="292">
        <v>4</v>
      </c>
      <c r="BW89" s="290">
        <v>3</v>
      </c>
      <c r="BX89" s="290">
        <v>2</v>
      </c>
      <c r="BY89" s="290">
        <v>1</v>
      </c>
      <c r="BZ89" s="284">
        <v>15</v>
      </c>
      <c r="CA89" s="284">
        <v>14</v>
      </c>
      <c r="CB89" s="284">
        <v>13</v>
      </c>
      <c r="CC89" s="284">
        <v>12</v>
      </c>
      <c r="CD89" s="284">
        <v>11</v>
      </c>
      <c r="CE89" s="284">
        <v>10</v>
      </c>
      <c r="CF89" s="284">
        <v>9</v>
      </c>
      <c r="CG89" s="284">
        <v>8</v>
      </c>
      <c r="CH89" s="284">
        <v>7</v>
      </c>
      <c r="CI89" s="284">
        <v>6</v>
      </c>
      <c r="CJ89" s="295">
        <v>5</v>
      </c>
    </row>
    <row r="90" spans="1:88" hidden="1" x14ac:dyDescent="0.25">
      <c r="B90" s="265">
        <v>14</v>
      </c>
      <c r="C90" s="265">
        <v>1</v>
      </c>
      <c r="D90" s="265" t="str">
        <f t="shared" si="67"/>
        <v>SORTING_WEST_N_1_15</v>
      </c>
      <c r="E90" s="265" t="s">
        <v>35</v>
      </c>
      <c r="F90" s="49" t="s">
        <v>45</v>
      </c>
      <c r="G90" s="3" t="s">
        <v>19</v>
      </c>
      <c r="H90" s="3">
        <v>1</v>
      </c>
      <c r="I90" s="3">
        <v>1</v>
      </c>
      <c r="J90" s="3" t="s">
        <v>15</v>
      </c>
      <c r="K90" s="37"/>
      <c r="L90" s="90">
        <f>COUNT(W90:AQ90)</f>
        <v>7</v>
      </c>
      <c r="M90" s="30"/>
      <c r="N90" s="323"/>
      <c r="O90" s="324"/>
      <c r="P90" s="324"/>
      <c r="Q90" s="324"/>
      <c r="R90" s="256"/>
      <c r="S90" s="256"/>
      <c r="T90" s="256"/>
      <c r="U90" s="256"/>
      <c r="V90" s="325"/>
      <c r="W90" s="328">
        <v>1</v>
      </c>
      <c r="X90" s="33">
        <f t="shared" ref="X90:AI92" si="75">W90+1</f>
        <v>2</v>
      </c>
      <c r="Y90" s="33">
        <f t="shared" si="75"/>
        <v>3</v>
      </c>
      <c r="Z90" s="33">
        <f t="shared" si="75"/>
        <v>4</v>
      </c>
      <c r="AA90" s="33">
        <f t="shared" si="75"/>
        <v>5</v>
      </c>
      <c r="AB90" s="282">
        <f t="shared" si="75"/>
        <v>6</v>
      </c>
      <c r="AC90" s="321">
        <f t="shared" si="75"/>
        <v>7</v>
      </c>
      <c r="AD90" s="258"/>
      <c r="AE90" s="258"/>
      <c r="AF90" s="284"/>
      <c r="AG90" s="284"/>
      <c r="AH90" s="284"/>
      <c r="AI90" s="284"/>
      <c r="AJ90" s="284"/>
      <c r="AK90" s="293"/>
      <c r="AL90" s="290"/>
      <c r="AM90" s="284"/>
      <c r="AN90" s="284"/>
      <c r="AO90" s="284"/>
      <c r="AP90" s="284"/>
      <c r="AQ90" s="295"/>
      <c r="AR90" s="292"/>
      <c r="AS90" s="290"/>
      <c r="AT90" s="290"/>
      <c r="AU90" s="290"/>
      <c r="AV90" s="284"/>
      <c r="AW90" s="284"/>
      <c r="AX90" s="284"/>
      <c r="AY90" s="284"/>
      <c r="AZ90" s="284"/>
      <c r="BA90" s="284"/>
      <c r="BB90" s="284"/>
      <c r="BC90" s="284"/>
      <c r="BD90" s="284"/>
      <c r="BE90" s="284"/>
      <c r="BF90" s="295"/>
      <c r="BG90" s="292"/>
      <c r="BH90" s="290"/>
      <c r="BI90" s="290"/>
      <c r="BJ90" s="290"/>
      <c r="BK90" s="284"/>
      <c r="BL90" s="284"/>
      <c r="BM90" s="284"/>
      <c r="BN90" s="284"/>
      <c r="BO90" s="284"/>
      <c r="BP90" s="284"/>
      <c r="BQ90" s="284"/>
      <c r="BR90" s="284"/>
      <c r="BS90" s="284"/>
      <c r="BT90" s="284"/>
      <c r="BU90" s="295"/>
      <c r="BV90" s="292"/>
      <c r="BW90" s="290"/>
      <c r="BX90" s="290"/>
      <c r="BY90" s="290"/>
      <c r="BZ90" s="284"/>
      <c r="CA90" s="284"/>
      <c r="CB90" s="284"/>
      <c r="CC90" s="284"/>
      <c r="CD90" s="284"/>
      <c r="CE90" s="284"/>
      <c r="CF90" s="284"/>
      <c r="CG90" s="284"/>
      <c r="CH90" s="284"/>
      <c r="CI90" s="284"/>
      <c r="CJ90" s="295"/>
    </row>
    <row r="91" spans="1:88" hidden="1" x14ac:dyDescent="0.25">
      <c r="B91" s="265">
        <v>14</v>
      </c>
      <c r="C91" s="265">
        <v>2</v>
      </c>
      <c r="D91" s="265" t="str">
        <f t="shared" si="67"/>
        <v>TRANSFER_WEST_N_1_15</v>
      </c>
      <c r="E91" s="265" t="s">
        <v>21</v>
      </c>
      <c r="F91" s="49" t="s">
        <v>21</v>
      </c>
      <c r="G91" s="3" t="s">
        <v>19</v>
      </c>
      <c r="H91" s="3">
        <v>1</v>
      </c>
      <c r="I91" s="3">
        <v>1</v>
      </c>
      <c r="J91" s="3" t="s">
        <v>15</v>
      </c>
      <c r="K91" s="37"/>
      <c r="L91" s="90">
        <f>COUNT(W91:AQ91)</f>
        <v>9</v>
      </c>
      <c r="M91" s="30"/>
      <c r="N91" s="323"/>
      <c r="O91" s="324"/>
      <c r="P91" s="324"/>
      <c r="Q91" s="324"/>
      <c r="R91" s="256"/>
      <c r="S91" s="256"/>
      <c r="T91" s="256"/>
      <c r="U91" s="256"/>
      <c r="V91" s="325"/>
      <c r="W91" s="328">
        <v>1</v>
      </c>
      <c r="X91" s="3">
        <f t="shared" si="75"/>
        <v>2</v>
      </c>
      <c r="Y91" s="3">
        <f t="shared" si="75"/>
        <v>3</v>
      </c>
      <c r="Z91" s="3">
        <f t="shared" si="75"/>
        <v>4</v>
      </c>
      <c r="AA91" s="3">
        <f t="shared" si="75"/>
        <v>5</v>
      </c>
      <c r="AB91" s="280">
        <f t="shared" si="75"/>
        <v>6</v>
      </c>
      <c r="AC91" s="319">
        <f t="shared" si="75"/>
        <v>7</v>
      </c>
      <c r="AD91" s="3">
        <f t="shared" si="75"/>
        <v>8</v>
      </c>
      <c r="AE91" s="3">
        <f t="shared" si="75"/>
        <v>9</v>
      </c>
      <c r="AF91" s="258"/>
      <c r="AG91" s="284"/>
      <c r="AH91" s="284"/>
      <c r="AI91" s="284"/>
      <c r="AJ91" s="284"/>
      <c r="AK91" s="293"/>
      <c r="AL91" s="290"/>
      <c r="AM91" s="284"/>
      <c r="AN91" s="284"/>
      <c r="AO91" s="284"/>
      <c r="AP91" s="284"/>
      <c r="AQ91" s="295"/>
      <c r="AR91" s="292"/>
      <c r="AS91" s="290"/>
      <c r="AT91" s="290"/>
      <c r="AU91" s="290"/>
      <c r="AV91" s="284"/>
      <c r="AW91" s="284"/>
      <c r="AX91" s="284"/>
      <c r="AY91" s="284"/>
      <c r="AZ91" s="284"/>
      <c r="BA91" s="284"/>
      <c r="BB91" s="284"/>
      <c r="BC91" s="284"/>
      <c r="BD91" s="284"/>
      <c r="BE91" s="284"/>
      <c r="BF91" s="295"/>
      <c r="BG91" s="292"/>
      <c r="BH91" s="290"/>
      <c r="BI91" s="290"/>
      <c r="BJ91" s="290"/>
      <c r="BK91" s="284"/>
      <c r="BL91" s="284"/>
      <c r="BM91" s="284"/>
      <c r="BN91" s="284"/>
      <c r="BO91" s="284"/>
      <c r="BP91" s="284"/>
      <c r="BQ91" s="284"/>
      <c r="BR91" s="284"/>
      <c r="BS91" s="284"/>
      <c r="BT91" s="284"/>
      <c r="BU91" s="295"/>
      <c r="BV91" s="292"/>
      <c r="BW91" s="290"/>
      <c r="BX91" s="290"/>
      <c r="BY91" s="290"/>
      <c r="BZ91" s="284"/>
      <c r="CA91" s="284"/>
      <c r="CB91" s="284"/>
      <c r="CC91" s="284"/>
      <c r="CD91" s="284"/>
      <c r="CE91" s="284"/>
      <c r="CF91" s="284"/>
      <c r="CG91" s="284"/>
      <c r="CH91" s="284"/>
      <c r="CI91" s="284"/>
      <c r="CJ91" s="295"/>
    </row>
    <row r="92" spans="1:88" hidden="1" x14ac:dyDescent="0.25">
      <c r="B92" s="265">
        <v>14</v>
      </c>
      <c r="C92" s="265">
        <v>3</v>
      </c>
      <c r="D92" s="265" t="str">
        <f t="shared" si="67"/>
        <v>SUPPLY_WEST_N_1_15</v>
      </c>
      <c r="E92" s="265" t="s">
        <v>0</v>
      </c>
      <c r="F92" s="34" t="s">
        <v>0</v>
      </c>
      <c r="G92" s="3" t="s">
        <v>19</v>
      </c>
      <c r="H92" s="3">
        <v>1</v>
      </c>
      <c r="I92" s="3">
        <v>1</v>
      </c>
      <c r="J92" s="3" t="s">
        <v>15</v>
      </c>
      <c r="K92" s="90"/>
      <c r="L92" s="90">
        <f>COUNT(AC92:BF92)</f>
        <v>7</v>
      </c>
      <c r="M92" s="30"/>
      <c r="N92" s="323"/>
      <c r="O92" s="324"/>
      <c r="P92" s="324"/>
      <c r="Q92" s="324"/>
      <c r="R92" s="256"/>
      <c r="S92" s="256"/>
      <c r="T92" s="256"/>
      <c r="U92" s="256"/>
      <c r="V92" s="325"/>
      <c r="W92" s="326"/>
      <c r="X92" s="256"/>
      <c r="Y92" s="256"/>
      <c r="Z92" s="256"/>
      <c r="AA92" s="256"/>
      <c r="AB92" s="341"/>
      <c r="AC92" s="328">
        <v>1</v>
      </c>
      <c r="AD92" s="3">
        <f>AC92+1</f>
        <v>2</v>
      </c>
      <c r="AE92" s="3">
        <f t="shared" si="75"/>
        <v>3</v>
      </c>
      <c r="AF92" s="3">
        <f t="shared" si="75"/>
        <v>4</v>
      </c>
      <c r="AG92" s="3">
        <f t="shared" si="75"/>
        <v>5</v>
      </c>
      <c r="AH92" s="3">
        <f t="shared" si="75"/>
        <v>6</v>
      </c>
      <c r="AI92" s="3">
        <f t="shared" si="75"/>
        <v>7</v>
      </c>
      <c r="AJ92" s="258"/>
      <c r="AK92" s="300"/>
      <c r="AL92" s="299"/>
      <c r="AM92" s="258"/>
      <c r="AN92" s="258"/>
      <c r="AO92" s="258"/>
      <c r="AP92" s="258"/>
      <c r="AQ92" s="259"/>
      <c r="AR92" s="330"/>
      <c r="AS92" s="301"/>
      <c r="AT92" s="301"/>
      <c r="AU92" s="301"/>
      <c r="AV92" s="284"/>
      <c r="AW92" s="284"/>
      <c r="AX92" s="284"/>
      <c r="AY92" s="284"/>
      <c r="AZ92" s="284"/>
      <c r="BA92" s="284"/>
      <c r="BB92" s="284"/>
      <c r="BC92" s="284"/>
      <c r="BD92" s="284"/>
      <c r="BE92" s="284"/>
      <c r="BF92" s="295"/>
      <c r="BG92" s="296"/>
      <c r="BH92" s="297"/>
      <c r="BI92" s="297"/>
      <c r="BJ92" s="297"/>
      <c r="BK92" s="284"/>
      <c r="BL92" s="284"/>
      <c r="BM92" s="284"/>
      <c r="BO92" s="284"/>
      <c r="BP92" s="284"/>
      <c r="BQ92" s="284"/>
      <c r="BR92" s="284"/>
      <c r="BS92" s="284"/>
      <c r="BT92" s="284"/>
      <c r="BU92" s="295"/>
      <c r="BV92" s="292"/>
      <c r="BW92" s="290"/>
      <c r="BX92" s="290"/>
      <c r="BY92" s="290"/>
      <c r="BZ92" s="284"/>
      <c r="CA92" s="284"/>
      <c r="CB92" s="284"/>
      <c r="CD92" s="284"/>
      <c r="CE92" s="284"/>
      <c r="CF92" s="284"/>
      <c r="CG92" s="284"/>
      <c r="CH92" s="284"/>
      <c r="CI92" s="284"/>
      <c r="CJ92" s="295"/>
    </row>
    <row r="93" spans="1:88" x14ac:dyDescent="0.25">
      <c r="B93" s="265">
        <f>B92</f>
        <v>14</v>
      </c>
      <c r="C93" s="265">
        <v>4</v>
      </c>
      <c r="D93" s="265" t="str">
        <f t="shared" si="67"/>
        <v>EMPTY_WEST_N_1_15</v>
      </c>
      <c r="E93" s="265" t="s">
        <v>0</v>
      </c>
      <c r="F93" s="34" t="s">
        <v>32</v>
      </c>
      <c r="G93" s="3" t="s">
        <v>19</v>
      </c>
      <c r="H93" s="3">
        <v>1</v>
      </c>
      <c r="I93" s="3">
        <v>1</v>
      </c>
      <c r="J93" s="3" t="s">
        <v>15</v>
      </c>
      <c r="K93" s="90"/>
      <c r="L93" s="90">
        <f>COUNT(N93:AQ93)</f>
        <v>19</v>
      </c>
      <c r="M93" s="30"/>
      <c r="N93" s="292">
        <v>1</v>
      </c>
      <c r="O93" s="86">
        <f t="shared" ref="O93:AF94" si="76">N93+1</f>
        <v>2</v>
      </c>
      <c r="P93" s="86">
        <f t="shared" si="76"/>
        <v>3</v>
      </c>
      <c r="Q93" s="86">
        <f t="shared" si="76"/>
        <v>4</v>
      </c>
      <c r="R93" s="86">
        <f t="shared" si="76"/>
        <v>5</v>
      </c>
      <c r="S93" s="86">
        <f t="shared" si="76"/>
        <v>6</v>
      </c>
      <c r="T93" s="86">
        <f t="shared" si="76"/>
        <v>7</v>
      </c>
      <c r="U93" s="86">
        <f t="shared" si="76"/>
        <v>8</v>
      </c>
      <c r="V93" s="336">
        <f t="shared" si="76"/>
        <v>9</v>
      </c>
      <c r="W93" s="319">
        <f t="shared" si="76"/>
        <v>10</v>
      </c>
      <c r="X93" s="3">
        <f t="shared" si="76"/>
        <v>11</v>
      </c>
      <c r="Y93" s="3">
        <f t="shared" si="76"/>
        <v>12</v>
      </c>
      <c r="Z93" s="3">
        <f t="shared" si="76"/>
        <v>13</v>
      </c>
      <c r="AA93" s="3">
        <f t="shared" si="76"/>
        <v>14</v>
      </c>
      <c r="AB93" s="280">
        <f t="shared" si="76"/>
        <v>15</v>
      </c>
      <c r="AC93" s="319">
        <f t="shared" si="76"/>
        <v>16</v>
      </c>
      <c r="AD93" s="3">
        <f t="shared" si="76"/>
        <v>17</v>
      </c>
      <c r="AE93" s="3">
        <f t="shared" si="76"/>
        <v>18</v>
      </c>
      <c r="AF93" s="3">
        <f t="shared" si="76"/>
        <v>19</v>
      </c>
      <c r="AG93" s="256"/>
      <c r="AH93" s="284"/>
      <c r="AI93" s="284"/>
      <c r="AJ93" s="284"/>
      <c r="AK93" s="293"/>
      <c r="AL93" s="290"/>
      <c r="AM93" s="284"/>
      <c r="AN93" s="284"/>
      <c r="AO93" s="284"/>
      <c r="AP93" s="284"/>
      <c r="AQ93" s="295"/>
      <c r="AR93" s="292"/>
      <c r="AS93" s="290"/>
      <c r="AT93" s="290"/>
      <c r="AU93" s="290"/>
      <c r="AV93" s="284"/>
      <c r="AW93" s="284"/>
      <c r="AX93" s="284"/>
      <c r="AY93" s="284"/>
      <c r="AZ93" s="284"/>
      <c r="BA93" s="284"/>
      <c r="BB93" s="284"/>
      <c r="BC93" s="284"/>
      <c r="BD93" s="284"/>
      <c r="BE93" s="284"/>
      <c r="BF93" s="295"/>
      <c r="BG93" s="292"/>
      <c r="BH93" s="290"/>
      <c r="BI93" s="290"/>
      <c r="BJ93" s="290"/>
      <c r="BK93" s="284"/>
      <c r="BL93" s="284"/>
      <c r="BM93" s="284"/>
      <c r="BN93" s="284"/>
      <c r="BO93" s="284"/>
      <c r="BP93" s="284"/>
      <c r="BQ93" s="284"/>
      <c r="BR93" s="284"/>
      <c r="BS93" s="284"/>
      <c r="BT93" s="284"/>
      <c r="BU93" s="295"/>
      <c r="BV93" s="292"/>
      <c r="BW93" s="290"/>
      <c r="BX93" s="290"/>
      <c r="BY93" s="290"/>
      <c r="BZ93" s="284"/>
      <c r="CA93" s="284"/>
      <c r="CB93" s="284"/>
      <c r="CC93" s="284"/>
      <c r="CD93" s="284"/>
      <c r="CE93" s="284"/>
      <c r="CF93" s="284"/>
      <c r="CG93" s="284"/>
      <c r="CH93" s="284"/>
      <c r="CI93" s="284"/>
      <c r="CJ93" s="295"/>
    </row>
    <row r="94" spans="1:88" hidden="1" x14ac:dyDescent="0.25">
      <c r="B94" s="265">
        <v>14</v>
      </c>
      <c r="C94" s="265">
        <v>5</v>
      </c>
      <c r="D94" s="265" t="str">
        <f t="shared" si="67"/>
        <v>PREPARE_WEST_N_1_15</v>
      </c>
      <c r="E94" s="265" t="s">
        <v>0</v>
      </c>
      <c r="F94" s="49" t="s">
        <v>46</v>
      </c>
      <c r="G94" s="3" t="s">
        <v>19</v>
      </c>
      <c r="H94" s="3">
        <v>1</v>
      </c>
      <c r="I94" s="3">
        <v>1</v>
      </c>
      <c r="J94" s="3" t="s">
        <v>15</v>
      </c>
      <c r="K94" s="37"/>
      <c r="L94" s="90">
        <f>COUNT(N94:AQ94)</f>
        <v>20</v>
      </c>
      <c r="M94" s="30"/>
      <c r="N94" s="292">
        <v>1</v>
      </c>
      <c r="O94" s="86">
        <f t="shared" si="76"/>
        <v>2</v>
      </c>
      <c r="P94" s="86">
        <f t="shared" si="76"/>
        <v>3</v>
      </c>
      <c r="Q94" s="86">
        <f t="shared" si="76"/>
        <v>4</v>
      </c>
      <c r="R94" s="86">
        <f t="shared" si="76"/>
        <v>5</v>
      </c>
      <c r="S94" s="86">
        <f t="shared" si="76"/>
        <v>6</v>
      </c>
      <c r="T94" s="86">
        <f t="shared" si="76"/>
        <v>7</v>
      </c>
      <c r="U94" s="86">
        <f t="shared" si="76"/>
        <v>8</v>
      </c>
      <c r="V94" s="336">
        <f t="shared" si="76"/>
        <v>9</v>
      </c>
      <c r="W94" s="319">
        <f t="shared" si="76"/>
        <v>10</v>
      </c>
      <c r="X94" s="3">
        <f t="shared" si="76"/>
        <v>11</v>
      </c>
      <c r="Y94" s="3">
        <f t="shared" si="76"/>
        <v>12</v>
      </c>
      <c r="Z94" s="3">
        <f t="shared" si="76"/>
        <v>13</v>
      </c>
      <c r="AA94" s="3">
        <f t="shared" si="76"/>
        <v>14</v>
      </c>
      <c r="AB94" s="280">
        <f t="shared" si="76"/>
        <v>15</v>
      </c>
      <c r="AC94" s="319">
        <f t="shared" si="76"/>
        <v>16</v>
      </c>
      <c r="AD94" s="3">
        <f t="shared" si="76"/>
        <v>17</v>
      </c>
      <c r="AE94" s="3">
        <f t="shared" si="76"/>
        <v>18</v>
      </c>
      <c r="AF94" s="3">
        <f t="shared" si="76"/>
        <v>19</v>
      </c>
      <c r="AG94" s="3">
        <f t="shared" ref="AG94" si="77">AF94+1</f>
        <v>20</v>
      </c>
      <c r="AH94" s="258"/>
      <c r="AI94" s="258"/>
      <c r="AJ94" s="284"/>
      <c r="AK94" s="293"/>
      <c r="AL94" s="290"/>
      <c r="AM94" s="284"/>
      <c r="AN94" s="284"/>
      <c r="AO94" s="284"/>
      <c r="AP94" s="284"/>
      <c r="AQ94" s="295"/>
      <c r="AR94" s="292"/>
      <c r="AS94" s="290"/>
      <c r="AT94" s="290"/>
      <c r="AU94" s="290"/>
      <c r="AV94" s="284"/>
      <c r="AW94" s="284"/>
      <c r="AX94" s="284"/>
      <c r="AY94" s="284"/>
      <c r="AZ94" s="284"/>
      <c r="BA94" s="284"/>
      <c r="BB94" s="284"/>
      <c r="BC94" s="284"/>
      <c r="BD94" s="284"/>
      <c r="BE94" s="284"/>
      <c r="BF94" s="295"/>
      <c r="BG94" s="292"/>
      <c r="BH94" s="290"/>
      <c r="BI94" s="290"/>
      <c r="BJ94" s="290"/>
      <c r="BK94" s="284"/>
      <c r="BL94" s="284"/>
      <c r="BM94" s="284"/>
      <c r="BN94" s="284"/>
      <c r="BO94" s="284"/>
      <c r="BP94" s="284"/>
      <c r="BQ94" s="284"/>
      <c r="BR94" s="284"/>
      <c r="BS94" s="284"/>
      <c r="BT94" s="284"/>
      <c r="BU94" s="295"/>
      <c r="BV94" s="292"/>
      <c r="BW94" s="290"/>
      <c r="BX94" s="290"/>
      <c r="BY94" s="290"/>
      <c r="BZ94" s="284"/>
      <c r="CA94" s="284"/>
      <c r="CB94" s="284"/>
      <c r="CC94" s="284"/>
      <c r="CD94" s="284"/>
      <c r="CE94" s="284"/>
      <c r="CF94" s="284"/>
      <c r="CG94" s="284"/>
      <c r="CH94" s="284"/>
      <c r="CI94" s="284"/>
      <c r="CJ94" s="295"/>
    </row>
    <row r="95" spans="1:88" hidden="1" x14ac:dyDescent="0.25">
      <c r="B95" s="265">
        <f>B93</f>
        <v>14</v>
      </c>
      <c r="C95" s="265">
        <v>6</v>
      </c>
      <c r="D95" s="265" t="str">
        <f t="shared" si="67"/>
        <v>COUNTDOWN_WEST_N_1_15</v>
      </c>
      <c r="E95" s="265"/>
      <c r="F95" s="34" t="s">
        <v>33</v>
      </c>
      <c r="G95" s="3" t="s">
        <v>19</v>
      </c>
      <c r="H95" s="3">
        <v>1</v>
      </c>
      <c r="I95" s="3">
        <v>1</v>
      </c>
      <c r="J95" s="3" t="s">
        <v>15</v>
      </c>
      <c r="K95" s="32"/>
      <c r="L95" s="32"/>
      <c r="M95" s="30"/>
      <c r="N95" s="292">
        <v>7</v>
      </c>
      <c r="O95" s="290">
        <v>6</v>
      </c>
      <c r="P95" s="290">
        <v>5</v>
      </c>
      <c r="Q95" s="290">
        <v>4</v>
      </c>
      <c r="R95" s="284">
        <v>3</v>
      </c>
      <c r="S95" s="284">
        <v>2</v>
      </c>
      <c r="T95" s="284">
        <v>1</v>
      </c>
      <c r="U95" s="284">
        <v>15</v>
      </c>
      <c r="V95" s="298">
        <v>14</v>
      </c>
      <c r="W95" s="328">
        <v>13</v>
      </c>
      <c r="X95" s="284">
        <v>12</v>
      </c>
      <c r="Y95" s="284">
        <v>11</v>
      </c>
      <c r="Z95" s="284">
        <v>10</v>
      </c>
      <c r="AA95" s="284">
        <v>9</v>
      </c>
      <c r="AB95" s="293">
        <v>8</v>
      </c>
      <c r="AC95" s="328">
        <v>7</v>
      </c>
      <c r="AD95" s="284">
        <v>6</v>
      </c>
      <c r="AE95" s="284">
        <v>5</v>
      </c>
      <c r="AF95" s="284">
        <v>4</v>
      </c>
      <c r="AG95" s="284">
        <v>3</v>
      </c>
      <c r="AH95" s="284">
        <v>2</v>
      </c>
      <c r="AI95" s="284">
        <v>1</v>
      </c>
      <c r="AJ95" s="284">
        <v>15</v>
      </c>
      <c r="AK95" s="293">
        <v>14</v>
      </c>
      <c r="AL95" s="290">
        <v>13</v>
      </c>
      <c r="AM95" s="284">
        <v>12</v>
      </c>
      <c r="AN95" s="284">
        <v>11</v>
      </c>
      <c r="AO95" s="284">
        <v>10</v>
      </c>
      <c r="AP95" s="284">
        <v>9</v>
      </c>
      <c r="AQ95" s="295">
        <v>8</v>
      </c>
      <c r="AR95" s="296">
        <v>7</v>
      </c>
      <c r="AS95" s="297">
        <v>6</v>
      </c>
      <c r="AT95" s="297">
        <v>5</v>
      </c>
      <c r="AU95" s="297">
        <v>4</v>
      </c>
      <c r="AV95" s="284">
        <v>3</v>
      </c>
      <c r="AW95" s="284">
        <v>2</v>
      </c>
      <c r="AX95" s="284">
        <v>1</v>
      </c>
      <c r="AY95" s="284">
        <v>15</v>
      </c>
      <c r="AZ95" s="284">
        <v>14</v>
      </c>
      <c r="BA95" s="284">
        <v>13</v>
      </c>
      <c r="BB95" s="284">
        <v>12</v>
      </c>
      <c r="BC95" s="284">
        <v>11</v>
      </c>
      <c r="BD95" s="284">
        <v>10</v>
      </c>
      <c r="BE95" s="284">
        <v>9</v>
      </c>
      <c r="BF95" s="295">
        <v>8</v>
      </c>
      <c r="BG95" s="296">
        <v>7</v>
      </c>
      <c r="BH95" s="297">
        <v>6</v>
      </c>
      <c r="BI95" s="297">
        <v>5</v>
      </c>
      <c r="BJ95" s="297">
        <v>4</v>
      </c>
      <c r="BK95" s="284">
        <v>3</v>
      </c>
      <c r="BL95" s="284">
        <v>2</v>
      </c>
      <c r="BM95" s="284">
        <v>1</v>
      </c>
      <c r="BN95" s="284">
        <v>15</v>
      </c>
      <c r="BO95" s="284">
        <v>14</v>
      </c>
      <c r="BP95" s="284">
        <v>13</v>
      </c>
      <c r="BQ95" s="284">
        <v>12</v>
      </c>
      <c r="BR95" s="284">
        <v>11</v>
      </c>
      <c r="BS95" s="284">
        <v>10</v>
      </c>
      <c r="BT95" s="284">
        <v>9</v>
      </c>
      <c r="BU95" s="295">
        <v>8</v>
      </c>
      <c r="BV95" s="292">
        <v>7</v>
      </c>
      <c r="BW95" s="290">
        <v>6</v>
      </c>
      <c r="BX95" s="290">
        <v>5</v>
      </c>
      <c r="BY95" s="290">
        <v>4</v>
      </c>
      <c r="BZ95" s="284">
        <v>3</v>
      </c>
      <c r="CA95" s="284">
        <v>2</v>
      </c>
      <c r="CB95" s="284">
        <v>1</v>
      </c>
      <c r="CC95" s="284">
        <v>15</v>
      </c>
      <c r="CD95" s="284">
        <v>14</v>
      </c>
      <c r="CE95" s="284">
        <v>13</v>
      </c>
      <c r="CF95" s="284">
        <v>12</v>
      </c>
      <c r="CG95" s="284">
        <v>11</v>
      </c>
      <c r="CH95" s="284">
        <v>10</v>
      </c>
      <c r="CI95" s="284">
        <v>9</v>
      </c>
      <c r="CJ95" s="295">
        <v>8</v>
      </c>
    </row>
    <row r="96" spans="1:88" hidden="1" x14ac:dyDescent="0.25">
      <c r="B96" s="284"/>
      <c r="C96" s="284">
        <v>1</v>
      </c>
      <c r="D96" s="265" t="str">
        <f t="shared" si="67"/>
        <v>SORTING_WEST_J_2_15</v>
      </c>
      <c r="E96" s="284" t="s">
        <v>35</v>
      </c>
      <c r="F96" s="49" t="s">
        <v>45</v>
      </c>
      <c r="G96" s="3" t="s">
        <v>19</v>
      </c>
      <c r="H96" s="3">
        <v>2</v>
      </c>
      <c r="I96" s="3">
        <v>2</v>
      </c>
      <c r="J96" s="3" t="s">
        <v>11</v>
      </c>
      <c r="K96" s="90"/>
      <c r="L96" s="90">
        <f>COUNT(W96:AQ96)</f>
        <v>9</v>
      </c>
      <c r="M96" s="30"/>
      <c r="N96" s="323"/>
      <c r="O96" s="324"/>
      <c r="P96" s="324"/>
      <c r="Q96" s="324"/>
      <c r="R96" s="256"/>
      <c r="S96" s="256"/>
      <c r="T96" s="256"/>
      <c r="U96" s="256"/>
      <c r="V96" s="325"/>
      <c r="W96" s="328">
        <v>1</v>
      </c>
      <c r="X96" s="33">
        <f t="shared" ref="X96:AJ98" si="78">W96+1</f>
        <v>2</v>
      </c>
      <c r="Y96" s="33">
        <f t="shared" si="78"/>
        <v>3</v>
      </c>
      <c r="Z96" s="33">
        <f t="shared" si="78"/>
        <v>4</v>
      </c>
      <c r="AA96" s="33">
        <f t="shared" si="78"/>
        <v>5</v>
      </c>
      <c r="AB96" s="282">
        <f t="shared" si="78"/>
        <v>6</v>
      </c>
      <c r="AC96" s="321">
        <f t="shared" si="78"/>
        <v>7</v>
      </c>
      <c r="AD96" s="33">
        <f t="shared" si="78"/>
        <v>8</v>
      </c>
      <c r="AE96" s="33">
        <f t="shared" si="78"/>
        <v>9</v>
      </c>
      <c r="AF96" s="258"/>
      <c r="AG96" s="284"/>
      <c r="AH96" s="284"/>
      <c r="AI96" s="284"/>
      <c r="AJ96" s="284"/>
      <c r="AK96" s="293"/>
      <c r="AL96" s="290"/>
      <c r="AM96" s="284"/>
      <c r="AN96" s="284"/>
      <c r="AO96" s="284"/>
      <c r="AP96" s="284"/>
      <c r="AQ96" s="295"/>
      <c r="AR96" s="296"/>
      <c r="AS96" s="297"/>
      <c r="AT96" s="297"/>
      <c r="AU96" s="297"/>
      <c r="AV96" s="284"/>
      <c r="AW96" s="284"/>
      <c r="AX96" s="284"/>
      <c r="AY96" s="284"/>
      <c r="AZ96" s="284"/>
      <c r="BA96" s="284"/>
      <c r="BB96" s="284"/>
      <c r="BC96" s="284"/>
      <c r="BD96" s="284"/>
      <c r="BE96" s="284"/>
      <c r="BF96" s="295"/>
      <c r="BG96" s="296"/>
      <c r="BH96" s="297"/>
      <c r="BI96" s="297"/>
      <c r="BJ96" s="297"/>
      <c r="BK96" s="284"/>
      <c r="BL96" s="284"/>
      <c r="BM96" s="284"/>
      <c r="BN96" s="284"/>
      <c r="BO96" s="284"/>
      <c r="BP96" s="284"/>
      <c r="BQ96" s="284"/>
      <c r="BR96" s="284"/>
      <c r="BS96" s="284"/>
      <c r="BT96" s="284"/>
      <c r="BU96" s="295"/>
      <c r="BV96" s="292"/>
      <c r="BW96" s="290"/>
      <c r="BX96" s="290"/>
      <c r="BY96" s="290"/>
      <c r="BZ96" s="284"/>
      <c r="CA96" s="284"/>
      <c r="CB96" s="284"/>
      <c r="CC96" s="284"/>
      <c r="CD96" s="284"/>
      <c r="CE96" s="284"/>
      <c r="CF96" s="284"/>
      <c r="CG96" s="284"/>
      <c r="CH96" s="284"/>
      <c r="CI96" s="284"/>
      <c r="CJ96" s="295"/>
    </row>
    <row r="97" spans="1:88" hidden="1" x14ac:dyDescent="0.25">
      <c r="B97" s="284"/>
      <c r="C97" s="284">
        <v>2</v>
      </c>
      <c r="D97" s="265" t="str">
        <f t="shared" si="67"/>
        <v>TRANSFER_WEST_J_2_15</v>
      </c>
      <c r="E97" s="284" t="s">
        <v>21</v>
      </c>
      <c r="F97" s="34" t="s">
        <v>21</v>
      </c>
      <c r="G97" s="3" t="s">
        <v>19</v>
      </c>
      <c r="H97" s="3">
        <v>2</v>
      </c>
      <c r="I97" s="3">
        <v>2</v>
      </c>
      <c r="J97" s="3" t="s">
        <v>11</v>
      </c>
      <c r="K97" s="90"/>
      <c r="L97" s="90">
        <f>COUNT(W97:AQ97)</f>
        <v>10</v>
      </c>
      <c r="M97" s="30"/>
      <c r="N97" s="323"/>
      <c r="O97" s="324"/>
      <c r="P97" s="324"/>
      <c r="Q97" s="324"/>
      <c r="R97" s="256"/>
      <c r="S97" s="256"/>
      <c r="T97" s="256"/>
      <c r="U97" s="256"/>
      <c r="V97" s="325"/>
      <c r="W97" s="328">
        <v>1</v>
      </c>
      <c r="X97" s="3">
        <f t="shared" si="78"/>
        <v>2</v>
      </c>
      <c r="Y97" s="3">
        <f t="shared" si="78"/>
        <v>3</v>
      </c>
      <c r="Z97" s="3">
        <f t="shared" si="78"/>
        <v>4</v>
      </c>
      <c r="AA97" s="3">
        <f t="shared" si="78"/>
        <v>5</v>
      </c>
      <c r="AB97" s="280">
        <f t="shared" si="78"/>
        <v>6</v>
      </c>
      <c r="AC97" s="319">
        <f t="shared" si="78"/>
        <v>7</v>
      </c>
      <c r="AD97" s="3">
        <f t="shared" si="78"/>
        <v>8</v>
      </c>
      <c r="AE97" s="3">
        <f t="shared" si="78"/>
        <v>9</v>
      </c>
      <c r="AF97" s="3">
        <f t="shared" si="78"/>
        <v>10</v>
      </c>
      <c r="AG97" s="258"/>
      <c r="AH97" s="284"/>
      <c r="AI97" s="284"/>
      <c r="AJ97" s="284"/>
      <c r="AK97" s="293"/>
      <c r="AL97" s="290"/>
      <c r="AM97" s="284"/>
      <c r="AN97" s="284"/>
      <c r="AO97" s="284"/>
      <c r="AP97" s="284"/>
      <c r="AQ97" s="295"/>
      <c r="AR97" s="296"/>
      <c r="AS97" s="297"/>
      <c r="AT97" s="297"/>
      <c r="AU97" s="297"/>
      <c r="AV97" s="284"/>
      <c r="AW97" s="284"/>
      <c r="AX97" s="284"/>
      <c r="AY97" s="284"/>
      <c r="AZ97" s="284"/>
      <c r="BA97" s="284"/>
      <c r="BB97" s="284"/>
      <c r="BC97" s="284"/>
      <c r="BD97" s="284"/>
      <c r="BE97" s="284"/>
      <c r="BF97" s="295"/>
      <c r="BG97" s="296"/>
      <c r="BH97" s="297"/>
      <c r="BI97" s="297"/>
      <c r="BJ97" s="297"/>
      <c r="BK97" s="284"/>
      <c r="BL97" s="284"/>
      <c r="BM97" s="284"/>
      <c r="BN97" s="284"/>
      <c r="BO97" s="284"/>
      <c r="BP97" s="284"/>
      <c r="BQ97" s="284"/>
      <c r="BR97" s="284"/>
      <c r="BS97" s="284"/>
      <c r="BT97" s="284"/>
      <c r="BU97" s="295"/>
      <c r="BV97" s="292"/>
      <c r="BW97" s="290"/>
      <c r="BX97" s="290"/>
      <c r="BY97" s="290"/>
      <c r="BZ97" s="284"/>
      <c r="CA97" s="284"/>
      <c r="CB97" s="284"/>
      <c r="CC97" s="284"/>
      <c r="CD97" s="284"/>
      <c r="CE97" s="284"/>
      <c r="CF97" s="284"/>
      <c r="CG97" s="284"/>
      <c r="CH97" s="284"/>
      <c r="CI97" s="284"/>
      <c r="CJ97" s="295"/>
    </row>
    <row r="98" spans="1:88" hidden="1" x14ac:dyDescent="0.25">
      <c r="B98" s="284"/>
      <c r="C98" s="284">
        <v>3</v>
      </c>
      <c r="D98" s="265" t="str">
        <f t="shared" si="67"/>
        <v>SUPPLY_WEST_J_2_15</v>
      </c>
      <c r="E98" s="284" t="s">
        <v>0</v>
      </c>
      <c r="F98" s="34" t="s">
        <v>0</v>
      </c>
      <c r="G98" s="3" t="s">
        <v>19</v>
      </c>
      <c r="H98" s="3">
        <v>2</v>
      </c>
      <c r="I98" s="3">
        <v>2</v>
      </c>
      <c r="J98" s="3" t="s">
        <v>11</v>
      </c>
      <c r="K98" s="90"/>
      <c r="L98" s="90">
        <f>COUNT(AC98:BF98)</f>
        <v>8</v>
      </c>
      <c r="M98" s="30"/>
      <c r="N98" s="323"/>
      <c r="O98" s="324"/>
      <c r="P98" s="324"/>
      <c r="Q98" s="324"/>
      <c r="R98" s="256"/>
      <c r="S98" s="256"/>
      <c r="T98" s="256"/>
      <c r="U98" s="256"/>
      <c r="V98" s="325"/>
      <c r="W98" s="326"/>
      <c r="X98" s="256"/>
      <c r="Y98" s="256"/>
      <c r="Z98" s="256"/>
      <c r="AA98" s="256"/>
      <c r="AB98" s="341"/>
      <c r="AC98" s="328">
        <v>1</v>
      </c>
      <c r="AD98" s="3">
        <f>AC98+1</f>
        <v>2</v>
      </c>
      <c r="AE98" s="3">
        <f t="shared" si="78"/>
        <v>3</v>
      </c>
      <c r="AF98" s="3">
        <f t="shared" si="78"/>
        <v>4</v>
      </c>
      <c r="AG98" s="3">
        <f t="shared" si="78"/>
        <v>5</v>
      </c>
      <c r="AH98" s="3">
        <f t="shared" si="78"/>
        <v>6</v>
      </c>
      <c r="AI98" s="3">
        <f t="shared" si="78"/>
        <v>7</v>
      </c>
      <c r="AJ98" s="3">
        <f t="shared" si="78"/>
        <v>8</v>
      </c>
      <c r="AK98" s="300"/>
      <c r="AL98" s="299"/>
      <c r="AM98" s="258"/>
      <c r="AN98" s="258"/>
      <c r="AO98" s="258"/>
      <c r="AP98" s="258"/>
      <c r="AQ98" s="259"/>
      <c r="AR98" s="330"/>
      <c r="AS98" s="301"/>
      <c r="AT98" s="301"/>
      <c r="AU98" s="301"/>
      <c r="AV98" s="258"/>
      <c r="AW98" s="284"/>
      <c r="AX98" s="284"/>
      <c r="AY98" s="284"/>
      <c r="AZ98" s="284"/>
      <c r="BA98" s="284"/>
      <c r="BB98" s="284"/>
      <c r="BC98" s="284"/>
      <c r="BD98" s="284"/>
      <c r="BE98" s="284"/>
      <c r="BF98" s="295"/>
      <c r="BG98" s="296"/>
      <c r="BH98" s="297"/>
      <c r="BI98" s="297"/>
      <c r="BJ98" s="297"/>
      <c r="BK98" s="284"/>
      <c r="BL98" s="284"/>
      <c r="BM98" s="284"/>
      <c r="BN98" s="284"/>
      <c r="BO98" s="284"/>
      <c r="BP98" s="284"/>
      <c r="BQ98" s="284"/>
      <c r="BR98" s="284"/>
      <c r="BS98" s="284"/>
      <c r="BT98" s="284"/>
      <c r="BU98" s="295"/>
      <c r="BV98" s="292"/>
      <c r="BW98" s="290"/>
      <c r="BX98" s="290"/>
      <c r="BY98" s="290"/>
      <c r="BZ98" s="284"/>
      <c r="CA98" s="284"/>
      <c r="CB98" s="284"/>
      <c r="CC98" s="284"/>
      <c r="CD98" s="284"/>
      <c r="CE98" s="284"/>
      <c r="CF98" s="284"/>
      <c r="CG98" s="284"/>
      <c r="CH98" s="284"/>
      <c r="CI98" s="284"/>
      <c r="CJ98" s="295"/>
    </row>
    <row r="99" spans="1:88" x14ac:dyDescent="0.25">
      <c r="B99" s="284"/>
      <c r="C99" s="284">
        <v>4</v>
      </c>
      <c r="D99" s="265" t="str">
        <f t="shared" si="67"/>
        <v>EMPTY_WEST_J_2_15</v>
      </c>
      <c r="E99" s="284" t="s">
        <v>0</v>
      </c>
      <c r="F99" s="34" t="s">
        <v>32</v>
      </c>
      <c r="G99" s="3" t="s">
        <v>19</v>
      </c>
      <c r="H99" s="3">
        <v>2</v>
      </c>
      <c r="I99" s="3">
        <v>2</v>
      </c>
      <c r="J99" s="3" t="s">
        <v>11</v>
      </c>
      <c r="K99" s="90"/>
      <c r="L99" s="90">
        <f>COUNT(N99:AQ99)</f>
        <v>21</v>
      </c>
      <c r="M99" s="30"/>
      <c r="N99" s="292">
        <v>1</v>
      </c>
      <c r="O99" s="86">
        <f t="shared" ref="O99:AF100" si="79">N99+1</f>
        <v>2</v>
      </c>
      <c r="P99" s="86">
        <f t="shared" si="79"/>
        <v>3</v>
      </c>
      <c r="Q99" s="86">
        <f t="shared" si="79"/>
        <v>4</v>
      </c>
      <c r="R99" s="86">
        <f t="shared" si="79"/>
        <v>5</v>
      </c>
      <c r="S99" s="86">
        <f t="shared" si="79"/>
        <v>6</v>
      </c>
      <c r="T99" s="86">
        <f t="shared" si="79"/>
        <v>7</v>
      </c>
      <c r="U99" s="86">
        <f t="shared" si="79"/>
        <v>8</v>
      </c>
      <c r="V99" s="336">
        <f t="shared" si="79"/>
        <v>9</v>
      </c>
      <c r="W99" s="319">
        <f t="shared" si="79"/>
        <v>10</v>
      </c>
      <c r="X99" s="3">
        <f t="shared" si="79"/>
        <v>11</v>
      </c>
      <c r="Y99" s="3">
        <f t="shared" si="79"/>
        <v>12</v>
      </c>
      <c r="Z99" s="3">
        <f t="shared" si="79"/>
        <v>13</v>
      </c>
      <c r="AA99" s="3">
        <f t="shared" si="79"/>
        <v>14</v>
      </c>
      <c r="AB99" s="280">
        <f t="shared" si="79"/>
        <v>15</v>
      </c>
      <c r="AC99" s="319">
        <f t="shared" si="79"/>
        <v>16</v>
      </c>
      <c r="AD99" s="3">
        <f t="shared" si="79"/>
        <v>17</v>
      </c>
      <c r="AE99" s="3">
        <f t="shared" si="79"/>
        <v>18</v>
      </c>
      <c r="AF99" s="3">
        <f t="shared" si="79"/>
        <v>19</v>
      </c>
      <c r="AG99" s="3">
        <f>AF99+1</f>
        <v>20</v>
      </c>
      <c r="AH99" s="3">
        <f>AG99+1</f>
        <v>21</v>
      </c>
      <c r="AI99" s="256"/>
      <c r="AJ99" s="284"/>
      <c r="AK99" s="293"/>
      <c r="AL99" s="290"/>
      <c r="AM99" s="284"/>
      <c r="AN99" s="284"/>
      <c r="AO99" s="284"/>
      <c r="AP99" s="284"/>
      <c r="AQ99" s="295"/>
      <c r="AR99" s="296"/>
      <c r="AS99" s="297"/>
      <c r="AT99" s="297"/>
      <c r="AU99" s="297"/>
      <c r="AV99" s="284"/>
      <c r="AW99" s="284"/>
      <c r="AX99" s="284"/>
      <c r="AY99" s="284"/>
      <c r="AZ99" s="284"/>
      <c r="BA99" s="284"/>
      <c r="BB99" s="284"/>
      <c r="BC99" s="284"/>
      <c r="BD99" s="284"/>
      <c r="BE99" s="284"/>
      <c r="BF99" s="295"/>
      <c r="BG99" s="296"/>
      <c r="BH99" s="297"/>
      <c r="BI99" s="297"/>
      <c r="BJ99" s="297"/>
      <c r="BK99" s="284"/>
      <c r="BL99" s="284"/>
      <c r="BM99" s="284"/>
      <c r="BN99" s="284"/>
      <c r="BO99" s="284"/>
      <c r="BP99" s="284"/>
      <c r="BQ99" s="284"/>
      <c r="BR99" s="284"/>
      <c r="BS99" s="284"/>
      <c r="BT99" s="284"/>
      <c r="BU99" s="295"/>
      <c r="BV99" s="292"/>
      <c r="BW99" s="290"/>
      <c r="BX99" s="290"/>
      <c r="BY99" s="290"/>
      <c r="BZ99" s="284"/>
      <c r="CA99" s="284"/>
      <c r="CB99" s="284"/>
      <c r="CC99" s="284"/>
      <c r="CD99" s="284"/>
      <c r="CE99" s="284"/>
      <c r="CF99" s="284"/>
      <c r="CG99" s="284"/>
      <c r="CH99" s="284"/>
      <c r="CI99" s="284"/>
      <c r="CJ99" s="295"/>
    </row>
    <row r="100" spans="1:88" hidden="1" x14ac:dyDescent="0.25">
      <c r="B100" s="284"/>
      <c r="C100" s="284">
        <v>5</v>
      </c>
      <c r="D100" s="265" t="str">
        <f t="shared" si="67"/>
        <v>PREPARE_WEST_J_2_15</v>
      </c>
      <c r="E100" s="284" t="s">
        <v>0</v>
      </c>
      <c r="F100" s="49" t="s">
        <v>46</v>
      </c>
      <c r="G100" s="3" t="s">
        <v>19</v>
      </c>
      <c r="H100" s="3">
        <v>2</v>
      </c>
      <c r="I100" s="3">
        <v>2</v>
      </c>
      <c r="J100" s="3" t="s">
        <v>11</v>
      </c>
      <c r="K100" s="90"/>
      <c r="L100" s="90">
        <f>COUNT(N100:AQ100)</f>
        <v>22</v>
      </c>
      <c r="M100" s="30"/>
      <c r="N100" s="292">
        <v>1</v>
      </c>
      <c r="O100" s="86">
        <f t="shared" si="79"/>
        <v>2</v>
      </c>
      <c r="P100" s="86">
        <f t="shared" si="79"/>
        <v>3</v>
      </c>
      <c r="Q100" s="86">
        <f t="shared" si="79"/>
        <v>4</v>
      </c>
      <c r="R100" s="86">
        <f t="shared" si="79"/>
        <v>5</v>
      </c>
      <c r="S100" s="86">
        <f t="shared" si="79"/>
        <v>6</v>
      </c>
      <c r="T100" s="86">
        <f t="shared" si="79"/>
        <v>7</v>
      </c>
      <c r="U100" s="86">
        <f t="shared" si="79"/>
        <v>8</v>
      </c>
      <c r="V100" s="336">
        <f t="shared" si="79"/>
        <v>9</v>
      </c>
      <c r="W100" s="319">
        <f t="shared" si="79"/>
        <v>10</v>
      </c>
      <c r="X100" s="3">
        <f t="shared" si="79"/>
        <v>11</v>
      </c>
      <c r="Y100" s="3">
        <f t="shared" si="79"/>
        <v>12</v>
      </c>
      <c r="Z100" s="3">
        <f t="shared" si="79"/>
        <v>13</v>
      </c>
      <c r="AA100" s="3">
        <f t="shared" si="79"/>
        <v>14</v>
      </c>
      <c r="AB100" s="280">
        <f t="shared" si="79"/>
        <v>15</v>
      </c>
      <c r="AC100" s="319">
        <f t="shared" si="79"/>
        <v>16</v>
      </c>
      <c r="AD100" s="3">
        <f t="shared" si="79"/>
        <v>17</v>
      </c>
      <c r="AE100" s="3">
        <f t="shared" si="79"/>
        <v>18</v>
      </c>
      <c r="AF100" s="3">
        <f t="shared" si="79"/>
        <v>19</v>
      </c>
      <c r="AG100" s="3">
        <f t="shared" ref="AG100:AI100" si="80">AF100+1</f>
        <v>20</v>
      </c>
      <c r="AH100" s="3">
        <f t="shared" si="80"/>
        <v>21</v>
      </c>
      <c r="AI100" s="3">
        <f t="shared" si="80"/>
        <v>22</v>
      </c>
      <c r="AJ100" s="258"/>
      <c r="AK100" s="293"/>
      <c r="AL100" s="290"/>
      <c r="AM100" s="284"/>
      <c r="AN100" s="284"/>
      <c r="AO100" s="284"/>
      <c r="AP100" s="284"/>
      <c r="AQ100" s="295"/>
      <c r="AR100" s="296"/>
      <c r="AS100" s="297"/>
      <c r="AT100" s="297"/>
      <c r="AU100" s="297"/>
      <c r="AV100" s="284"/>
      <c r="AW100" s="284"/>
      <c r="AX100" s="284"/>
      <c r="AY100" s="284"/>
      <c r="AZ100" s="284"/>
      <c r="BA100" s="284"/>
      <c r="BB100" s="284"/>
      <c r="BC100" s="284"/>
      <c r="BD100" s="284"/>
      <c r="BE100" s="284"/>
      <c r="BF100" s="295"/>
      <c r="BG100" s="296"/>
      <c r="BH100" s="297"/>
      <c r="BI100" s="297"/>
      <c r="BJ100" s="297"/>
      <c r="BK100" s="284"/>
      <c r="BL100" s="284"/>
      <c r="BM100" s="284"/>
      <c r="BN100" s="284"/>
      <c r="BO100" s="284"/>
      <c r="BP100" s="284"/>
      <c r="BQ100" s="284"/>
      <c r="BR100" s="284"/>
      <c r="BS100" s="284"/>
      <c r="BT100" s="284"/>
      <c r="BU100" s="295"/>
      <c r="BV100" s="292"/>
      <c r="BW100" s="290"/>
      <c r="BX100" s="290"/>
      <c r="BY100" s="290"/>
      <c r="BZ100" s="284"/>
      <c r="CA100" s="284"/>
      <c r="CB100" s="284"/>
      <c r="CC100" s="284"/>
      <c r="CD100" s="284"/>
      <c r="CE100" s="284"/>
      <c r="CF100" s="284"/>
      <c r="CG100" s="284"/>
      <c r="CH100" s="284"/>
      <c r="CI100" s="284"/>
      <c r="CJ100" s="295"/>
    </row>
    <row r="101" spans="1:88" hidden="1" x14ac:dyDescent="0.25">
      <c r="B101" s="284"/>
      <c r="C101" s="284">
        <v>6</v>
      </c>
      <c r="D101" s="265" t="str">
        <f t="shared" si="67"/>
        <v>COUNTDOWN_WEST_J_2_15</v>
      </c>
      <c r="E101" s="284"/>
      <c r="F101" s="34" t="s">
        <v>33</v>
      </c>
      <c r="G101" s="3" t="s">
        <v>19</v>
      </c>
      <c r="H101" s="3">
        <v>2</v>
      </c>
      <c r="I101" s="3">
        <v>2</v>
      </c>
      <c r="J101" s="3" t="s">
        <v>11</v>
      </c>
      <c r="K101" s="302"/>
      <c r="L101" s="302"/>
      <c r="M101" s="30"/>
      <c r="N101" s="292">
        <v>8</v>
      </c>
      <c r="O101" s="290">
        <v>7</v>
      </c>
      <c r="P101" s="290">
        <v>6</v>
      </c>
      <c r="Q101" s="290">
        <v>5</v>
      </c>
      <c r="R101" s="284">
        <v>4</v>
      </c>
      <c r="S101" s="284">
        <v>3</v>
      </c>
      <c r="T101" s="284">
        <v>2</v>
      </c>
      <c r="U101" s="284">
        <v>1</v>
      </c>
      <c r="V101" s="298">
        <v>15</v>
      </c>
      <c r="W101" s="328">
        <v>14</v>
      </c>
      <c r="X101" s="284">
        <v>13</v>
      </c>
      <c r="Y101" s="284">
        <v>12</v>
      </c>
      <c r="Z101" s="284">
        <v>11</v>
      </c>
      <c r="AA101" s="284">
        <v>10</v>
      </c>
      <c r="AB101" s="293">
        <v>9</v>
      </c>
      <c r="AC101" s="328">
        <v>8</v>
      </c>
      <c r="AD101" s="284">
        <v>7</v>
      </c>
      <c r="AE101" s="284">
        <v>6</v>
      </c>
      <c r="AF101" s="284">
        <v>5</v>
      </c>
      <c r="AG101" s="284">
        <v>4</v>
      </c>
      <c r="AH101" s="284">
        <v>3</v>
      </c>
      <c r="AI101" s="284">
        <v>2</v>
      </c>
      <c r="AJ101" s="284">
        <v>1</v>
      </c>
      <c r="AK101" s="293">
        <v>15</v>
      </c>
      <c r="AL101" s="290">
        <v>14</v>
      </c>
      <c r="AM101" s="284">
        <v>13</v>
      </c>
      <c r="AN101" s="284">
        <v>12</v>
      </c>
      <c r="AO101" s="284">
        <v>11</v>
      </c>
      <c r="AP101" s="284">
        <v>10</v>
      </c>
      <c r="AQ101" s="295">
        <v>9</v>
      </c>
      <c r="AR101" s="296">
        <v>8</v>
      </c>
      <c r="AS101" s="297">
        <v>7</v>
      </c>
      <c r="AT101" s="297">
        <v>6</v>
      </c>
      <c r="AU101" s="297">
        <v>5</v>
      </c>
      <c r="AV101" s="284">
        <v>4</v>
      </c>
      <c r="AW101" s="284">
        <v>3</v>
      </c>
      <c r="AX101" s="284">
        <v>2</v>
      </c>
      <c r="AY101" s="284">
        <v>1</v>
      </c>
      <c r="AZ101" s="284">
        <v>15</v>
      </c>
      <c r="BA101" s="284">
        <v>14</v>
      </c>
      <c r="BB101" s="284">
        <v>13</v>
      </c>
      <c r="BC101" s="284">
        <v>12</v>
      </c>
      <c r="BD101" s="284">
        <v>11</v>
      </c>
      <c r="BE101" s="284">
        <v>10</v>
      </c>
      <c r="BF101" s="295">
        <v>9</v>
      </c>
      <c r="BG101" s="296">
        <v>8</v>
      </c>
      <c r="BH101" s="297">
        <v>7</v>
      </c>
      <c r="BI101" s="297">
        <v>6</v>
      </c>
      <c r="BJ101" s="297">
        <v>5</v>
      </c>
      <c r="BK101" s="284">
        <v>4</v>
      </c>
      <c r="BL101" s="284">
        <v>3</v>
      </c>
      <c r="BM101" s="284">
        <v>2</v>
      </c>
      <c r="BN101" s="284">
        <v>1</v>
      </c>
      <c r="BO101" s="284">
        <v>15</v>
      </c>
      <c r="BP101" s="284">
        <v>14</v>
      </c>
      <c r="BQ101" s="284">
        <v>13</v>
      </c>
      <c r="BR101" s="284">
        <v>12</v>
      </c>
      <c r="BS101" s="284">
        <v>11</v>
      </c>
      <c r="BT101" s="284">
        <v>10</v>
      </c>
      <c r="BU101" s="295">
        <v>9</v>
      </c>
      <c r="BV101" s="292">
        <v>8</v>
      </c>
      <c r="BW101" s="290">
        <v>7</v>
      </c>
      <c r="BX101" s="290">
        <v>6</v>
      </c>
      <c r="BY101" s="290">
        <v>5</v>
      </c>
      <c r="BZ101" s="284">
        <v>4</v>
      </c>
      <c r="CA101" s="284">
        <v>3</v>
      </c>
      <c r="CB101" s="284">
        <v>2</v>
      </c>
      <c r="CC101" s="284">
        <v>1</v>
      </c>
      <c r="CD101" s="284">
        <v>15</v>
      </c>
      <c r="CE101" s="284">
        <v>14</v>
      </c>
      <c r="CF101" s="284">
        <v>13</v>
      </c>
      <c r="CG101" s="284">
        <v>12</v>
      </c>
      <c r="CH101" s="284">
        <v>11</v>
      </c>
      <c r="CI101" s="284">
        <v>10</v>
      </c>
      <c r="CJ101" s="295">
        <v>9</v>
      </c>
    </row>
    <row r="102" spans="1:88" hidden="1" x14ac:dyDescent="0.25">
      <c r="B102" s="284"/>
      <c r="C102" s="284">
        <v>1</v>
      </c>
      <c r="D102" s="265" t="str">
        <f t="shared" si="67"/>
        <v>SORTING_WEST_Q_1_15</v>
      </c>
      <c r="E102" s="284" t="s">
        <v>35</v>
      </c>
      <c r="F102" s="49" t="s">
        <v>45</v>
      </c>
      <c r="G102" s="3" t="s">
        <v>19</v>
      </c>
      <c r="H102" s="3">
        <v>1</v>
      </c>
      <c r="I102" s="3">
        <v>1</v>
      </c>
      <c r="J102" s="3" t="s">
        <v>59</v>
      </c>
      <c r="K102" s="90"/>
      <c r="L102" s="90">
        <f>COUNT(W102:AQ102)</f>
        <v>10</v>
      </c>
      <c r="M102" s="30"/>
      <c r="N102" s="323"/>
      <c r="O102" s="324"/>
      <c r="P102" s="324"/>
      <c r="Q102" s="324"/>
      <c r="R102" s="256"/>
      <c r="S102" s="256"/>
      <c r="T102" s="256"/>
      <c r="U102" s="256"/>
      <c r="V102" s="325"/>
      <c r="W102" s="328">
        <v>1</v>
      </c>
      <c r="X102" s="33">
        <f t="shared" ref="X102:AJ106" si="81">W102+1</f>
        <v>2</v>
      </c>
      <c r="Y102" s="33">
        <f t="shared" si="81"/>
        <v>3</v>
      </c>
      <c r="Z102" s="33">
        <f t="shared" si="81"/>
        <v>4</v>
      </c>
      <c r="AA102" s="33">
        <f t="shared" si="81"/>
        <v>5</v>
      </c>
      <c r="AB102" s="282">
        <f t="shared" si="81"/>
        <v>6</v>
      </c>
      <c r="AC102" s="321">
        <f t="shared" si="81"/>
        <v>7</v>
      </c>
      <c r="AD102" s="33">
        <f t="shared" si="81"/>
        <v>8</v>
      </c>
      <c r="AE102" s="33">
        <f t="shared" si="81"/>
        <v>9</v>
      </c>
      <c r="AF102" s="33">
        <f t="shared" si="81"/>
        <v>10</v>
      </c>
      <c r="AG102" s="258"/>
      <c r="AH102" s="284"/>
      <c r="AI102" s="284"/>
      <c r="AJ102" s="284"/>
      <c r="AK102" s="293"/>
      <c r="AL102" s="290"/>
      <c r="AM102" s="284"/>
      <c r="AN102" s="284"/>
      <c r="AO102" s="284"/>
      <c r="AP102" s="284"/>
      <c r="AQ102" s="295"/>
      <c r="AR102" s="296"/>
      <c r="AS102" s="297"/>
      <c r="AT102" s="297"/>
      <c r="AU102" s="297"/>
      <c r="AV102" s="284"/>
      <c r="AW102" s="284"/>
      <c r="AX102" s="284"/>
      <c r="AY102" s="284"/>
      <c r="AZ102" s="284"/>
      <c r="BA102" s="284"/>
      <c r="BB102" s="284"/>
      <c r="BC102" s="284"/>
      <c r="BD102" s="284"/>
      <c r="BE102" s="284"/>
      <c r="BF102" s="295"/>
      <c r="BG102" s="296"/>
      <c r="BH102" s="297"/>
      <c r="BI102" s="297"/>
      <c r="BJ102" s="297"/>
      <c r="BK102" s="284"/>
      <c r="BL102" s="284"/>
      <c r="BM102" s="284"/>
      <c r="BN102" s="284"/>
      <c r="BO102" s="284"/>
      <c r="BP102" s="284"/>
      <c r="BQ102" s="284"/>
      <c r="BR102" s="284"/>
      <c r="BS102" s="284"/>
      <c r="BT102" s="284"/>
      <c r="BU102" s="295"/>
      <c r="BV102" s="292"/>
      <c r="BW102" s="290"/>
      <c r="BX102" s="290"/>
      <c r="BY102" s="290"/>
      <c r="BZ102" s="284"/>
      <c r="CA102" s="284"/>
      <c r="CB102" s="284"/>
      <c r="CC102" s="284"/>
      <c r="CD102" s="284"/>
      <c r="CE102" s="284"/>
      <c r="CF102" s="284"/>
      <c r="CG102" s="284"/>
      <c r="CH102" s="284"/>
      <c r="CI102" s="284"/>
      <c r="CJ102" s="295"/>
    </row>
    <row r="103" spans="1:88" hidden="1" x14ac:dyDescent="0.25">
      <c r="B103" s="284"/>
      <c r="C103" s="284">
        <v>2</v>
      </c>
      <c r="D103" s="265" t="str">
        <f t="shared" si="67"/>
        <v>TRANSFER_WEST_Q_1_15</v>
      </c>
      <c r="E103" s="284" t="s">
        <v>21</v>
      </c>
      <c r="F103" s="34" t="s">
        <v>21</v>
      </c>
      <c r="G103" s="3" t="s">
        <v>19</v>
      </c>
      <c r="H103" s="3">
        <v>1</v>
      </c>
      <c r="I103" s="3">
        <v>1</v>
      </c>
      <c r="J103" s="3" t="s">
        <v>59</v>
      </c>
      <c r="K103" s="90"/>
      <c r="L103" s="90">
        <f>COUNT(W103:AQ103)</f>
        <v>11</v>
      </c>
      <c r="M103" s="30"/>
      <c r="N103" s="323"/>
      <c r="O103" s="324"/>
      <c r="P103" s="324"/>
      <c r="Q103" s="324"/>
      <c r="R103" s="256"/>
      <c r="S103" s="256"/>
      <c r="T103" s="256"/>
      <c r="U103" s="256"/>
      <c r="V103" s="325"/>
      <c r="W103" s="328">
        <v>1</v>
      </c>
      <c r="X103" s="3">
        <f t="shared" si="81"/>
        <v>2</v>
      </c>
      <c r="Y103" s="3">
        <f t="shared" si="81"/>
        <v>3</v>
      </c>
      <c r="Z103" s="3">
        <f t="shared" si="81"/>
        <v>4</v>
      </c>
      <c r="AA103" s="3">
        <f t="shared" si="81"/>
        <v>5</v>
      </c>
      <c r="AB103" s="280">
        <f t="shared" si="81"/>
        <v>6</v>
      </c>
      <c r="AC103" s="319">
        <f t="shared" si="81"/>
        <v>7</v>
      </c>
      <c r="AD103" s="3">
        <f t="shared" si="81"/>
        <v>8</v>
      </c>
      <c r="AE103" s="3">
        <f t="shared" si="81"/>
        <v>9</v>
      </c>
      <c r="AF103" s="3">
        <f t="shared" si="81"/>
        <v>10</v>
      </c>
      <c r="AG103" s="3">
        <f t="shared" si="81"/>
        <v>11</v>
      </c>
      <c r="AH103" s="258"/>
      <c r="AI103" s="258"/>
      <c r="AJ103" s="284"/>
      <c r="AK103" s="293"/>
      <c r="AL103" s="290"/>
      <c r="AM103" s="284"/>
      <c r="AN103" s="284"/>
      <c r="AO103" s="284"/>
      <c r="AP103" s="284"/>
      <c r="AQ103" s="295"/>
      <c r="AR103" s="296"/>
      <c r="AS103" s="297"/>
      <c r="AT103" s="297"/>
      <c r="AU103" s="297"/>
      <c r="AV103" s="284"/>
      <c r="AW103" s="284"/>
      <c r="AX103" s="284"/>
      <c r="AY103" s="284"/>
      <c r="AZ103" s="284"/>
      <c r="BA103" s="284"/>
      <c r="BB103" s="284"/>
      <c r="BC103" s="284"/>
      <c r="BD103" s="284"/>
      <c r="BE103" s="284"/>
      <c r="BF103" s="295"/>
      <c r="BG103" s="296"/>
      <c r="BH103" s="297"/>
      <c r="BI103" s="297"/>
      <c r="BJ103" s="297"/>
      <c r="BK103" s="284"/>
      <c r="BL103" s="284"/>
      <c r="BM103" s="284"/>
      <c r="BN103" s="284"/>
      <c r="BO103" s="284"/>
      <c r="BP103" s="284"/>
      <c r="BQ103" s="284"/>
      <c r="BR103" s="284"/>
      <c r="BS103" s="284"/>
      <c r="BT103" s="284"/>
      <c r="BU103" s="295"/>
      <c r="BV103" s="292"/>
      <c r="BW103" s="290"/>
      <c r="BX103" s="290"/>
      <c r="BY103" s="290"/>
      <c r="BZ103" s="284"/>
      <c r="CA103" s="284"/>
      <c r="CB103" s="284"/>
      <c r="CC103" s="284"/>
      <c r="CD103" s="284"/>
      <c r="CE103" s="284"/>
      <c r="CF103" s="284"/>
      <c r="CG103" s="284"/>
      <c r="CH103" s="284"/>
      <c r="CI103" s="284"/>
      <c r="CJ103" s="295"/>
    </row>
    <row r="104" spans="1:88" hidden="1" x14ac:dyDescent="0.25">
      <c r="B104" s="284"/>
      <c r="C104" s="284">
        <v>3</v>
      </c>
      <c r="D104" s="265" t="str">
        <f t="shared" si="67"/>
        <v>SUPPLY_WEST_Q_1_15</v>
      </c>
      <c r="E104" s="284" t="s">
        <v>0</v>
      </c>
      <c r="F104" s="34" t="s">
        <v>0</v>
      </c>
      <c r="G104" s="3" t="s">
        <v>19</v>
      </c>
      <c r="H104" s="3">
        <v>1</v>
      </c>
      <c r="I104" s="3">
        <v>1</v>
      </c>
      <c r="J104" s="3" t="s">
        <v>59</v>
      </c>
      <c r="K104" s="90"/>
      <c r="L104" s="90">
        <f>COUNT(AC104:BF104)</f>
        <v>10</v>
      </c>
      <c r="M104" s="30"/>
      <c r="N104" s="323"/>
      <c r="O104" s="324"/>
      <c r="P104" s="324"/>
      <c r="Q104" s="324"/>
      <c r="R104" s="256"/>
      <c r="S104" s="256"/>
      <c r="T104" s="256"/>
      <c r="U104" s="256"/>
      <c r="V104" s="325"/>
      <c r="W104" s="326"/>
      <c r="X104" s="256"/>
      <c r="Y104" s="256"/>
      <c r="Z104" s="256"/>
      <c r="AA104" s="256"/>
      <c r="AB104" s="341"/>
      <c r="AC104" s="328">
        <v>1</v>
      </c>
      <c r="AD104" s="3">
        <f>AC104+1</f>
        <v>2</v>
      </c>
      <c r="AE104" s="3">
        <f t="shared" si="81"/>
        <v>3</v>
      </c>
      <c r="AF104" s="3">
        <f t="shared" si="81"/>
        <v>4</v>
      </c>
      <c r="AG104" s="3">
        <f t="shared" si="81"/>
        <v>5</v>
      </c>
      <c r="AH104" s="3">
        <f t="shared" si="81"/>
        <v>6</v>
      </c>
      <c r="AI104" s="3">
        <f t="shared" si="81"/>
        <v>7</v>
      </c>
      <c r="AJ104" s="3">
        <f t="shared" si="81"/>
        <v>8</v>
      </c>
      <c r="AK104" s="280">
        <f>AJ104+1</f>
        <v>9</v>
      </c>
      <c r="AL104" s="86">
        <f>AK104+1</f>
        <v>10</v>
      </c>
      <c r="AM104" s="258"/>
      <c r="AN104" s="258"/>
      <c r="AO104" s="258"/>
      <c r="AP104" s="258"/>
      <c r="AQ104" s="259"/>
      <c r="AR104" s="330"/>
      <c r="AS104" s="301"/>
      <c r="AT104" s="301"/>
      <c r="AU104" s="301"/>
      <c r="AV104" s="258"/>
      <c r="AW104" s="258"/>
      <c r="AX104" s="284"/>
      <c r="AY104" s="284"/>
      <c r="AZ104" s="284"/>
      <c r="BA104" s="284"/>
      <c r="BB104" s="284"/>
      <c r="BC104" s="284"/>
      <c r="BD104" s="284"/>
      <c r="BE104" s="284"/>
      <c r="BF104" s="295"/>
      <c r="BG104" s="296"/>
      <c r="BH104" s="297"/>
      <c r="BI104" s="297"/>
      <c r="BJ104" s="297"/>
      <c r="BK104" s="284"/>
      <c r="BL104" s="284"/>
      <c r="BM104" s="284"/>
      <c r="BN104" s="284"/>
      <c r="BO104" s="284"/>
      <c r="BP104" s="284"/>
      <c r="BQ104" s="284"/>
      <c r="BR104" s="284"/>
      <c r="BS104" s="284"/>
      <c r="BT104" s="284"/>
      <c r="BU104" s="295"/>
      <c r="BV104" s="292"/>
      <c r="BW104" s="290"/>
      <c r="BX104" s="290"/>
      <c r="BY104" s="290"/>
      <c r="BZ104" s="284"/>
      <c r="CA104" s="284"/>
      <c r="CB104" s="284"/>
      <c r="CC104" s="284"/>
      <c r="CD104" s="284"/>
      <c r="CE104" s="284"/>
      <c r="CF104" s="284"/>
      <c r="CG104" s="284"/>
      <c r="CH104" s="284"/>
      <c r="CI104" s="284"/>
      <c r="CJ104" s="295"/>
    </row>
    <row r="105" spans="1:88" x14ac:dyDescent="0.25">
      <c r="B105" s="284"/>
      <c r="C105" s="284">
        <v>4</v>
      </c>
      <c r="D105" s="265" t="str">
        <f t="shared" si="67"/>
        <v>EMPTY_WEST_Q_1_15</v>
      </c>
      <c r="E105" s="284" t="s">
        <v>0</v>
      </c>
      <c r="F105" s="34" t="s">
        <v>32</v>
      </c>
      <c r="G105" s="3" t="s">
        <v>19</v>
      </c>
      <c r="H105" s="3">
        <v>1</v>
      </c>
      <c r="I105" s="3">
        <v>1</v>
      </c>
      <c r="J105" s="3" t="s">
        <v>59</v>
      </c>
      <c r="K105" s="90"/>
      <c r="L105" s="90">
        <f>COUNT(N105:AQ105)</f>
        <v>22</v>
      </c>
      <c r="M105" s="30"/>
      <c r="N105" s="292">
        <v>1</v>
      </c>
      <c r="O105" s="86">
        <f t="shared" ref="O105:AD106" si="82">N105+1</f>
        <v>2</v>
      </c>
      <c r="P105" s="86">
        <f t="shared" si="82"/>
        <v>3</v>
      </c>
      <c r="Q105" s="86">
        <f t="shared" si="82"/>
        <v>4</v>
      </c>
      <c r="R105" s="86">
        <f t="shared" si="82"/>
        <v>5</v>
      </c>
      <c r="S105" s="86">
        <f t="shared" si="82"/>
        <v>6</v>
      </c>
      <c r="T105" s="86">
        <f t="shared" si="82"/>
        <v>7</v>
      </c>
      <c r="U105" s="86">
        <f t="shared" si="82"/>
        <v>8</v>
      </c>
      <c r="V105" s="336">
        <f t="shared" si="82"/>
        <v>9</v>
      </c>
      <c r="W105" s="319">
        <f t="shared" si="82"/>
        <v>10</v>
      </c>
      <c r="X105" s="3">
        <f t="shared" si="82"/>
        <v>11</v>
      </c>
      <c r="Y105" s="3">
        <f t="shared" si="82"/>
        <v>12</v>
      </c>
      <c r="Z105" s="3">
        <f t="shared" si="82"/>
        <v>13</v>
      </c>
      <c r="AA105" s="3">
        <f t="shared" si="82"/>
        <v>14</v>
      </c>
      <c r="AB105" s="280">
        <f t="shared" si="82"/>
        <v>15</v>
      </c>
      <c r="AC105" s="319">
        <f t="shared" si="82"/>
        <v>16</v>
      </c>
      <c r="AD105" s="3">
        <f t="shared" si="82"/>
        <v>17</v>
      </c>
      <c r="AE105" s="3">
        <f t="shared" si="81"/>
        <v>18</v>
      </c>
      <c r="AF105" s="3">
        <f t="shared" si="81"/>
        <v>19</v>
      </c>
      <c r="AG105" s="3">
        <f>AF105+1</f>
        <v>20</v>
      </c>
      <c r="AH105" s="3">
        <f>AG105+1</f>
        <v>21</v>
      </c>
      <c r="AI105" s="3">
        <f>AH105+1</f>
        <v>22</v>
      </c>
      <c r="AJ105" s="256"/>
      <c r="AK105" s="293"/>
      <c r="AL105" s="290"/>
      <c r="AM105" s="284"/>
      <c r="AN105" s="284"/>
      <c r="AO105" s="284"/>
      <c r="AP105" s="284"/>
      <c r="AQ105" s="295"/>
      <c r="AR105" s="296"/>
      <c r="AS105" s="297"/>
      <c r="AT105" s="297"/>
      <c r="AU105" s="297"/>
      <c r="AV105" s="284"/>
      <c r="AW105" s="284"/>
      <c r="AX105" s="284"/>
      <c r="AY105" s="284"/>
      <c r="AZ105" s="284"/>
      <c r="BA105" s="284"/>
      <c r="BB105" s="284"/>
      <c r="BC105" s="284"/>
      <c r="BD105" s="284"/>
      <c r="BE105" s="284"/>
      <c r="BF105" s="295"/>
      <c r="BG105" s="296"/>
      <c r="BH105" s="297"/>
      <c r="BI105" s="297"/>
      <c r="BJ105" s="297"/>
      <c r="BK105" s="284"/>
      <c r="BL105" s="284"/>
      <c r="BM105" s="284"/>
      <c r="BN105" s="284"/>
      <c r="BO105" s="284"/>
      <c r="BP105" s="284"/>
      <c r="BQ105" s="284"/>
      <c r="BR105" s="284"/>
      <c r="BS105" s="284"/>
      <c r="BT105" s="284"/>
      <c r="BU105" s="295"/>
      <c r="BV105" s="292"/>
      <c r="BW105" s="290"/>
      <c r="BX105" s="290"/>
      <c r="BY105" s="290"/>
      <c r="BZ105" s="284"/>
      <c r="CA105" s="284"/>
      <c r="CB105" s="284"/>
      <c r="CC105" s="284"/>
      <c r="CD105" s="284"/>
      <c r="CE105" s="284"/>
      <c r="CF105" s="284"/>
      <c r="CG105" s="284"/>
      <c r="CH105" s="284"/>
      <c r="CI105" s="284"/>
      <c r="CJ105" s="295"/>
    </row>
    <row r="106" spans="1:88" hidden="1" x14ac:dyDescent="0.25">
      <c r="B106" s="284"/>
      <c r="C106" s="284">
        <v>5</v>
      </c>
      <c r="D106" s="265" t="str">
        <f t="shared" si="67"/>
        <v>PREPARE_WEST_Q_1_15</v>
      </c>
      <c r="E106" s="284" t="s">
        <v>0</v>
      </c>
      <c r="F106" s="49" t="s">
        <v>46</v>
      </c>
      <c r="G106" s="3" t="s">
        <v>19</v>
      </c>
      <c r="H106" s="3">
        <v>1</v>
      </c>
      <c r="I106" s="3">
        <v>1</v>
      </c>
      <c r="J106" s="3" t="s">
        <v>59</v>
      </c>
      <c r="K106" s="90"/>
      <c r="L106" s="90">
        <f>COUNT(N106:AQ106)</f>
        <v>23</v>
      </c>
      <c r="M106" s="30"/>
      <c r="N106" s="292">
        <v>1</v>
      </c>
      <c r="O106" s="86">
        <f t="shared" si="82"/>
        <v>2</v>
      </c>
      <c r="P106" s="86">
        <f t="shared" si="82"/>
        <v>3</v>
      </c>
      <c r="Q106" s="86">
        <f t="shared" si="82"/>
        <v>4</v>
      </c>
      <c r="R106" s="86">
        <f t="shared" si="82"/>
        <v>5</v>
      </c>
      <c r="S106" s="86">
        <f t="shared" si="82"/>
        <v>6</v>
      </c>
      <c r="T106" s="86">
        <f t="shared" si="82"/>
        <v>7</v>
      </c>
      <c r="U106" s="86">
        <f t="shared" si="82"/>
        <v>8</v>
      </c>
      <c r="V106" s="336">
        <f t="shared" si="82"/>
        <v>9</v>
      </c>
      <c r="W106" s="319">
        <f t="shared" si="82"/>
        <v>10</v>
      </c>
      <c r="X106" s="3">
        <f t="shared" si="82"/>
        <v>11</v>
      </c>
      <c r="Y106" s="3">
        <f t="shared" si="82"/>
        <v>12</v>
      </c>
      <c r="Z106" s="3">
        <f t="shared" si="82"/>
        <v>13</v>
      </c>
      <c r="AA106" s="3">
        <f t="shared" si="82"/>
        <v>14</v>
      </c>
      <c r="AB106" s="280">
        <f t="shared" si="82"/>
        <v>15</v>
      </c>
      <c r="AC106" s="319">
        <f t="shared" si="82"/>
        <v>16</v>
      </c>
      <c r="AD106" s="3">
        <f t="shared" si="82"/>
        <v>17</v>
      </c>
      <c r="AE106" s="3">
        <f t="shared" si="81"/>
        <v>18</v>
      </c>
      <c r="AF106" s="3">
        <f t="shared" si="81"/>
        <v>19</v>
      </c>
      <c r="AG106" s="3">
        <f t="shared" si="81"/>
        <v>20</v>
      </c>
      <c r="AH106" s="3">
        <f t="shared" si="81"/>
        <v>21</v>
      </c>
      <c r="AI106" s="3">
        <f>AH106+1</f>
        <v>22</v>
      </c>
      <c r="AJ106" s="3">
        <f>AI106+1</f>
        <v>23</v>
      </c>
      <c r="AK106" s="300"/>
      <c r="AL106" s="345"/>
      <c r="AM106" s="284"/>
      <c r="AN106" s="284"/>
      <c r="AO106" s="284"/>
      <c r="AP106" s="284"/>
      <c r="AQ106" s="295"/>
      <c r="AR106" s="296"/>
      <c r="AS106" s="297"/>
      <c r="AT106" s="297"/>
      <c r="AU106" s="297"/>
      <c r="AV106" s="284"/>
      <c r="AW106" s="284"/>
      <c r="AX106" s="284"/>
      <c r="AY106" s="284"/>
      <c r="AZ106" s="284"/>
      <c r="BA106" s="284"/>
      <c r="BB106" s="284"/>
      <c r="BC106" s="284"/>
      <c r="BD106" s="284"/>
      <c r="BE106" s="284"/>
      <c r="BF106" s="295"/>
      <c r="BG106" s="296"/>
      <c r="BH106" s="297"/>
      <c r="BI106" s="297"/>
      <c r="BJ106" s="297"/>
      <c r="BK106" s="284"/>
      <c r="BL106" s="284"/>
      <c r="BM106" s="284"/>
      <c r="BN106" s="284"/>
      <c r="BO106" s="284"/>
      <c r="BP106" s="284"/>
      <c r="BQ106" s="284"/>
      <c r="BR106" s="284"/>
      <c r="BS106" s="284"/>
      <c r="BT106" s="284"/>
      <c r="BU106" s="295"/>
      <c r="BV106" s="292"/>
      <c r="BW106" s="290"/>
      <c r="BX106" s="290"/>
      <c r="BY106" s="290"/>
      <c r="BZ106" s="284"/>
      <c r="CA106" s="284"/>
      <c r="CB106" s="284"/>
      <c r="CC106" s="284"/>
      <c r="CD106" s="284"/>
      <c r="CE106" s="284"/>
      <c r="CF106" s="284"/>
      <c r="CG106" s="284"/>
      <c r="CH106" s="284"/>
      <c r="CI106" s="284"/>
      <c r="CJ106" s="295"/>
    </row>
    <row r="107" spans="1:88" hidden="1" x14ac:dyDescent="0.25">
      <c r="B107" s="284"/>
      <c r="C107" s="284">
        <v>6</v>
      </c>
      <c r="D107" s="265" t="str">
        <f t="shared" si="67"/>
        <v>COUNTDOWN_WEST_Q_1_15</v>
      </c>
      <c r="E107" s="284"/>
      <c r="F107" s="34" t="s">
        <v>33</v>
      </c>
      <c r="G107" s="3" t="s">
        <v>19</v>
      </c>
      <c r="H107" s="3">
        <v>1</v>
      </c>
      <c r="I107" s="3">
        <v>1</v>
      </c>
      <c r="J107" s="3" t="s">
        <v>59</v>
      </c>
      <c r="K107" s="302"/>
      <c r="L107" s="302"/>
      <c r="M107" s="30"/>
      <c r="N107" s="292"/>
      <c r="O107" s="290"/>
      <c r="P107" s="290"/>
      <c r="Q107" s="290"/>
      <c r="R107" s="284"/>
      <c r="S107" s="284"/>
      <c r="T107" s="284"/>
      <c r="U107" s="284"/>
      <c r="V107" s="298"/>
      <c r="W107" s="328"/>
      <c r="X107" s="303"/>
      <c r="Y107" s="303"/>
      <c r="Z107" s="303"/>
      <c r="AA107" s="303"/>
      <c r="AB107" s="343"/>
      <c r="AC107" s="346"/>
      <c r="AD107" s="303"/>
      <c r="AE107" s="303"/>
      <c r="AF107" s="303"/>
      <c r="AG107" s="303"/>
      <c r="AH107" s="284"/>
      <c r="AI107" s="284"/>
      <c r="AJ107" s="284"/>
      <c r="AK107" s="293"/>
      <c r="AL107" s="290"/>
      <c r="AM107" s="284"/>
      <c r="AN107" s="284"/>
      <c r="AO107" s="284"/>
      <c r="AP107" s="284"/>
      <c r="AQ107" s="295"/>
      <c r="AR107" s="296"/>
      <c r="AS107" s="297"/>
      <c r="AT107" s="297"/>
      <c r="AU107" s="297"/>
      <c r="AV107" s="284"/>
      <c r="AW107" s="284"/>
      <c r="AX107" s="284"/>
      <c r="AY107" s="284"/>
      <c r="AZ107" s="284"/>
      <c r="BA107" s="284"/>
      <c r="BB107" s="284"/>
      <c r="BC107" s="284"/>
      <c r="BD107" s="284"/>
      <c r="BE107" s="284"/>
      <c r="BF107" s="295"/>
      <c r="BG107" s="296"/>
      <c r="BH107" s="297"/>
      <c r="BI107" s="297"/>
      <c r="BJ107" s="297"/>
      <c r="BK107" s="284"/>
      <c r="BL107" s="284"/>
      <c r="BM107" s="284"/>
      <c r="BN107" s="284"/>
      <c r="BO107" s="284"/>
      <c r="BP107" s="284"/>
      <c r="BQ107" s="284"/>
      <c r="BR107" s="284"/>
      <c r="BS107" s="284"/>
      <c r="BT107" s="284"/>
      <c r="BU107" s="295"/>
      <c r="BV107" s="292"/>
      <c r="BW107" s="290"/>
      <c r="BX107" s="290"/>
      <c r="BY107" s="290"/>
      <c r="BZ107" s="284"/>
      <c r="CA107" s="284"/>
      <c r="CB107" s="284"/>
      <c r="CC107" s="284"/>
      <c r="CD107" s="284"/>
      <c r="CE107" s="284"/>
      <c r="CF107" s="284"/>
      <c r="CG107" s="284"/>
      <c r="CH107" s="284"/>
      <c r="CI107" s="284"/>
      <c r="CJ107" s="295"/>
    </row>
    <row r="108" spans="1:88" hidden="1" x14ac:dyDescent="0.25">
      <c r="A108" s="2" t="s">
        <v>7</v>
      </c>
      <c r="B108" s="284"/>
      <c r="C108" s="284">
        <v>1</v>
      </c>
      <c r="D108" s="265" t="str">
        <f t="shared" si="67"/>
        <v>SORTING_WEST_F_2_15</v>
      </c>
      <c r="E108" s="284" t="s">
        <v>35</v>
      </c>
      <c r="F108" s="49" t="s">
        <v>45</v>
      </c>
      <c r="G108" s="3" t="s">
        <v>19</v>
      </c>
      <c r="H108" s="3">
        <v>2</v>
      </c>
      <c r="I108" s="3">
        <v>2</v>
      </c>
      <c r="J108" s="3" t="s">
        <v>7</v>
      </c>
      <c r="K108" s="90"/>
      <c r="L108" s="90">
        <f>COUNT(W108:AQ108)</f>
        <v>11</v>
      </c>
      <c r="M108" s="30"/>
      <c r="N108" s="323"/>
      <c r="O108" s="324"/>
      <c r="P108" s="324"/>
      <c r="Q108" s="324"/>
      <c r="R108" s="256"/>
      <c r="S108" s="256"/>
      <c r="T108" s="256"/>
      <c r="U108" s="256"/>
      <c r="V108" s="325"/>
      <c r="W108" s="328">
        <v>1</v>
      </c>
      <c r="X108" s="33">
        <f t="shared" ref="X108:AJ111" si="83">W108+1</f>
        <v>2</v>
      </c>
      <c r="Y108" s="33">
        <f t="shared" si="83"/>
        <v>3</v>
      </c>
      <c r="Z108" s="33">
        <f t="shared" si="83"/>
        <v>4</v>
      </c>
      <c r="AA108" s="33">
        <f t="shared" si="83"/>
        <v>5</v>
      </c>
      <c r="AB108" s="282">
        <f t="shared" si="83"/>
        <v>6</v>
      </c>
      <c r="AC108" s="321">
        <f t="shared" si="83"/>
        <v>7</v>
      </c>
      <c r="AD108" s="33">
        <f t="shared" si="83"/>
        <v>8</v>
      </c>
      <c r="AE108" s="33">
        <f t="shared" si="83"/>
        <v>9</v>
      </c>
      <c r="AF108" s="33">
        <f t="shared" si="83"/>
        <v>10</v>
      </c>
      <c r="AG108" s="33">
        <f t="shared" si="83"/>
        <v>11</v>
      </c>
      <c r="AH108" s="258"/>
      <c r="AI108" s="258"/>
      <c r="AJ108" s="284"/>
      <c r="AK108" s="293"/>
      <c r="AL108" s="290"/>
      <c r="AM108" s="284"/>
      <c r="AN108" s="284"/>
      <c r="AO108" s="284"/>
      <c r="AP108" s="284"/>
      <c r="AQ108" s="295"/>
      <c r="AR108" s="296"/>
      <c r="AS108" s="297"/>
      <c r="AT108" s="297"/>
      <c r="AU108" s="297"/>
      <c r="AV108" s="284"/>
      <c r="AW108" s="284"/>
      <c r="AX108" s="284"/>
      <c r="AY108" s="284"/>
      <c r="AZ108" s="284"/>
      <c r="BA108" s="284"/>
      <c r="BB108" s="284"/>
      <c r="BC108" s="284"/>
      <c r="BD108" s="284"/>
      <c r="BE108" s="284"/>
      <c r="BF108" s="295"/>
      <c r="BG108" s="296"/>
      <c r="BH108" s="297"/>
      <c r="BI108" s="297"/>
      <c r="BJ108" s="297"/>
      <c r="BK108" s="284"/>
      <c r="BL108" s="284"/>
      <c r="BM108" s="284"/>
      <c r="BN108" s="284"/>
      <c r="BO108" s="284"/>
      <c r="BP108" s="284"/>
      <c r="BQ108" s="284"/>
      <c r="BR108" s="284"/>
      <c r="BS108" s="284"/>
      <c r="BT108" s="284"/>
      <c r="BU108" s="295"/>
      <c r="BV108" s="292"/>
      <c r="BW108" s="290"/>
      <c r="BX108" s="290"/>
      <c r="BY108" s="290"/>
      <c r="BZ108" s="284"/>
      <c r="CA108" s="284"/>
      <c r="CB108" s="284"/>
      <c r="CC108" s="284"/>
      <c r="CD108" s="284"/>
      <c r="CE108" s="284"/>
      <c r="CF108" s="284"/>
      <c r="CG108" s="284"/>
      <c r="CH108" s="284"/>
      <c r="CI108" s="284"/>
      <c r="CJ108" s="295"/>
    </row>
    <row r="109" spans="1:88" hidden="1" x14ac:dyDescent="0.25">
      <c r="A109" s="2" t="s">
        <v>7</v>
      </c>
      <c r="B109" s="284"/>
      <c r="C109" s="284">
        <v>2</v>
      </c>
      <c r="D109" s="265" t="str">
        <f t="shared" si="67"/>
        <v>TRANSFER_WEST_F_2_15</v>
      </c>
      <c r="E109" s="284" t="s">
        <v>21</v>
      </c>
      <c r="F109" s="34" t="s">
        <v>21</v>
      </c>
      <c r="G109" s="3" t="s">
        <v>19</v>
      </c>
      <c r="H109" s="3">
        <v>2</v>
      </c>
      <c r="I109" s="3">
        <v>2</v>
      </c>
      <c r="J109" s="3" t="s">
        <v>7</v>
      </c>
      <c r="K109" s="90"/>
      <c r="L109" s="90">
        <f>COUNT(W109:AQ109)</f>
        <v>13</v>
      </c>
      <c r="M109" s="30"/>
      <c r="N109" s="323"/>
      <c r="O109" s="324"/>
      <c r="P109" s="324"/>
      <c r="Q109" s="324"/>
      <c r="R109" s="256"/>
      <c r="S109" s="256"/>
      <c r="T109" s="256"/>
      <c r="U109" s="256"/>
      <c r="V109" s="325"/>
      <c r="W109" s="328">
        <v>1</v>
      </c>
      <c r="X109" s="3">
        <f t="shared" si="83"/>
        <v>2</v>
      </c>
      <c r="Y109" s="3">
        <f t="shared" si="83"/>
        <v>3</v>
      </c>
      <c r="Z109" s="3">
        <f t="shared" si="83"/>
        <v>4</v>
      </c>
      <c r="AA109" s="3">
        <f t="shared" si="83"/>
        <v>5</v>
      </c>
      <c r="AB109" s="280">
        <f t="shared" si="83"/>
        <v>6</v>
      </c>
      <c r="AC109" s="319">
        <f t="shared" si="83"/>
        <v>7</v>
      </c>
      <c r="AD109" s="3">
        <f t="shared" si="83"/>
        <v>8</v>
      </c>
      <c r="AE109" s="3">
        <f t="shared" si="83"/>
        <v>9</v>
      </c>
      <c r="AF109" s="3">
        <f t="shared" si="83"/>
        <v>10</v>
      </c>
      <c r="AG109" s="3">
        <f t="shared" si="83"/>
        <v>11</v>
      </c>
      <c r="AH109" s="3">
        <f t="shared" si="83"/>
        <v>12</v>
      </c>
      <c r="AI109" s="3">
        <f t="shared" si="83"/>
        <v>13</v>
      </c>
      <c r="AJ109" s="258"/>
      <c r="AK109" s="300"/>
      <c r="AL109" s="290"/>
      <c r="AM109" s="284"/>
      <c r="AN109" s="284"/>
      <c r="AO109" s="284"/>
      <c r="AP109" s="284"/>
      <c r="AQ109" s="295"/>
      <c r="AR109" s="296"/>
      <c r="AS109" s="297"/>
      <c r="AT109" s="297"/>
      <c r="AU109" s="297"/>
      <c r="AV109" s="284"/>
      <c r="AW109" s="284"/>
      <c r="AX109" s="284"/>
      <c r="AY109" s="284"/>
      <c r="AZ109" s="284"/>
      <c r="BA109" s="284"/>
      <c r="BB109" s="284"/>
      <c r="BC109" s="284"/>
      <c r="BD109" s="284"/>
      <c r="BE109" s="284"/>
      <c r="BF109" s="295"/>
      <c r="BG109" s="296"/>
      <c r="BH109" s="297"/>
      <c r="BI109" s="297"/>
      <c r="BJ109" s="297"/>
      <c r="BK109" s="284"/>
      <c r="BL109" s="284"/>
      <c r="BM109" s="284"/>
      <c r="BN109" s="284"/>
      <c r="BO109" s="284"/>
      <c r="BP109" s="284"/>
      <c r="BQ109" s="284"/>
      <c r="BR109" s="284"/>
      <c r="BS109" s="284"/>
      <c r="BT109" s="284"/>
      <c r="BU109" s="295"/>
      <c r="BV109" s="292"/>
      <c r="BW109" s="290"/>
      <c r="BX109" s="290"/>
      <c r="BY109" s="290"/>
      <c r="BZ109" s="284"/>
      <c r="CA109" s="284"/>
      <c r="CB109" s="284"/>
      <c r="CC109" s="284"/>
      <c r="CD109" s="284"/>
      <c r="CE109" s="284"/>
      <c r="CF109" s="284"/>
      <c r="CG109" s="284"/>
      <c r="CH109" s="284"/>
      <c r="CI109" s="284"/>
      <c r="CJ109" s="295"/>
    </row>
    <row r="110" spans="1:88" hidden="1" x14ac:dyDescent="0.25">
      <c r="A110" s="2" t="s">
        <v>7</v>
      </c>
      <c r="B110" s="284"/>
      <c r="C110" s="284">
        <v>3</v>
      </c>
      <c r="D110" s="265" t="str">
        <f t="shared" si="67"/>
        <v>SUPPLY_WEST_F_2_15</v>
      </c>
      <c r="E110" s="284" t="s">
        <v>0</v>
      </c>
      <c r="F110" s="34" t="s">
        <v>0</v>
      </c>
      <c r="G110" s="3" t="s">
        <v>19</v>
      </c>
      <c r="H110" s="3">
        <v>2</v>
      </c>
      <c r="I110" s="3">
        <v>2</v>
      </c>
      <c r="J110" s="3" t="s">
        <v>7</v>
      </c>
      <c r="K110" s="90"/>
      <c r="L110" s="90">
        <f>COUNT(AC110:BF110)</f>
        <v>11</v>
      </c>
      <c r="M110" s="30"/>
      <c r="N110" s="323"/>
      <c r="O110" s="324"/>
      <c r="P110" s="324"/>
      <c r="Q110" s="324"/>
      <c r="R110" s="256"/>
      <c r="S110" s="256"/>
      <c r="T110" s="256"/>
      <c r="U110" s="256"/>
      <c r="V110" s="325"/>
      <c r="W110" s="326"/>
      <c r="X110" s="256"/>
      <c r="Y110" s="256"/>
      <c r="Z110" s="256"/>
      <c r="AA110" s="256"/>
      <c r="AB110" s="341"/>
      <c r="AC110" s="328">
        <v>1</v>
      </c>
      <c r="AD110" s="3">
        <f>AC110+1</f>
        <v>2</v>
      </c>
      <c r="AE110" s="3">
        <f t="shared" si="83"/>
        <v>3</v>
      </c>
      <c r="AF110" s="3">
        <f t="shared" si="83"/>
        <v>4</v>
      </c>
      <c r="AG110" s="3">
        <f t="shared" si="83"/>
        <v>5</v>
      </c>
      <c r="AH110" s="3">
        <f t="shared" si="83"/>
        <v>6</v>
      </c>
      <c r="AI110" s="3">
        <f t="shared" si="83"/>
        <v>7</v>
      </c>
      <c r="AJ110" s="3">
        <f t="shared" si="83"/>
        <v>8</v>
      </c>
      <c r="AK110" s="280">
        <f>AJ110+1</f>
        <v>9</v>
      </c>
      <c r="AL110" s="86">
        <f t="shared" ref="AL110:AM110" si="84">AK110+1</f>
        <v>10</v>
      </c>
      <c r="AM110" s="86">
        <f t="shared" si="84"/>
        <v>11</v>
      </c>
      <c r="AN110" s="258"/>
      <c r="AO110" s="258"/>
      <c r="AP110" s="258"/>
      <c r="AQ110" s="259"/>
      <c r="AR110" s="330"/>
      <c r="AS110" s="301"/>
      <c r="AT110" s="301"/>
      <c r="AU110" s="301"/>
      <c r="AV110" s="258"/>
      <c r="AW110" s="258"/>
      <c r="AX110" s="258"/>
      <c r="AY110" s="284"/>
      <c r="AZ110" s="284"/>
      <c r="BA110" s="284"/>
      <c r="BB110" s="284"/>
      <c r="BC110" s="284"/>
      <c r="BD110" s="284"/>
      <c r="BE110" s="284"/>
      <c r="BF110" s="295"/>
      <c r="BG110" s="296"/>
      <c r="BH110" s="297"/>
      <c r="BI110" s="297"/>
      <c r="BJ110" s="297"/>
      <c r="BK110" s="284"/>
      <c r="BL110" s="284"/>
      <c r="BM110" s="284"/>
      <c r="BN110" s="284"/>
      <c r="BO110" s="284"/>
      <c r="BP110" s="284"/>
      <c r="BQ110" s="284"/>
      <c r="BR110" s="284"/>
      <c r="BS110" s="284"/>
      <c r="BT110" s="284"/>
      <c r="BU110" s="295"/>
      <c r="BV110" s="292"/>
      <c r="BW110" s="290"/>
      <c r="BX110" s="290"/>
      <c r="BY110" s="290"/>
      <c r="BZ110" s="284"/>
      <c r="CA110" s="284"/>
      <c r="CB110" s="284"/>
      <c r="CC110" s="284"/>
      <c r="CD110" s="284"/>
      <c r="CE110" s="284"/>
      <c r="CF110" s="284"/>
      <c r="CG110" s="284"/>
      <c r="CH110" s="284"/>
      <c r="CI110" s="284"/>
      <c r="CJ110" s="295"/>
    </row>
    <row r="111" spans="1:88" x14ac:dyDescent="0.25">
      <c r="A111" s="286" t="s">
        <v>7</v>
      </c>
      <c r="B111" s="284"/>
      <c r="C111" s="284">
        <v>4</v>
      </c>
      <c r="D111" s="265" t="str">
        <f t="shared" si="67"/>
        <v>EMPTY_WEST_F_2_15</v>
      </c>
      <c r="E111" s="284" t="s">
        <v>0</v>
      </c>
      <c r="F111" s="34" t="s">
        <v>32</v>
      </c>
      <c r="G111" s="3" t="s">
        <v>19</v>
      </c>
      <c r="H111" s="3">
        <v>2</v>
      </c>
      <c r="I111" s="3">
        <v>2</v>
      </c>
      <c r="J111" s="3" t="s">
        <v>7</v>
      </c>
      <c r="K111" s="90"/>
      <c r="L111" s="90">
        <f>COUNT(N111:AQ111)</f>
        <v>23</v>
      </c>
      <c r="M111" s="30"/>
      <c r="N111" s="292">
        <v>1</v>
      </c>
      <c r="O111" s="86">
        <f t="shared" ref="O111:AF112" si="85">N111+1</f>
        <v>2</v>
      </c>
      <c r="P111" s="86">
        <f t="shared" si="85"/>
        <v>3</v>
      </c>
      <c r="Q111" s="86">
        <f t="shared" si="85"/>
        <v>4</v>
      </c>
      <c r="R111" s="86">
        <f t="shared" si="85"/>
        <v>5</v>
      </c>
      <c r="S111" s="86">
        <f t="shared" si="85"/>
        <v>6</v>
      </c>
      <c r="T111" s="86">
        <f t="shared" si="85"/>
        <v>7</v>
      </c>
      <c r="U111" s="86">
        <f t="shared" si="85"/>
        <v>8</v>
      </c>
      <c r="V111" s="336">
        <f t="shared" si="85"/>
        <v>9</v>
      </c>
      <c r="W111" s="319">
        <f t="shared" si="85"/>
        <v>10</v>
      </c>
      <c r="X111" s="3">
        <f t="shared" si="85"/>
        <v>11</v>
      </c>
      <c r="Y111" s="3">
        <f t="shared" si="85"/>
        <v>12</v>
      </c>
      <c r="Z111" s="3">
        <f t="shared" si="85"/>
        <v>13</v>
      </c>
      <c r="AA111" s="3">
        <f t="shared" si="85"/>
        <v>14</v>
      </c>
      <c r="AB111" s="280">
        <f t="shared" si="85"/>
        <v>15</v>
      </c>
      <c r="AC111" s="319">
        <f t="shared" si="85"/>
        <v>16</v>
      </c>
      <c r="AD111" s="3">
        <f t="shared" si="85"/>
        <v>17</v>
      </c>
      <c r="AE111" s="3">
        <f t="shared" si="85"/>
        <v>18</v>
      </c>
      <c r="AF111" s="3">
        <f t="shared" si="85"/>
        <v>19</v>
      </c>
      <c r="AG111" s="3">
        <f>AF111+1</f>
        <v>20</v>
      </c>
      <c r="AH111" s="3">
        <f t="shared" si="83"/>
        <v>21</v>
      </c>
      <c r="AI111" s="3">
        <f t="shared" si="83"/>
        <v>22</v>
      </c>
      <c r="AJ111" s="3">
        <f t="shared" si="83"/>
        <v>23</v>
      </c>
      <c r="AK111" s="341"/>
      <c r="AL111" s="299"/>
      <c r="AM111" s="284"/>
      <c r="AN111" s="284"/>
      <c r="AO111" s="284"/>
      <c r="AP111" s="284"/>
      <c r="AQ111" s="295"/>
      <c r="AR111" s="296"/>
      <c r="AS111" s="297"/>
      <c r="AT111" s="297"/>
      <c r="AU111" s="297"/>
      <c r="AV111" s="284"/>
      <c r="AW111" s="284"/>
      <c r="AX111" s="284"/>
      <c r="AY111" s="284"/>
      <c r="AZ111" s="284"/>
      <c r="BA111" s="284"/>
      <c r="BB111" s="284"/>
      <c r="BC111" s="284"/>
      <c r="BD111" s="284"/>
      <c r="BE111" s="284"/>
      <c r="BF111" s="295"/>
      <c r="BG111" s="296"/>
      <c r="BH111" s="297"/>
      <c r="BI111" s="297"/>
      <c r="BJ111" s="297"/>
      <c r="BK111" s="284"/>
      <c r="BL111" s="284"/>
      <c r="BM111" s="284"/>
      <c r="BN111" s="284"/>
      <c r="BO111" s="284"/>
      <c r="BP111" s="284"/>
      <c r="BQ111" s="284"/>
      <c r="BR111" s="284"/>
      <c r="BS111" s="284"/>
      <c r="BT111" s="284"/>
      <c r="BU111" s="295"/>
      <c r="BV111" s="292"/>
      <c r="BW111" s="290"/>
      <c r="BX111" s="290"/>
      <c r="BY111" s="290"/>
      <c r="BZ111" s="284"/>
      <c r="CA111" s="284"/>
      <c r="CB111" s="284"/>
      <c r="CC111" s="284"/>
      <c r="CD111" s="284"/>
      <c r="CE111" s="284"/>
      <c r="CF111" s="284"/>
      <c r="CG111" s="284"/>
      <c r="CH111" s="284"/>
      <c r="CI111" s="284"/>
      <c r="CJ111" s="295"/>
    </row>
    <row r="112" spans="1:88" hidden="1" x14ac:dyDescent="0.25">
      <c r="A112" s="286" t="s">
        <v>7</v>
      </c>
      <c r="B112" s="284"/>
      <c r="C112" s="284">
        <v>5</v>
      </c>
      <c r="D112" s="265" t="str">
        <f t="shared" si="67"/>
        <v>PREPARE_WEST_F_2_15</v>
      </c>
      <c r="E112" s="284" t="s">
        <v>0</v>
      </c>
      <c r="F112" s="49" t="s">
        <v>46</v>
      </c>
      <c r="G112" s="3" t="s">
        <v>19</v>
      </c>
      <c r="H112" s="3">
        <v>2</v>
      </c>
      <c r="I112" s="3">
        <v>2</v>
      </c>
      <c r="J112" s="3" t="s">
        <v>7</v>
      </c>
      <c r="K112" s="90"/>
      <c r="L112" s="90">
        <f>COUNT(N112:AQ112)</f>
        <v>25</v>
      </c>
      <c r="M112" s="30"/>
      <c r="N112" s="292">
        <v>1</v>
      </c>
      <c r="O112" s="86">
        <f t="shared" si="85"/>
        <v>2</v>
      </c>
      <c r="P112" s="86">
        <f t="shared" si="85"/>
        <v>3</v>
      </c>
      <c r="Q112" s="86">
        <f t="shared" si="85"/>
        <v>4</v>
      </c>
      <c r="R112" s="86">
        <f t="shared" si="85"/>
        <v>5</v>
      </c>
      <c r="S112" s="86">
        <f t="shared" si="85"/>
        <v>6</v>
      </c>
      <c r="T112" s="86">
        <f t="shared" si="85"/>
        <v>7</v>
      </c>
      <c r="U112" s="86">
        <f t="shared" si="85"/>
        <v>8</v>
      </c>
      <c r="V112" s="336">
        <f t="shared" si="85"/>
        <v>9</v>
      </c>
      <c r="W112" s="319">
        <f t="shared" si="85"/>
        <v>10</v>
      </c>
      <c r="X112" s="3">
        <f t="shared" si="85"/>
        <v>11</v>
      </c>
      <c r="Y112" s="3">
        <f t="shared" si="85"/>
        <v>12</v>
      </c>
      <c r="Z112" s="3">
        <f t="shared" si="85"/>
        <v>13</v>
      </c>
      <c r="AA112" s="3">
        <f t="shared" si="85"/>
        <v>14</v>
      </c>
      <c r="AB112" s="280">
        <f t="shared" si="85"/>
        <v>15</v>
      </c>
      <c r="AC112" s="319">
        <f t="shared" si="85"/>
        <v>16</v>
      </c>
      <c r="AD112" s="3">
        <f t="shared" si="85"/>
        <v>17</v>
      </c>
      <c r="AE112" s="3">
        <f t="shared" si="85"/>
        <v>18</v>
      </c>
      <c r="AF112" s="3">
        <f t="shared" si="85"/>
        <v>19</v>
      </c>
      <c r="AG112" s="3">
        <f t="shared" ref="AG112:AH112" si="86">AF112+1</f>
        <v>20</v>
      </c>
      <c r="AH112" s="3">
        <f t="shared" si="86"/>
        <v>21</v>
      </c>
      <c r="AI112" s="3">
        <f>AH112+1</f>
        <v>22</v>
      </c>
      <c r="AJ112" s="3">
        <f t="shared" ref="AJ112:AL112" si="87">AI112+1</f>
        <v>23</v>
      </c>
      <c r="AK112" s="280">
        <f t="shared" si="87"/>
        <v>24</v>
      </c>
      <c r="AL112" s="86">
        <f t="shared" si="87"/>
        <v>25</v>
      </c>
      <c r="AM112" s="258"/>
      <c r="AN112" s="284"/>
      <c r="AO112" s="284"/>
      <c r="AP112" s="284"/>
      <c r="AQ112" s="295"/>
      <c r="AR112" s="296"/>
      <c r="AS112" s="297"/>
      <c r="AT112" s="297"/>
      <c r="AU112" s="297"/>
      <c r="AV112" s="284"/>
      <c r="AW112" s="284"/>
      <c r="AX112" s="284"/>
      <c r="AY112" s="284"/>
      <c r="AZ112" s="284"/>
      <c r="BA112" s="284"/>
      <c r="BB112" s="284"/>
      <c r="BC112" s="284"/>
      <c r="BD112" s="284"/>
      <c r="BE112" s="284"/>
      <c r="BF112" s="295"/>
      <c r="BG112" s="296"/>
      <c r="BH112" s="297"/>
      <c r="BI112" s="297"/>
      <c r="BJ112" s="297"/>
      <c r="BK112" s="284"/>
      <c r="BL112" s="284"/>
      <c r="BM112" s="284"/>
      <c r="BN112" s="284"/>
      <c r="BO112" s="284"/>
      <c r="BP112" s="284"/>
      <c r="BQ112" s="284"/>
      <c r="BR112" s="284"/>
      <c r="BS112" s="284"/>
      <c r="BT112" s="284"/>
      <c r="BU112" s="295"/>
      <c r="BV112" s="292"/>
      <c r="BW112" s="290"/>
      <c r="BX112" s="290"/>
      <c r="BY112" s="290"/>
      <c r="BZ112" s="284"/>
      <c r="CA112" s="284"/>
      <c r="CB112" s="284"/>
      <c r="CC112" s="284"/>
      <c r="CD112" s="284"/>
      <c r="CE112" s="284"/>
      <c r="CF112" s="284"/>
      <c r="CG112" s="284"/>
      <c r="CH112" s="284"/>
      <c r="CI112" s="284"/>
      <c r="CJ112" s="295"/>
    </row>
    <row r="113" spans="1:88" hidden="1" x14ac:dyDescent="0.25">
      <c r="A113" s="286" t="s">
        <v>7</v>
      </c>
      <c r="B113" s="284"/>
      <c r="C113" s="284">
        <v>6</v>
      </c>
      <c r="D113" s="265" t="str">
        <f t="shared" si="67"/>
        <v>COUNTDOWN_WEST_F_2_15</v>
      </c>
      <c r="E113" s="284"/>
      <c r="F113" s="34" t="s">
        <v>33</v>
      </c>
      <c r="G113" s="3" t="s">
        <v>19</v>
      </c>
      <c r="H113" s="3">
        <v>2</v>
      </c>
      <c r="I113" s="3">
        <v>2</v>
      </c>
      <c r="J113" s="3" t="s">
        <v>7</v>
      </c>
      <c r="K113" s="302"/>
      <c r="L113" s="302"/>
      <c r="M113" s="30"/>
      <c r="N113" s="292">
        <v>11</v>
      </c>
      <c r="O113" s="290">
        <v>10</v>
      </c>
      <c r="P113" s="290">
        <v>9</v>
      </c>
      <c r="Q113" s="290">
        <v>8</v>
      </c>
      <c r="R113" s="284">
        <v>7</v>
      </c>
      <c r="S113" s="284">
        <v>6</v>
      </c>
      <c r="T113" s="284">
        <v>5</v>
      </c>
      <c r="U113" s="284">
        <v>4</v>
      </c>
      <c r="V113" s="298">
        <v>3</v>
      </c>
      <c r="W113" s="328">
        <v>2</v>
      </c>
      <c r="X113" s="284">
        <v>1</v>
      </c>
      <c r="Y113" s="284">
        <v>15</v>
      </c>
      <c r="Z113" s="284">
        <v>14</v>
      </c>
      <c r="AA113" s="284">
        <v>13</v>
      </c>
      <c r="AB113" s="293">
        <v>12</v>
      </c>
      <c r="AC113" s="328">
        <v>11</v>
      </c>
      <c r="AD113" s="284">
        <v>10</v>
      </c>
      <c r="AE113" s="284">
        <v>9</v>
      </c>
      <c r="AF113" s="284">
        <v>8</v>
      </c>
      <c r="AG113" s="284">
        <v>7</v>
      </c>
      <c r="AH113" s="284">
        <v>6</v>
      </c>
      <c r="AI113" s="284">
        <v>5</v>
      </c>
      <c r="AJ113" s="284">
        <v>4</v>
      </c>
      <c r="AK113" s="293">
        <v>3</v>
      </c>
      <c r="AL113" s="290">
        <v>2</v>
      </c>
      <c r="AM113" s="284">
        <v>1</v>
      </c>
      <c r="AN113" s="284">
        <v>15</v>
      </c>
      <c r="AO113" s="284">
        <v>14</v>
      </c>
      <c r="AP113" s="284">
        <v>13</v>
      </c>
      <c r="AQ113" s="295">
        <v>12</v>
      </c>
      <c r="AR113" s="296">
        <v>11</v>
      </c>
      <c r="AS113" s="297">
        <v>10</v>
      </c>
      <c r="AT113" s="297">
        <v>9</v>
      </c>
      <c r="AU113" s="297">
        <v>8</v>
      </c>
      <c r="AV113" s="284">
        <v>7</v>
      </c>
      <c r="AW113" s="284">
        <v>6</v>
      </c>
      <c r="AX113" s="284">
        <v>5</v>
      </c>
      <c r="AY113" s="284">
        <v>4</v>
      </c>
      <c r="AZ113" s="284">
        <v>3</v>
      </c>
      <c r="BA113" s="284">
        <v>2</v>
      </c>
      <c r="BB113" s="284">
        <v>1</v>
      </c>
      <c r="BC113" s="284">
        <v>15</v>
      </c>
      <c r="BD113" s="284">
        <v>14</v>
      </c>
      <c r="BE113" s="284">
        <v>13</v>
      </c>
      <c r="BF113" s="295">
        <v>12</v>
      </c>
      <c r="BG113" s="296">
        <v>11</v>
      </c>
      <c r="BH113" s="297">
        <v>10</v>
      </c>
      <c r="BI113" s="297">
        <v>9</v>
      </c>
      <c r="BJ113" s="297">
        <v>8</v>
      </c>
      <c r="BK113" s="284">
        <v>7</v>
      </c>
      <c r="BL113" s="284">
        <v>6</v>
      </c>
      <c r="BM113" s="284">
        <v>5</v>
      </c>
      <c r="BN113" s="284">
        <v>4</v>
      </c>
      <c r="BO113" s="284">
        <v>3</v>
      </c>
      <c r="BP113" s="284">
        <v>2</v>
      </c>
      <c r="BQ113" s="284">
        <v>1</v>
      </c>
      <c r="BR113" s="284">
        <v>15</v>
      </c>
      <c r="BS113" s="284">
        <v>14</v>
      </c>
      <c r="BT113" s="284">
        <v>13</v>
      </c>
      <c r="BU113" s="295">
        <v>12</v>
      </c>
      <c r="BV113" s="292">
        <v>11</v>
      </c>
      <c r="BW113" s="290">
        <v>10</v>
      </c>
      <c r="BX113" s="290">
        <v>9</v>
      </c>
      <c r="BY113" s="290">
        <v>8</v>
      </c>
      <c r="BZ113" s="284">
        <v>7</v>
      </c>
      <c r="CA113" s="284">
        <v>6</v>
      </c>
      <c r="CB113" s="284">
        <v>5</v>
      </c>
      <c r="CC113" s="284">
        <v>4</v>
      </c>
      <c r="CD113" s="284">
        <v>3</v>
      </c>
      <c r="CE113" s="284">
        <v>2</v>
      </c>
      <c r="CF113" s="284">
        <v>1</v>
      </c>
      <c r="CG113" s="284">
        <v>15</v>
      </c>
      <c r="CH113" s="284">
        <v>14</v>
      </c>
      <c r="CI113" s="284">
        <v>13</v>
      </c>
      <c r="CJ113" s="295">
        <v>12</v>
      </c>
    </row>
    <row r="114" spans="1:88" hidden="1" x14ac:dyDescent="0.25">
      <c r="A114" s="2" t="s">
        <v>14</v>
      </c>
      <c r="B114" s="265">
        <v>15</v>
      </c>
      <c r="C114" s="265">
        <v>1</v>
      </c>
      <c r="D114" s="265" t="str">
        <f t="shared" si="67"/>
        <v>SORTING_WEST_M_1_15</v>
      </c>
      <c r="E114" s="265" t="s">
        <v>35</v>
      </c>
      <c r="F114" s="49" t="s">
        <v>45</v>
      </c>
      <c r="G114" s="3" t="s">
        <v>19</v>
      </c>
      <c r="H114" s="3">
        <v>1</v>
      </c>
      <c r="I114" s="3">
        <v>1</v>
      </c>
      <c r="J114" s="3" t="s">
        <v>14</v>
      </c>
      <c r="K114" s="37"/>
      <c r="L114" s="90">
        <f>COUNT(W114:AQ114)</f>
        <v>13</v>
      </c>
      <c r="M114" s="30"/>
      <c r="N114" s="323"/>
      <c r="O114" s="324"/>
      <c r="P114" s="324"/>
      <c r="Q114" s="324"/>
      <c r="R114" s="256"/>
      <c r="S114" s="256"/>
      <c r="T114" s="256"/>
      <c r="U114" s="256"/>
      <c r="V114" s="325"/>
      <c r="W114" s="328">
        <v>1</v>
      </c>
      <c r="X114" s="33">
        <f t="shared" ref="X114:AM118" si="88">W114+1</f>
        <v>2</v>
      </c>
      <c r="Y114" s="33">
        <f t="shared" si="88"/>
        <v>3</v>
      </c>
      <c r="Z114" s="33">
        <f t="shared" si="88"/>
        <v>4</v>
      </c>
      <c r="AA114" s="33">
        <f t="shared" si="88"/>
        <v>5</v>
      </c>
      <c r="AB114" s="282">
        <f t="shared" si="88"/>
        <v>6</v>
      </c>
      <c r="AC114" s="321">
        <f t="shared" si="88"/>
        <v>7</v>
      </c>
      <c r="AD114" s="33">
        <f t="shared" si="88"/>
        <v>8</v>
      </c>
      <c r="AE114" s="33">
        <f t="shared" si="88"/>
        <v>9</v>
      </c>
      <c r="AF114" s="33">
        <f t="shared" si="88"/>
        <v>10</v>
      </c>
      <c r="AG114" s="33">
        <f t="shared" si="88"/>
        <v>11</v>
      </c>
      <c r="AH114" s="33">
        <f t="shared" si="88"/>
        <v>12</v>
      </c>
      <c r="AI114" s="33">
        <f t="shared" si="88"/>
        <v>13</v>
      </c>
      <c r="AJ114" s="258"/>
      <c r="AK114" s="300"/>
      <c r="AL114" s="290"/>
      <c r="AM114" s="284"/>
      <c r="AN114" s="284"/>
      <c r="AO114" s="284"/>
      <c r="AP114" s="284"/>
      <c r="AQ114" s="295"/>
      <c r="AR114" s="292"/>
      <c r="AS114" s="290"/>
      <c r="AT114" s="290"/>
      <c r="AU114" s="290"/>
      <c r="AV114" s="284"/>
      <c r="AW114" s="284"/>
      <c r="AX114" s="284"/>
      <c r="AY114" s="284"/>
      <c r="AZ114" s="284"/>
      <c r="BA114" s="284"/>
      <c r="BB114" s="284"/>
      <c r="BC114" s="284"/>
      <c r="BD114" s="284"/>
      <c r="BE114" s="284"/>
      <c r="BF114" s="295"/>
      <c r="BG114" s="292"/>
      <c r="BH114" s="290"/>
      <c r="BI114" s="290"/>
      <c r="BJ114" s="290"/>
      <c r="BK114" s="284"/>
      <c r="BL114" s="284"/>
      <c r="BM114" s="284"/>
      <c r="BN114" s="284"/>
      <c r="BO114" s="284"/>
      <c r="BP114" s="284"/>
      <c r="BQ114" s="284"/>
      <c r="BR114" s="284"/>
      <c r="BS114" s="284"/>
      <c r="BT114" s="284"/>
      <c r="BU114" s="295"/>
      <c r="BV114" s="292"/>
      <c r="BW114" s="290"/>
      <c r="BX114" s="290"/>
      <c r="BY114" s="290"/>
      <c r="BZ114" s="284"/>
      <c r="CA114" s="284"/>
      <c r="CB114" s="284"/>
      <c r="CC114" s="284"/>
      <c r="CD114" s="284"/>
      <c r="CE114" s="284"/>
      <c r="CF114" s="284"/>
      <c r="CG114" s="284"/>
      <c r="CH114" s="284"/>
      <c r="CI114" s="284"/>
      <c r="CJ114" s="295"/>
    </row>
    <row r="115" spans="1:88" hidden="1" x14ac:dyDescent="0.25">
      <c r="A115" s="2" t="s">
        <v>14</v>
      </c>
      <c r="B115" s="265">
        <v>15</v>
      </c>
      <c r="C115" s="265">
        <v>2</v>
      </c>
      <c r="D115" s="265" t="str">
        <f t="shared" si="67"/>
        <v>TRANSFER_WEST_M_1_15</v>
      </c>
      <c r="E115" s="265" t="s">
        <v>21</v>
      </c>
      <c r="F115" s="49" t="s">
        <v>21</v>
      </c>
      <c r="G115" s="3" t="s">
        <v>19</v>
      </c>
      <c r="H115" s="3">
        <v>1</v>
      </c>
      <c r="I115" s="3">
        <v>1</v>
      </c>
      <c r="J115" s="3" t="s">
        <v>14</v>
      </c>
      <c r="K115" s="37"/>
      <c r="L115" s="90">
        <f>COUNT(W115:AQ115)</f>
        <v>15</v>
      </c>
      <c r="M115" s="30"/>
      <c r="N115" s="323"/>
      <c r="O115" s="324"/>
      <c r="P115" s="324"/>
      <c r="Q115" s="324"/>
      <c r="R115" s="256"/>
      <c r="S115" s="256"/>
      <c r="T115" s="256"/>
      <c r="U115" s="256"/>
      <c r="V115" s="325"/>
      <c r="W115" s="328">
        <v>1</v>
      </c>
      <c r="X115" s="3">
        <f t="shared" si="88"/>
        <v>2</v>
      </c>
      <c r="Y115" s="3">
        <f t="shared" si="88"/>
        <v>3</v>
      </c>
      <c r="Z115" s="3">
        <f t="shared" si="88"/>
        <v>4</v>
      </c>
      <c r="AA115" s="3">
        <f t="shared" si="88"/>
        <v>5</v>
      </c>
      <c r="AB115" s="280">
        <f t="shared" si="88"/>
        <v>6</v>
      </c>
      <c r="AC115" s="319">
        <f t="shared" si="88"/>
        <v>7</v>
      </c>
      <c r="AD115" s="3">
        <f t="shared" si="88"/>
        <v>8</v>
      </c>
      <c r="AE115" s="3">
        <f t="shared" si="88"/>
        <v>9</v>
      </c>
      <c r="AF115" s="3">
        <f t="shared" si="88"/>
        <v>10</v>
      </c>
      <c r="AG115" s="3">
        <f t="shared" si="88"/>
        <v>11</v>
      </c>
      <c r="AH115" s="3">
        <f t="shared" si="88"/>
        <v>12</v>
      </c>
      <c r="AI115" s="3">
        <f t="shared" si="88"/>
        <v>13</v>
      </c>
      <c r="AJ115" s="3">
        <f t="shared" si="88"/>
        <v>14</v>
      </c>
      <c r="AK115" s="280">
        <f t="shared" si="88"/>
        <v>15</v>
      </c>
      <c r="AL115" s="299"/>
      <c r="AM115" s="284"/>
      <c r="AN115" s="284"/>
      <c r="AO115" s="284"/>
      <c r="AP115" s="284"/>
      <c r="AQ115" s="295"/>
      <c r="AR115" s="292"/>
      <c r="AS115" s="290"/>
      <c r="AT115" s="290"/>
      <c r="AU115" s="290"/>
      <c r="AV115" s="284"/>
      <c r="AW115" s="284"/>
      <c r="AX115" s="284"/>
      <c r="AY115" s="284"/>
      <c r="AZ115" s="284"/>
      <c r="BA115" s="284"/>
      <c r="BB115" s="284"/>
      <c r="BC115" s="284"/>
      <c r="BD115" s="284"/>
      <c r="BE115" s="284"/>
      <c r="BF115" s="295"/>
      <c r="BG115" s="292"/>
      <c r="BH115" s="290"/>
      <c r="BI115" s="290"/>
      <c r="BJ115" s="290"/>
      <c r="BK115" s="284"/>
      <c r="BL115" s="284"/>
      <c r="BM115" s="284"/>
      <c r="BN115" s="284"/>
      <c r="BO115" s="284"/>
      <c r="BP115" s="284"/>
      <c r="BQ115" s="284"/>
      <c r="BR115" s="284"/>
      <c r="BS115" s="284"/>
      <c r="BT115" s="284"/>
      <c r="BU115" s="295"/>
      <c r="BV115" s="292"/>
      <c r="BW115" s="290"/>
      <c r="BX115" s="290"/>
      <c r="BY115" s="290"/>
      <c r="BZ115" s="284"/>
      <c r="CA115" s="284"/>
      <c r="CB115" s="284"/>
      <c r="CC115" s="284"/>
      <c r="CD115" s="284"/>
      <c r="CE115" s="284"/>
      <c r="CF115" s="284"/>
      <c r="CG115" s="284"/>
      <c r="CH115" s="284"/>
      <c r="CI115" s="284"/>
      <c r="CJ115" s="295"/>
    </row>
    <row r="116" spans="1:88" hidden="1" x14ac:dyDescent="0.25">
      <c r="A116" s="2" t="s">
        <v>14</v>
      </c>
      <c r="B116" s="265">
        <v>15</v>
      </c>
      <c r="C116" s="265">
        <v>3</v>
      </c>
      <c r="D116" s="265" t="str">
        <f t="shared" si="67"/>
        <v>SUPPLY_WEST_M_1_15</v>
      </c>
      <c r="E116" s="265" t="s">
        <v>0</v>
      </c>
      <c r="F116" s="34" t="s">
        <v>0</v>
      </c>
      <c r="G116" s="3" t="s">
        <v>19</v>
      </c>
      <c r="H116" s="3">
        <v>1</v>
      </c>
      <c r="I116" s="3">
        <v>1</v>
      </c>
      <c r="J116" s="3" t="s">
        <v>14</v>
      </c>
      <c r="K116" s="90"/>
      <c r="L116" s="90">
        <f>COUNT(AC116:BF116)</f>
        <v>13</v>
      </c>
      <c r="M116" s="30"/>
      <c r="N116" s="323"/>
      <c r="O116" s="324"/>
      <c r="P116" s="324"/>
      <c r="Q116" s="324"/>
      <c r="R116" s="256"/>
      <c r="S116" s="256"/>
      <c r="T116" s="256"/>
      <c r="U116" s="256"/>
      <c r="V116" s="325"/>
      <c r="W116" s="326"/>
      <c r="X116" s="256"/>
      <c r="Y116" s="256"/>
      <c r="Z116" s="256"/>
      <c r="AA116" s="256"/>
      <c r="AB116" s="341"/>
      <c r="AC116" s="328">
        <v>1</v>
      </c>
      <c r="AD116" s="3">
        <f>AC116+1</f>
        <v>2</v>
      </c>
      <c r="AE116" s="3">
        <f t="shared" si="88"/>
        <v>3</v>
      </c>
      <c r="AF116" s="3">
        <f t="shared" si="88"/>
        <v>4</v>
      </c>
      <c r="AG116" s="3">
        <f t="shared" si="88"/>
        <v>5</v>
      </c>
      <c r="AH116" s="3">
        <f t="shared" si="88"/>
        <v>6</v>
      </c>
      <c r="AI116" s="3">
        <f t="shared" si="88"/>
        <v>7</v>
      </c>
      <c r="AJ116" s="3">
        <f t="shared" si="88"/>
        <v>8</v>
      </c>
      <c r="AK116" s="280">
        <f>AJ116+1</f>
        <v>9</v>
      </c>
      <c r="AL116" s="86">
        <f t="shared" ref="AL116:AO116" si="89">AK116+1</f>
        <v>10</v>
      </c>
      <c r="AM116" s="86">
        <f t="shared" si="89"/>
        <v>11</v>
      </c>
      <c r="AN116" s="86">
        <f t="shared" si="89"/>
        <v>12</v>
      </c>
      <c r="AO116" s="86">
        <f t="shared" si="89"/>
        <v>13</v>
      </c>
      <c r="AP116" s="258"/>
      <c r="AQ116" s="259"/>
      <c r="AR116" s="330"/>
      <c r="AS116" s="301"/>
      <c r="AT116" s="301"/>
      <c r="AU116" s="301"/>
      <c r="AV116" s="258"/>
      <c r="AW116" s="258"/>
      <c r="AX116" s="258"/>
      <c r="AY116" s="258"/>
      <c r="AZ116" s="258"/>
      <c r="BA116" s="284"/>
      <c r="BB116" s="284"/>
      <c r="BC116" s="284"/>
      <c r="BD116" s="284"/>
      <c r="BE116" s="284"/>
      <c r="BF116" s="295"/>
      <c r="BG116" s="296"/>
      <c r="BH116" s="297"/>
      <c r="BI116" s="297"/>
      <c r="BJ116" s="297"/>
      <c r="BK116" s="284"/>
      <c r="BL116" s="284"/>
      <c r="BM116" s="284"/>
      <c r="BN116" s="284"/>
      <c r="BO116" s="284"/>
      <c r="BQ116" s="284"/>
      <c r="BR116" s="284"/>
      <c r="BS116" s="284"/>
      <c r="BT116" s="284"/>
      <c r="BU116" s="295"/>
      <c r="BV116" s="292"/>
      <c r="BW116" s="290"/>
      <c r="BX116" s="290"/>
      <c r="BY116" s="290"/>
      <c r="BZ116" s="284"/>
      <c r="CA116" s="284"/>
      <c r="CB116" s="284"/>
      <c r="CC116" s="284"/>
      <c r="CD116" s="284"/>
      <c r="CF116" s="284"/>
      <c r="CG116" s="284"/>
      <c r="CH116" s="284"/>
      <c r="CI116" s="284"/>
      <c r="CJ116" s="295"/>
    </row>
    <row r="117" spans="1:88" x14ac:dyDescent="0.25">
      <c r="A117" s="286" t="s">
        <v>14</v>
      </c>
      <c r="B117" s="265">
        <f t="shared" ref="B117" si="90">B116</f>
        <v>15</v>
      </c>
      <c r="C117" s="265">
        <v>4</v>
      </c>
      <c r="D117" s="265" t="str">
        <f t="shared" si="67"/>
        <v>EMPTY_WEST_M_1_15</v>
      </c>
      <c r="E117" s="265" t="s">
        <v>0</v>
      </c>
      <c r="F117" s="34" t="s">
        <v>32</v>
      </c>
      <c r="G117" s="3" t="s">
        <v>19</v>
      </c>
      <c r="H117" s="3">
        <v>1</v>
      </c>
      <c r="I117" s="3">
        <v>1</v>
      </c>
      <c r="J117" s="3" t="s">
        <v>14</v>
      </c>
      <c r="K117" s="90"/>
      <c r="L117" s="90">
        <f>COUNT(N117:AQ117)</f>
        <v>25</v>
      </c>
      <c r="M117" s="30"/>
      <c r="N117" s="292">
        <v>1</v>
      </c>
      <c r="O117" s="86">
        <f t="shared" ref="O117:AF118" si="91">N117+1</f>
        <v>2</v>
      </c>
      <c r="P117" s="86">
        <f t="shared" si="91"/>
        <v>3</v>
      </c>
      <c r="Q117" s="86">
        <f t="shared" si="91"/>
        <v>4</v>
      </c>
      <c r="R117" s="86">
        <f t="shared" si="91"/>
        <v>5</v>
      </c>
      <c r="S117" s="86">
        <f t="shared" si="91"/>
        <v>6</v>
      </c>
      <c r="T117" s="86">
        <f t="shared" si="91"/>
        <v>7</v>
      </c>
      <c r="U117" s="86">
        <f t="shared" si="91"/>
        <v>8</v>
      </c>
      <c r="V117" s="336">
        <f t="shared" si="91"/>
        <v>9</v>
      </c>
      <c r="W117" s="319">
        <f t="shared" si="91"/>
        <v>10</v>
      </c>
      <c r="X117" s="3">
        <f t="shared" si="91"/>
        <v>11</v>
      </c>
      <c r="Y117" s="3">
        <f t="shared" si="91"/>
        <v>12</v>
      </c>
      <c r="Z117" s="3">
        <f t="shared" si="91"/>
        <v>13</v>
      </c>
      <c r="AA117" s="3">
        <f t="shared" si="91"/>
        <v>14</v>
      </c>
      <c r="AB117" s="280">
        <f t="shared" si="91"/>
        <v>15</v>
      </c>
      <c r="AC117" s="319">
        <f t="shared" si="91"/>
        <v>16</v>
      </c>
      <c r="AD117" s="3">
        <f t="shared" si="91"/>
        <v>17</v>
      </c>
      <c r="AE117" s="3">
        <f t="shared" si="91"/>
        <v>18</v>
      </c>
      <c r="AF117" s="3">
        <f t="shared" si="91"/>
        <v>19</v>
      </c>
      <c r="AG117" s="3">
        <f>AF117+1</f>
        <v>20</v>
      </c>
      <c r="AH117" s="3">
        <f t="shared" si="88"/>
        <v>21</v>
      </c>
      <c r="AI117" s="3">
        <f t="shared" si="88"/>
        <v>22</v>
      </c>
      <c r="AJ117" s="3">
        <f t="shared" si="88"/>
        <v>23</v>
      </c>
      <c r="AK117" s="280">
        <f t="shared" si="88"/>
        <v>24</v>
      </c>
      <c r="AL117" s="86">
        <f t="shared" si="88"/>
        <v>25</v>
      </c>
      <c r="AM117" s="46"/>
      <c r="AN117" s="284"/>
      <c r="AO117" s="284"/>
      <c r="AP117" s="284"/>
      <c r="AQ117" s="295"/>
      <c r="AR117" s="292"/>
      <c r="AS117" s="290"/>
      <c r="AT117" s="290"/>
      <c r="AU117" s="290"/>
      <c r="AV117" s="284"/>
      <c r="AW117" s="284"/>
      <c r="AX117" s="284"/>
      <c r="AY117" s="284"/>
      <c r="AZ117" s="284"/>
      <c r="BA117" s="284"/>
      <c r="BB117" s="306"/>
      <c r="BC117" s="284"/>
      <c r="BD117" s="284"/>
      <c r="BE117" s="284"/>
      <c r="BF117" s="295"/>
      <c r="BG117" s="292"/>
      <c r="BH117" s="290"/>
      <c r="BI117" s="290"/>
      <c r="BJ117" s="290"/>
      <c r="BK117" s="284"/>
      <c r="BL117" s="284"/>
      <c r="BM117" s="284"/>
      <c r="BN117" s="284"/>
      <c r="BO117" s="284"/>
      <c r="BP117" s="284"/>
      <c r="BQ117" s="306"/>
      <c r="BR117" s="284"/>
      <c r="BS117" s="284"/>
      <c r="BT117" s="284"/>
      <c r="BU117" s="295"/>
      <c r="BV117" s="292"/>
      <c r="BW117" s="290"/>
      <c r="BX117" s="290"/>
      <c r="BY117" s="290"/>
      <c r="BZ117" s="284"/>
      <c r="CA117" s="284"/>
      <c r="CB117" s="284"/>
      <c r="CC117" s="284"/>
      <c r="CD117" s="284"/>
      <c r="CE117" s="284"/>
      <c r="CF117" s="306"/>
      <c r="CG117" s="284"/>
      <c r="CH117" s="284"/>
      <c r="CI117" s="284"/>
      <c r="CJ117" s="295"/>
    </row>
    <row r="118" spans="1:88" hidden="1" x14ac:dyDescent="0.25">
      <c r="A118" s="286" t="s">
        <v>14</v>
      </c>
      <c r="B118" s="265">
        <v>15</v>
      </c>
      <c r="C118" s="265">
        <v>5</v>
      </c>
      <c r="D118" s="265" t="str">
        <f t="shared" si="67"/>
        <v>PREPARE_WEST_M_1_15</v>
      </c>
      <c r="E118" s="265" t="s">
        <v>0</v>
      </c>
      <c r="F118" s="49" t="s">
        <v>46</v>
      </c>
      <c r="G118" s="3" t="s">
        <v>19</v>
      </c>
      <c r="H118" s="3">
        <v>1</v>
      </c>
      <c r="I118" s="3">
        <v>1</v>
      </c>
      <c r="J118" s="3" t="s">
        <v>14</v>
      </c>
      <c r="K118" s="37"/>
      <c r="L118" s="90">
        <f>COUNT(N118:AQ118)</f>
        <v>26</v>
      </c>
      <c r="M118" s="30"/>
      <c r="N118" s="292">
        <v>1</v>
      </c>
      <c r="O118" s="86">
        <f t="shared" si="91"/>
        <v>2</v>
      </c>
      <c r="P118" s="86">
        <f t="shared" si="91"/>
        <v>3</v>
      </c>
      <c r="Q118" s="86">
        <f t="shared" si="91"/>
        <v>4</v>
      </c>
      <c r="R118" s="86">
        <f t="shared" si="91"/>
        <v>5</v>
      </c>
      <c r="S118" s="86">
        <f t="shared" si="91"/>
        <v>6</v>
      </c>
      <c r="T118" s="86">
        <f t="shared" si="91"/>
        <v>7</v>
      </c>
      <c r="U118" s="86">
        <f t="shared" si="91"/>
        <v>8</v>
      </c>
      <c r="V118" s="336">
        <f t="shared" si="91"/>
        <v>9</v>
      </c>
      <c r="W118" s="319">
        <f t="shared" si="91"/>
        <v>10</v>
      </c>
      <c r="X118" s="3">
        <f t="shared" si="91"/>
        <v>11</v>
      </c>
      <c r="Y118" s="3">
        <f t="shared" si="91"/>
        <v>12</v>
      </c>
      <c r="Z118" s="3">
        <f t="shared" si="91"/>
        <v>13</v>
      </c>
      <c r="AA118" s="3">
        <f t="shared" si="91"/>
        <v>14</v>
      </c>
      <c r="AB118" s="280">
        <f t="shared" si="91"/>
        <v>15</v>
      </c>
      <c r="AC118" s="319">
        <f t="shared" si="91"/>
        <v>16</v>
      </c>
      <c r="AD118" s="3">
        <f t="shared" si="91"/>
        <v>17</v>
      </c>
      <c r="AE118" s="3">
        <f t="shared" si="91"/>
        <v>18</v>
      </c>
      <c r="AF118" s="3">
        <f t="shared" si="91"/>
        <v>19</v>
      </c>
      <c r="AG118" s="3">
        <f t="shared" ref="AG118:AH118" si="92">AF118+1</f>
        <v>20</v>
      </c>
      <c r="AH118" s="3">
        <f t="shared" si="92"/>
        <v>21</v>
      </c>
      <c r="AI118" s="3">
        <f>AH118+1</f>
        <v>22</v>
      </c>
      <c r="AJ118" s="3">
        <f t="shared" si="88"/>
        <v>23</v>
      </c>
      <c r="AK118" s="280">
        <f t="shared" si="88"/>
        <v>24</v>
      </c>
      <c r="AL118" s="86">
        <f t="shared" si="88"/>
        <v>25</v>
      </c>
      <c r="AM118" s="86">
        <f t="shared" si="88"/>
        <v>26</v>
      </c>
      <c r="AN118" s="258"/>
      <c r="AO118" s="258"/>
      <c r="AP118" s="284"/>
      <c r="AQ118" s="295"/>
      <c r="AR118" s="292"/>
      <c r="AS118" s="290"/>
      <c r="AT118" s="290"/>
      <c r="AU118" s="290"/>
      <c r="AV118" s="284"/>
      <c r="AW118" s="284"/>
      <c r="AX118" s="284"/>
      <c r="AY118" s="284"/>
      <c r="AZ118" s="284"/>
      <c r="BA118" s="284"/>
      <c r="BB118" s="284"/>
      <c r="BC118" s="284"/>
      <c r="BD118" s="284"/>
      <c r="BE118" s="284"/>
      <c r="BF118" s="295"/>
      <c r="BG118" s="292"/>
      <c r="BH118" s="290"/>
      <c r="BI118" s="290"/>
      <c r="BJ118" s="290"/>
      <c r="BK118" s="284"/>
      <c r="BL118" s="284"/>
      <c r="BM118" s="284"/>
      <c r="BN118" s="284"/>
      <c r="BO118" s="284"/>
      <c r="BP118" s="284"/>
      <c r="BQ118" s="284"/>
      <c r="BR118" s="284"/>
      <c r="BS118" s="284"/>
      <c r="BT118" s="284"/>
      <c r="BU118" s="295"/>
      <c r="BV118" s="292"/>
      <c r="BW118" s="290"/>
      <c r="BX118" s="290"/>
      <c r="BY118" s="290"/>
      <c r="BZ118" s="284"/>
      <c r="CA118" s="284"/>
      <c r="CB118" s="284"/>
      <c r="CC118" s="284"/>
      <c r="CD118" s="284"/>
      <c r="CE118" s="284"/>
      <c r="CF118" s="284"/>
      <c r="CG118" s="284"/>
      <c r="CH118" s="284"/>
      <c r="CI118" s="284"/>
      <c r="CJ118" s="295"/>
    </row>
    <row r="119" spans="1:88" hidden="1" x14ac:dyDescent="0.25">
      <c r="A119" s="286" t="s">
        <v>14</v>
      </c>
      <c r="B119" s="265">
        <f>B117</f>
        <v>15</v>
      </c>
      <c r="C119" s="265">
        <v>6</v>
      </c>
      <c r="D119" s="265" t="str">
        <f t="shared" si="67"/>
        <v>COUNTDOWN_WEST_M_1_15</v>
      </c>
      <c r="E119" s="265"/>
      <c r="F119" s="34" t="s">
        <v>33</v>
      </c>
      <c r="G119" s="3" t="s">
        <v>19</v>
      </c>
      <c r="H119" s="3">
        <v>1</v>
      </c>
      <c r="I119" s="3">
        <v>1</v>
      </c>
      <c r="J119" s="3" t="s">
        <v>14</v>
      </c>
      <c r="K119" s="32"/>
      <c r="L119" s="32"/>
      <c r="M119" s="30"/>
      <c r="N119" s="307">
        <v>13</v>
      </c>
      <c r="O119" s="308">
        <v>12</v>
      </c>
      <c r="P119" s="308">
        <v>11</v>
      </c>
      <c r="Q119" s="308">
        <v>10</v>
      </c>
      <c r="R119" s="306">
        <v>9</v>
      </c>
      <c r="S119" s="306">
        <v>8</v>
      </c>
      <c r="T119" s="306">
        <v>7</v>
      </c>
      <c r="U119" s="306">
        <v>6</v>
      </c>
      <c r="V119" s="342">
        <v>5</v>
      </c>
      <c r="W119" s="344">
        <v>4</v>
      </c>
      <c r="X119" s="306">
        <v>3</v>
      </c>
      <c r="Y119" s="306">
        <v>2</v>
      </c>
      <c r="Z119" s="306">
        <v>1</v>
      </c>
      <c r="AA119" s="306">
        <v>15</v>
      </c>
      <c r="AB119" s="309">
        <v>14</v>
      </c>
      <c r="AC119" s="344">
        <v>13</v>
      </c>
      <c r="AD119" s="306">
        <v>12</v>
      </c>
      <c r="AE119" s="306">
        <v>11</v>
      </c>
      <c r="AF119" s="306">
        <v>10</v>
      </c>
      <c r="AG119" s="306">
        <v>9</v>
      </c>
      <c r="AH119" s="306">
        <v>8</v>
      </c>
      <c r="AI119" s="306">
        <v>7</v>
      </c>
      <c r="AJ119" s="284">
        <v>6</v>
      </c>
      <c r="AK119" s="293">
        <v>5</v>
      </c>
      <c r="AL119" s="290">
        <v>4</v>
      </c>
      <c r="AM119" s="284">
        <v>3</v>
      </c>
      <c r="AN119" s="284">
        <v>2</v>
      </c>
      <c r="AO119" s="284">
        <v>1</v>
      </c>
      <c r="AP119" s="306">
        <v>15</v>
      </c>
      <c r="AQ119" s="310">
        <v>14</v>
      </c>
      <c r="AR119" s="312">
        <v>13</v>
      </c>
      <c r="AS119" s="311">
        <v>12</v>
      </c>
      <c r="AT119" s="311">
        <v>11</v>
      </c>
      <c r="AU119" s="311">
        <v>10</v>
      </c>
      <c r="AV119" s="306">
        <v>9</v>
      </c>
      <c r="AW119" s="306">
        <v>8</v>
      </c>
      <c r="AX119" s="306">
        <v>7</v>
      </c>
      <c r="AY119" s="306">
        <v>6</v>
      </c>
      <c r="AZ119" s="306">
        <v>5</v>
      </c>
      <c r="BA119" s="306">
        <v>4</v>
      </c>
      <c r="BB119" s="306">
        <v>3</v>
      </c>
      <c r="BC119" s="306">
        <v>2</v>
      </c>
      <c r="BD119" s="306">
        <v>1</v>
      </c>
      <c r="BE119" s="306">
        <v>15</v>
      </c>
      <c r="BF119" s="310">
        <v>14</v>
      </c>
      <c r="BG119" s="312">
        <v>13</v>
      </c>
      <c r="BH119" s="311">
        <v>12</v>
      </c>
      <c r="BI119" s="311">
        <v>11</v>
      </c>
      <c r="BJ119" s="311">
        <v>10</v>
      </c>
      <c r="BK119" s="306">
        <v>9</v>
      </c>
      <c r="BL119" s="306">
        <v>8</v>
      </c>
      <c r="BM119" s="306">
        <v>7</v>
      </c>
      <c r="BN119" s="306">
        <v>6</v>
      </c>
      <c r="BO119" s="306">
        <v>5</v>
      </c>
      <c r="BP119" s="306">
        <v>4</v>
      </c>
      <c r="BQ119" s="306">
        <v>3</v>
      </c>
      <c r="BR119" s="306">
        <v>2</v>
      </c>
      <c r="BS119" s="306">
        <v>1</v>
      </c>
      <c r="BT119" s="306">
        <v>15</v>
      </c>
      <c r="BU119" s="310">
        <v>14</v>
      </c>
      <c r="BV119" s="307">
        <v>13</v>
      </c>
      <c r="BW119" s="308">
        <v>12</v>
      </c>
      <c r="BX119" s="308">
        <v>11</v>
      </c>
      <c r="BY119" s="308">
        <v>10</v>
      </c>
      <c r="BZ119" s="306">
        <v>9</v>
      </c>
      <c r="CA119" s="306">
        <v>8</v>
      </c>
      <c r="CB119" s="306">
        <v>7</v>
      </c>
      <c r="CC119" s="306">
        <v>6</v>
      </c>
      <c r="CD119" s="306">
        <v>5</v>
      </c>
      <c r="CE119" s="306">
        <v>4</v>
      </c>
      <c r="CF119" s="306">
        <v>3</v>
      </c>
      <c r="CG119" s="306">
        <v>2</v>
      </c>
      <c r="CH119" s="306">
        <v>1</v>
      </c>
      <c r="CI119" s="306">
        <v>15</v>
      </c>
      <c r="CJ119" s="310">
        <v>14</v>
      </c>
    </row>
  </sheetData>
  <autoFilter ref="A5:CJ119">
    <filterColumn colId="5">
      <filters>
        <filter val="EMPTY"/>
      </filters>
    </filterColumn>
  </autoFilter>
  <mergeCells count="3">
    <mergeCell ref="AB2:AC2"/>
    <mergeCell ref="N3:AB3"/>
    <mergeCell ref="AC3:AQ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CN119"/>
  <sheetViews>
    <sheetView zoomScale="85" zoomScaleNormal="85" workbookViewId="0">
      <selection activeCell="E5" sqref="A5:XFD5"/>
    </sheetView>
  </sheetViews>
  <sheetFormatPr defaultColWidth="3.28515625" defaultRowHeight="15" x14ac:dyDescent="0.25"/>
  <cols>
    <col min="1" max="1" width="3.28515625" style="2"/>
    <col min="2" max="2" width="9.140625" bestFit="1" customWidth="1"/>
    <col min="3" max="3" width="14.85546875" bestFit="1" customWidth="1"/>
    <col min="4" max="4" width="35.42578125" bestFit="1" customWidth="1"/>
    <col min="5" max="5" width="21.140625" customWidth="1"/>
    <col min="6" max="6" width="21" bestFit="1" customWidth="1"/>
    <col min="7" max="7" width="7.140625" bestFit="1" customWidth="1"/>
    <col min="8" max="8" width="7.140625" customWidth="1"/>
    <col min="9" max="9" width="8.42578125" customWidth="1"/>
    <col min="10" max="10" width="10.5703125" bestFit="1" customWidth="1"/>
    <col min="11" max="11" width="11" bestFit="1" customWidth="1"/>
    <col min="12" max="12" width="9.85546875" bestFit="1" customWidth="1"/>
    <col min="13" max="22" width="3.7109375" style="255" customWidth="1"/>
    <col min="23" max="23" width="3.7109375" style="316" customWidth="1"/>
    <col min="24" max="37" width="3.7109375" style="255" customWidth="1"/>
    <col min="38" max="38" width="3.7109375" style="313" customWidth="1"/>
    <col min="39" max="92" width="3.7109375" style="255" customWidth="1"/>
    <col min="93" max="16384" width="3.28515625" style="2"/>
  </cols>
  <sheetData>
    <row r="1" spans="1:92" customFormat="1" ht="21" x14ac:dyDescent="0.35">
      <c r="A1" s="2"/>
      <c r="B1" s="250" t="s">
        <v>60</v>
      </c>
      <c r="D1" s="335">
        <v>16</v>
      </c>
      <c r="E1" s="334" t="s">
        <v>64</v>
      </c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2"/>
      <c r="X1" s="251"/>
      <c r="Y1" s="251"/>
      <c r="Z1" s="251"/>
      <c r="AA1" s="251"/>
      <c r="AB1" s="251"/>
      <c r="AC1" s="251"/>
      <c r="AD1" s="251"/>
      <c r="AE1" s="251"/>
      <c r="AF1" s="251"/>
      <c r="AG1" s="251"/>
      <c r="AH1" s="251"/>
      <c r="AI1" s="251"/>
      <c r="AJ1" s="251"/>
      <c r="AK1" s="251"/>
      <c r="AL1" s="254"/>
      <c r="AM1" s="251"/>
      <c r="AN1" s="251"/>
      <c r="AO1" s="251"/>
      <c r="AP1" s="251"/>
      <c r="AQ1" s="251"/>
      <c r="AR1" s="251"/>
      <c r="AS1" s="251"/>
      <c r="AT1" s="251"/>
      <c r="AU1" s="251"/>
      <c r="AV1" s="251"/>
      <c r="AW1" s="251"/>
      <c r="AX1" s="251"/>
      <c r="AY1" s="251"/>
      <c r="AZ1" s="251"/>
      <c r="BA1" s="251"/>
      <c r="BB1" s="251"/>
      <c r="BC1" s="251"/>
      <c r="BD1" s="251"/>
      <c r="BE1" s="251"/>
      <c r="BF1" s="251"/>
      <c r="BG1" s="251"/>
      <c r="BH1" s="251"/>
      <c r="BI1" s="251"/>
      <c r="BJ1" s="251"/>
      <c r="BK1" s="251"/>
      <c r="BL1" s="251"/>
      <c r="BM1" s="251"/>
      <c r="BN1" s="251"/>
      <c r="BO1" s="251"/>
      <c r="BP1" s="251"/>
      <c r="BQ1" s="251"/>
      <c r="BR1" s="251"/>
      <c r="BS1" s="251"/>
      <c r="BT1" s="251"/>
      <c r="BU1" s="251"/>
      <c r="BV1" s="251"/>
      <c r="BW1" s="251"/>
      <c r="BX1" s="251"/>
      <c r="BY1" s="251"/>
      <c r="BZ1" s="251"/>
      <c r="CA1" s="251"/>
      <c r="CB1" s="251"/>
      <c r="CC1" s="251"/>
      <c r="CD1" s="251"/>
      <c r="CE1" s="251"/>
      <c r="CF1" s="251"/>
      <c r="CG1" s="251"/>
      <c r="CH1" s="251"/>
      <c r="CI1" s="251"/>
      <c r="CJ1" s="251"/>
      <c r="CK1" s="251"/>
      <c r="CL1" s="251"/>
      <c r="CM1" s="251"/>
      <c r="CN1" s="251"/>
    </row>
    <row r="2" spans="1:92" customFormat="1" x14ac:dyDescent="0.25">
      <c r="A2" s="2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2"/>
      <c r="X2" s="251"/>
      <c r="Y2" s="251"/>
      <c r="Z2" s="251"/>
      <c r="AA2" s="251"/>
      <c r="AB2" s="356" t="s">
        <v>37</v>
      </c>
      <c r="AC2" s="356"/>
      <c r="AD2" s="251"/>
      <c r="AE2" s="251"/>
      <c r="AF2" s="251"/>
      <c r="AG2" s="251"/>
      <c r="AH2" s="251"/>
      <c r="AI2" s="251"/>
      <c r="AJ2" s="251"/>
      <c r="AK2" s="251"/>
      <c r="AL2" s="254"/>
      <c r="AM2" s="251"/>
      <c r="AN2" s="251"/>
      <c r="AO2" s="251"/>
      <c r="AP2" s="251"/>
      <c r="AQ2" s="251"/>
      <c r="AR2" s="251"/>
      <c r="AS2" s="251"/>
      <c r="AT2" s="251"/>
      <c r="AU2" s="251"/>
      <c r="AV2" s="251"/>
      <c r="AW2" s="251"/>
      <c r="AX2" s="251"/>
      <c r="AY2" s="251"/>
      <c r="AZ2" s="251"/>
      <c r="BA2" s="251"/>
      <c r="BB2" s="251"/>
      <c r="BC2" s="251"/>
      <c r="BD2" s="251"/>
      <c r="BE2" s="251"/>
      <c r="BF2" s="251"/>
      <c r="BG2" s="251"/>
      <c r="BH2" s="251"/>
      <c r="BI2" s="251"/>
      <c r="BJ2" s="251"/>
      <c r="BK2" s="251"/>
      <c r="BL2" s="251"/>
      <c r="BM2" s="251"/>
      <c r="BN2" s="251"/>
      <c r="BO2" s="251"/>
      <c r="BP2" s="251"/>
      <c r="BQ2" s="251"/>
      <c r="BR2" s="251"/>
      <c r="BS2" s="251"/>
      <c r="BT2" s="251"/>
      <c r="BU2" s="251"/>
      <c r="BV2" s="251"/>
      <c r="BW2" s="251"/>
      <c r="BX2" s="251"/>
      <c r="BY2" s="251"/>
      <c r="BZ2" s="251"/>
      <c r="CA2" s="251"/>
      <c r="CB2" s="251"/>
      <c r="CC2" s="251"/>
      <c r="CD2" s="251"/>
      <c r="CE2" s="251"/>
      <c r="CF2" s="251"/>
      <c r="CG2" s="251"/>
      <c r="CH2" s="251"/>
      <c r="CI2" s="251"/>
      <c r="CJ2" s="251"/>
      <c r="CK2" s="251"/>
      <c r="CL2" s="251"/>
      <c r="CM2" s="251"/>
      <c r="CN2" s="251"/>
    </row>
    <row r="3" spans="1:92" s="251" customFormat="1" x14ac:dyDescent="0.25">
      <c r="A3" s="255"/>
      <c r="B3" s="256" t="s">
        <v>26</v>
      </c>
      <c r="C3" s="256" t="s">
        <v>25</v>
      </c>
      <c r="D3" s="256"/>
      <c r="E3" s="256" t="s">
        <v>36</v>
      </c>
      <c r="F3" s="256" t="s">
        <v>29</v>
      </c>
      <c r="G3" s="256" t="s">
        <v>17</v>
      </c>
      <c r="H3" s="256" t="s">
        <v>20</v>
      </c>
      <c r="I3" s="256" t="s">
        <v>1</v>
      </c>
      <c r="J3" s="256" t="s">
        <v>30</v>
      </c>
      <c r="K3" s="256" t="s">
        <v>31</v>
      </c>
      <c r="L3" s="256" t="s">
        <v>27</v>
      </c>
      <c r="M3" s="357">
        <v>9</v>
      </c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  <c r="AA3" s="358"/>
      <c r="AB3" s="358"/>
      <c r="AC3" s="357">
        <v>8</v>
      </c>
      <c r="AD3" s="358"/>
      <c r="AE3" s="358"/>
      <c r="AF3" s="358"/>
      <c r="AG3" s="358"/>
      <c r="AH3" s="358"/>
      <c r="AI3" s="358"/>
      <c r="AJ3" s="358"/>
      <c r="AK3" s="358"/>
      <c r="AL3" s="358"/>
      <c r="AM3" s="358"/>
      <c r="AN3" s="358"/>
      <c r="AO3" s="358"/>
      <c r="AP3" s="358"/>
      <c r="AQ3" s="358"/>
      <c r="AR3" s="358"/>
    </row>
    <row r="4" spans="1:92" customFormat="1" x14ac:dyDescent="0.25">
      <c r="A4" s="2"/>
      <c r="B4" s="257"/>
      <c r="C4" s="257"/>
      <c r="D4" s="257"/>
      <c r="E4" s="257"/>
      <c r="F4" s="257"/>
      <c r="G4" s="257"/>
      <c r="H4" s="257"/>
      <c r="I4" s="257"/>
      <c r="J4" s="257"/>
      <c r="K4" s="257">
        <v>16</v>
      </c>
      <c r="L4" s="257"/>
      <c r="M4" s="258">
        <v>16</v>
      </c>
      <c r="N4" s="258">
        <v>15</v>
      </c>
      <c r="O4" s="258">
        <v>14</v>
      </c>
      <c r="P4" s="258">
        <v>13</v>
      </c>
      <c r="Q4" s="258">
        <v>12</v>
      </c>
      <c r="R4" s="258">
        <v>11</v>
      </c>
      <c r="S4" s="258">
        <v>10</v>
      </c>
      <c r="T4" s="258">
        <v>9</v>
      </c>
      <c r="U4" s="258">
        <v>8</v>
      </c>
      <c r="V4" s="258">
        <v>7</v>
      </c>
      <c r="W4" s="258">
        <v>6</v>
      </c>
      <c r="X4" s="258">
        <v>5</v>
      </c>
      <c r="Y4" s="258">
        <v>4</v>
      </c>
      <c r="Z4" s="258">
        <v>3</v>
      </c>
      <c r="AA4" s="258">
        <v>2</v>
      </c>
      <c r="AB4" s="258">
        <v>1</v>
      </c>
      <c r="AC4" s="261">
        <v>16</v>
      </c>
      <c r="AD4" s="261">
        <v>15</v>
      </c>
      <c r="AE4" s="261">
        <v>14</v>
      </c>
      <c r="AF4" s="261">
        <v>13</v>
      </c>
      <c r="AG4" s="261">
        <v>12</v>
      </c>
      <c r="AH4" s="261">
        <v>11</v>
      </c>
      <c r="AI4" s="261">
        <v>10</v>
      </c>
      <c r="AJ4" s="261">
        <v>9</v>
      </c>
      <c r="AK4" s="261">
        <v>8</v>
      </c>
      <c r="AL4" s="261">
        <v>7</v>
      </c>
      <c r="AM4" s="261">
        <v>6</v>
      </c>
      <c r="AN4" s="261">
        <v>5</v>
      </c>
      <c r="AO4" s="261">
        <v>4</v>
      </c>
      <c r="AP4" s="261">
        <v>3</v>
      </c>
      <c r="AQ4" s="261">
        <v>2</v>
      </c>
      <c r="AR4" s="261">
        <v>1</v>
      </c>
      <c r="AS4" s="263">
        <v>16</v>
      </c>
      <c r="AT4" s="263">
        <v>15</v>
      </c>
      <c r="AU4" s="263">
        <v>14</v>
      </c>
      <c r="AV4" s="263">
        <v>13</v>
      </c>
      <c r="AW4" s="263">
        <v>12</v>
      </c>
      <c r="AX4" s="263">
        <v>11</v>
      </c>
      <c r="AY4" s="263">
        <v>10</v>
      </c>
      <c r="AZ4" s="263">
        <v>9</v>
      </c>
      <c r="BA4" s="263">
        <v>8</v>
      </c>
      <c r="BB4" s="263">
        <v>7</v>
      </c>
      <c r="BC4" s="263">
        <v>6</v>
      </c>
      <c r="BD4" s="263">
        <v>5</v>
      </c>
      <c r="BE4" s="263">
        <v>4</v>
      </c>
      <c r="BF4" s="263">
        <v>3</v>
      </c>
      <c r="BG4" s="263">
        <v>2</v>
      </c>
      <c r="BH4" s="263">
        <v>1</v>
      </c>
      <c r="BI4" s="264">
        <v>16</v>
      </c>
      <c r="BJ4" s="264">
        <v>15</v>
      </c>
      <c r="BK4" s="264">
        <v>14</v>
      </c>
      <c r="BL4" s="264">
        <v>13</v>
      </c>
      <c r="BM4" s="264">
        <v>12</v>
      </c>
      <c r="BN4" s="264">
        <v>11</v>
      </c>
      <c r="BO4" s="264">
        <v>10</v>
      </c>
      <c r="BP4" s="264">
        <v>9</v>
      </c>
      <c r="BQ4" s="264">
        <v>8</v>
      </c>
      <c r="BR4" s="264">
        <v>7</v>
      </c>
      <c r="BS4" s="264">
        <v>6</v>
      </c>
      <c r="BT4" s="264">
        <v>5</v>
      </c>
      <c r="BU4" s="264">
        <v>4</v>
      </c>
      <c r="BV4" s="264">
        <v>3</v>
      </c>
      <c r="BW4" s="264">
        <v>2</v>
      </c>
      <c r="BX4" s="264">
        <v>1</v>
      </c>
      <c r="BY4" s="265">
        <v>16</v>
      </c>
      <c r="BZ4" s="265">
        <v>15</v>
      </c>
      <c r="CA4" s="265">
        <v>14</v>
      </c>
      <c r="CB4" s="265">
        <v>13</v>
      </c>
      <c r="CC4" s="265">
        <v>12</v>
      </c>
      <c r="CD4" s="265">
        <v>11</v>
      </c>
      <c r="CE4" s="265">
        <v>10</v>
      </c>
      <c r="CF4" s="265">
        <v>9</v>
      </c>
      <c r="CG4" s="265">
        <v>8</v>
      </c>
      <c r="CH4" s="265">
        <v>7</v>
      </c>
      <c r="CI4" s="265">
        <v>6</v>
      </c>
      <c r="CJ4" s="265">
        <v>5</v>
      </c>
      <c r="CK4" s="265">
        <v>4</v>
      </c>
      <c r="CL4" s="265">
        <v>3</v>
      </c>
      <c r="CM4" s="265">
        <v>2</v>
      </c>
      <c r="CN4" s="265">
        <v>1</v>
      </c>
    </row>
    <row r="5" spans="1:92" s="277" customFormat="1" x14ac:dyDescent="0.25">
      <c r="A5" s="266"/>
      <c r="B5" s="337">
        <v>0</v>
      </c>
      <c r="C5" s="337">
        <v>0</v>
      </c>
      <c r="D5" s="337"/>
      <c r="E5" s="337"/>
      <c r="F5" s="337" t="s">
        <v>23</v>
      </c>
      <c r="G5" s="337"/>
      <c r="H5" s="337"/>
      <c r="I5" s="337"/>
      <c r="J5" s="337"/>
      <c r="K5" s="338">
        <v>6</v>
      </c>
      <c r="L5" s="338"/>
      <c r="M5" s="269">
        <v>10</v>
      </c>
      <c r="N5" s="269">
        <v>9</v>
      </c>
      <c r="O5" s="269">
        <v>8</v>
      </c>
      <c r="P5" s="269">
        <v>7</v>
      </c>
      <c r="Q5" s="269">
        <v>6</v>
      </c>
      <c r="R5" s="269">
        <v>5</v>
      </c>
      <c r="S5" s="269">
        <v>4</v>
      </c>
      <c r="T5" s="269">
        <v>3</v>
      </c>
      <c r="U5" s="269">
        <v>2</v>
      </c>
      <c r="V5" s="270">
        <v>1</v>
      </c>
      <c r="W5" s="271">
        <v>16</v>
      </c>
      <c r="X5" s="271">
        <v>15</v>
      </c>
      <c r="Y5" s="271">
        <v>14</v>
      </c>
      <c r="Z5" s="271">
        <v>13</v>
      </c>
      <c r="AA5" s="271">
        <v>12</v>
      </c>
      <c r="AB5" s="271">
        <v>11</v>
      </c>
      <c r="AC5" s="271">
        <v>10</v>
      </c>
      <c r="AD5" s="271">
        <v>9</v>
      </c>
      <c r="AE5" s="271">
        <v>8</v>
      </c>
      <c r="AF5" s="271">
        <v>7</v>
      </c>
      <c r="AG5" s="271">
        <v>6</v>
      </c>
      <c r="AH5" s="271">
        <v>5</v>
      </c>
      <c r="AI5" s="271">
        <v>4</v>
      </c>
      <c r="AJ5" s="271">
        <v>3</v>
      </c>
      <c r="AK5" s="271">
        <v>2</v>
      </c>
      <c r="AL5" s="271">
        <v>1</v>
      </c>
      <c r="AM5" s="276">
        <v>16</v>
      </c>
      <c r="AN5" s="276">
        <v>15</v>
      </c>
      <c r="AO5" s="276">
        <v>14</v>
      </c>
      <c r="AP5" s="276">
        <v>13</v>
      </c>
      <c r="AQ5" s="276">
        <v>12</v>
      </c>
      <c r="AR5" s="276">
        <v>11</v>
      </c>
      <c r="AS5" s="276">
        <v>10</v>
      </c>
      <c r="AT5" s="276">
        <v>9</v>
      </c>
      <c r="AU5" s="276">
        <v>8</v>
      </c>
      <c r="AV5" s="276">
        <v>7</v>
      </c>
      <c r="AW5" s="276">
        <v>6</v>
      </c>
      <c r="AX5" s="276">
        <v>5</v>
      </c>
      <c r="AY5" s="276">
        <v>4</v>
      </c>
      <c r="AZ5" s="276">
        <v>3</v>
      </c>
      <c r="BA5" s="276">
        <v>2</v>
      </c>
      <c r="BB5" s="276">
        <v>1</v>
      </c>
      <c r="BC5" s="264">
        <v>16</v>
      </c>
      <c r="BD5" s="264">
        <v>15</v>
      </c>
      <c r="BE5" s="264">
        <v>14</v>
      </c>
      <c r="BF5" s="264">
        <v>13</v>
      </c>
      <c r="BG5" s="264">
        <v>12</v>
      </c>
      <c r="BH5" s="264">
        <v>11</v>
      </c>
      <c r="BI5" s="264">
        <v>10</v>
      </c>
      <c r="BJ5" s="264">
        <v>9</v>
      </c>
      <c r="BK5" s="264">
        <v>8</v>
      </c>
      <c r="BL5" s="264">
        <v>7</v>
      </c>
      <c r="BM5" s="264">
        <v>6</v>
      </c>
      <c r="BN5" s="264">
        <v>5</v>
      </c>
      <c r="BO5" s="264">
        <v>4</v>
      </c>
      <c r="BP5" s="264">
        <v>3</v>
      </c>
      <c r="BQ5" s="264">
        <v>2</v>
      </c>
      <c r="BR5" s="264">
        <v>1</v>
      </c>
      <c r="BS5" s="267">
        <v>16</v>
      </c>
      <c r="BT5" s="267">
        <v>15</v>
      </c>
      <c r="BU5" s="267">
        <v>14</v>
      </c>
      <c r="BV5" s="267">
        <v>13</v>
      </c>
      <c r="BW5" s="267">
        <v>12</v>
      </c>
      <c r="BX5" s="267">
        <v>11</v>
      </c>
      <c r="BY5" s="267">
        <v>10</v>
      </c>
      <c r="BZ5" s="267">
        <v>9</v>
      </c>
      <c r="CA5" s="267">
        <v>8</v>
      </c>
      <c r="CB5" s="267">
        <v>7</v>
      </c>
      <c r="CC5" s="267">
        <v>6</v>
      </c>
      <c r="CD5" s="267">
        <v>5</v>
      </c>
      <c r="CE5" s="267">
        <v>4</v>
      </c>
      <c r="CF5" s="267">
        <v>3</v>
      </c>
      <c r="CG5" s="267">
        <v>2</v>
      </c>
      <c r="CH5" s="267">
        <v>1</v>
      </c>
      <c r="CI5" s="267">
        <v>16</v>
      </c>
      <c r="CJ5" s="267">
        <v>15</v>
      </c>
      <c r="CK5" s="267">
        <v>14</v>
      </c>
      <c r="CL5" s="267">
        <v>13</v>
      </c>
      <c r="CM5" s="267">
        <v>12</v>
      </c>
      <c r="CN5" s="267">
        <v>11</v>
      </c>
    </row>
    <row r="6" spans="1:92" hidden="1" x14ac:dyDescent="0.25">
      <c r="B6" s="265">
        <v>1</v>
      </c>
      <c r="C6" s="265">
        <v>1</v>
      </c>
      <c r="D6" s="265" t="str">
        <f t="shared" ref="D6:D75" si="0">F6&amp;"_"&amp;G6&amp;"_"&amp;I6&amp;"_"&amp;H6&amp;"_"&amp;$D$1</f>
        <v>SORTING_EAST_UNP_1_16</v>
      </c>
      <c r="E6" s="265" t="s">
        <v>35</v>
      </c>
      <c r="F6" s="49" t="s">
        <v>45</v>
      </c>
      <c r="G6" s="3" t="s">
        <v>18</v>
      </c>
      <c r="H6" s="3">
        <v>1</v>
      </c>
      <c r="I6" s="3" t="s">
        <v>42</v>
      </c>
      <c r="J6" s="37"/>
      <c r="K6" s="90">
        <f>COUNT(W6:AR6)</f>
        <v>0</v>
      </c>
      <c r="L6" s="30" t="s">
        <v>28</v>
      </c>
      <c r="M6" s="247"/>
      <c r="N6" s="317"/>
      <c r="O6" s="317"/>
      <c r="P6" s="317"/>
      <c r="Q6" s="317"/>
      <c r="R6" s="248"/>
      <c r="S6" s="248"/>
      <c r="T6" s="248"/>
      <c r="U6" s="248"/>
      <c r="V6" s="193"/>
      <c r="W6" s="333"/>
      <c r="X6" s="3"/>
      <c r="Y6" s="3"/>
      <c r="Z6" s="3"/>
      <c r="AA6" s="3"/>
      <c r="AB6" s="280"/>
      <c r="AC6" s="319"/>
      <c r="AD6" s="3"/>
      <c r="AE6" s="3"/>
      <c r="AF6" s="3"/>
      <c r="AG6" s="3"/>
      <c r="AH6" s="3"/>
      <c r="AI6" s="3"/>
      <c r="AJ6" s="3"/>
      <c r="AK6" s="3"/>
      <c r="AL6" s="280"/>
      <c r="AM6" s="279"/>
      <c r="AN6" s="33"/>
      <c r="AO6" s="33"/>
      <c r="AP6" s="33"/>
      <c r="AQ6" s="33"/>
      <c r="AR6" s="35"/>
      <c r="AS6" s="278"/>
      <c r="AT6" s="279"/>
      <c r="AU6" s="279"/>
      <c r="AV6" s="279"/>
      <c r="AW6" s="279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5"/>
      <c r="BI6" s="278"/>
      <c r="BJ6" s="279"/>
      <c r="BK6" s="279"/>
      <c r="BL6" s="279"/>
      <c r="BM6" s="279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5"/>
      <c r="BY6" s="278"/>
      <c r="BZ6" s="279"/>
      <c r="CA6" s="279"/>
      <c r="CB6" s="279"/>
      <c r="CC6" s="279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5"/>
    </row>
    <row r="7" spans="1:92" hidden="1" x14ac:dyDescent="0.25">
      <c r="B7" s="265">
        <v>1</v>
      </c>
      <c r="C7" s="265">
        <v>2</v>
      </c>
      <c r="D7" s="265" t="str">
        <f t="shared" si="0"/>
        <v>TRANSFER_EAST_UNP_1_16</v>
      </c>
      <c r="E7" s="265" t="s">
        <v>21</v>
      </c>
      <c r="F7" s="49" t="s">
        <v>21</v>
      </c>
      <c r="G7" s="3" t="s">
        <v>18</v>
      </c>
      <c r="H7" s="3">
        <v>1</v>
      </c>
      <c r="I7" s="3" t="s">
        <v>42</v>
      </c>
      <c r="J7" s="37"/>
      <c r="K7" s="90">
        <f>COUNT(W7:AR7)</f>
        <v>1</v>
      </c>
      <c r="L7" s="30" t="s">
        <v>28</v>
      </c>
      <c r="M7" s="42"/>
      <c r="N7" s="133"/>
      <c r="O7" s="133"/>
      <c r="P7" s="133"/>
      <c r="Q7" s="133"/>
      <c r="R7" s="46"/>
      <c r="S7" s="46"/>
      <c r="T7" s="46"/>
      <c r="U7" s="46"/>
      <c r="V7" s="101"/>
      <c r="W7" s="319">
        <v>1</v>
      </c>
      <c r="X7" s="4"/>
      <c r="Y7" s="61"/>
      <c r="Z7" s="3"/>
      <c r="AA7" s="3"/>
      <c r="AB7" s="280"/>
      <c r="AC7" s="319"/>
      <c r="AD7" s="3"/>
      <c r="AE7" s="3"/>
      <c r="AF7" s="3"/>
      <c r="AG7" s="3"/>
      <c r="AH7" s="3"/>
      <c r="AI7" s="3"/>
      <c r="AJ7" s="3"/>
      <c r="AK7" s="3"/>
      <c r="AL7" s="280"/>
      <c r="AM7" s="86"/>
      <c r="AN7" s="3"/>
      <c r="AO7" s="3"/>
      <c r="AP7" s="3"/>
      <c r="AQ7" s="3"/>
      <c r="AR7" s="31"/>
      <c r="AS7" s="8"/>
      <c r="AT7" s="86"/>
      <c r="AU7" s="86"/>
      <c r="AV7" s="86"/>
      <c r="AW7" s="86"/>
      <c r="AX7" s="3"/>
      <c r="AY7" s="3"/>
      <c r="AZ7" s="3"/>
      <c r="BA7" s="3"/>
      <c r="BB7" s="3"/>
      <c r="BC7" s="3"/>
      <c r="BD7" s="3"/>
      <c r="BE7" s="3"/>
      <c r="BF7" s="3"/>
      <c r="BG7" s="3"/>
      <c r="BH7" s="31"/>
      <c r="BI7" s="8"/>
      <c r="BJ7" s="86"/>
      <c r="BK7" s="86"/>
      <c r="BL7" s="86"/>
      <c r="BM7" s="86"/>
      <c r="BN7" s="3"/>
      <c r="BO7" s="3"/>
      <c r="BP7" s="3"/>
      <c r="BQ7" s="3"/>
      <c r="BR7" s="3"/>
      <c r="BS7" s="3"/>
      <c r="BT7" s="3"/>
      <c r="BU7" s="3"/>
      <c r="BV7" s="3"/>
      <c r="BW7" s="3"/>
      <c r="BX7" s="31"/>
      <c r="BY7" s="8"/>
      <c r="BZ7" s="86"/>
      <c r="CA7" s="86"/>
      <c r="CB7" s="86"/>
      <c r="CC7" s="86"/>
      <c r="CD7" s="3"/>
      <c r="CE7" s="3"/>
      <c r="CF7" s="3"/>
      <c r="CG7" s="3"/>
      <c r="CH7" s="3"/>
      <c r="CI7" s="3"/>
      <c r="CJ7" s="3"/>
      <c r="CK7" s="3"/>
      <c r="CL7" s="3"/>
      <c r="CM7" s="3"/>
      <c r="CN7" s="31"/>
    </row>
    <row r="8" spans="1:92" hidden="1" x14ac:dyDescent="0.25">
      <c r="B8" s="265">
        <v>1</v>
      </c>
      <c r="C8" s="265">
        <v>3</v>
      </c>
      <c r="D8" s="265" t="str">
        <f t="shared" si="0"/>
        <v>SUPPLY_EAST_UNP_1_16</v>
      </c>
      <c r="E8" s="265" t="s">
        <v>0</v>
      </c>
      <c r="F8" s="34" t="s">
        <v>0</v>
      </c>
      <c r="G8" s="3" t="s">
        <v>18</v>
      </c>
      <c r="H8" s="3">
        <v>1</v>
      </c>
      <c r="I8" s="3" t="s">
        <v>42</v>
      </c>
      <c r="J8" s="90"/>
      <c r="K8" s="90">
        <f>COUNT(AC8:BH8)</f>
        <v>0</v>
      </c>
      <c r="L8" s="30" t="s">
        <v>28</v>
      </c>
      <c r="M8" s="42"/>
      <c r="N8" s="133"/>
      <c r="O8" s="133"/>
      <c r="P8" s="133"/>
      <c r="Q8" s="133"/>
      <c r="R8" s="46"/>
      <c r="S8" s="46"/>
      <c r="T8" s="46"/>
      <c r="U8" s="46"/>
      <c r="V8" s="101"/>
      <c r="W8" s="320"/>
      <c r="X8" s="46"/>
      <c r="Y8" s="46"/>
      <c r="Z8" s="46"/>
      <c r="AA8" s="46"/>
      <c r="AB8" s="340"/>
      <c r="AC8" s="333"/>
      <c r="AD8" s="4"/>
      <c r="AE8" s="4"/>
      <c r="AF8" s="4"/>
      <c r="AG8" s="4"/>
      <c r="AH8" s="4"/>
      <c r="AI8" s="4"/>
      <c r="AJ8" s="4"/>
      <c r="AK8" s="4"/>
      <c r="AL8" s="283"/>
      <c r="AM8" s="93"/>
      <c r="AN8" s="4"/>
      <c r="AO8" s="284"/>
      <c r="AP8" s="3"/>
      <c r="AQ8" s="3"/>
      <c r="AR8" s="31"/>
      <c r="AS8" s="8"/>
      <c r="AT8" s="86"/>
      <c r="AU8" s="86"/>
      <c r="AV8" s="86"/>
      <c r="AW8" s="86"/>
      <c r="AX8" s="3"/>
      <c r="AY8" s="3"/>
      <c r="AZ8" s="3"/>
      <c r="BA8" s="3"/>
      <c r="BB8" s="3"/>
      <c r="BC8" s="3"/>
      <c r="BD8" s="3"/>
      <c r="BF8" s="3"/>
      <c r="BG8" s="3"/>
      <c r="BH8" s="31"/>
      <c r="BI8" s="8"/>
      <c r="BJ8" s="86"/>
      <c r="BK8" s="86"/>
      <c r="BL8" s="86"/>
      <c r="BM8" s="86"/>
      <c r="BN8" s="3"/>
      <c r="BO8" s="3"/>
      <c r="BP8" s="3"/>
      <c r="BQ8" s="3"/>
      <c r="BR8" s="3"/>
      <c r="BS8" s="3"/>
      <c r="BT8" s="3"/>
      <c r="BV8" s="3"/>
      <c r="BW8" s="3"/>
      <c r="BX8" s="31"/>
      <c r="BY8" s="8"/>
      <c r="BZ8" s="86"/>
      <c r="CA8" s="86"/>
      <c r="CB8" s="86"/>
      <c r="CC8" s="86"/>
      <c r="CD8" s="3"/>
      <c r="CE8" s="3"/>
      <c r="CF8" s="3"/>
      <c r="CG8" s="3"/>
      <c r="CH8" s="3"/>
      <c r="CI8" s="3"/>
      <c r="CJ8" s="3"/>
      <c r="CL8" s="3"/>
      <c r="CM8" s="3"/>
      <c r="CN8" s="31"/>
    </row>
    <row r="9" spans="1:92" x14ac:dyDescent="0.25">
      <c r="B9" s="265">
        <f>B8</f>
        <v>1</v>
      </c>
      <c r="C9" s="265">
        <v>4</v>
      </c>
      <c r="D9" s="265" t="str">
        <f t="shared" si="0"/>
        <v>EMPTY_EAST_UNP_1_16</v>
      </c>
      <c r="E9" s="265" t="s">
        <v>0</v>
      </c>
      <c r="F9" s="34" t="s">
        <v>32</v>
      </c>
      <c r="G9" s="3" t="s">
        <v>18</v>
      </c>
      <c r="H9" s="3">
        <v>1</v>
      </c>
      <c r="I9" s="3" t="s">
        <v>42</v>
      </c>
      <c r="J9" s="90"/>
      <c r="K9" s="90">
        <f>COUNT(M9:AR9)</f>
        <v>12</v>
      </c>
      <c r="L9" s="30" t="s">
        <v>28</v>
      </c>
      <c r="M9" s="8">
        <v>1</v>
      </c>
      <c r="N9" s="86">
        <f>M9+1</f>
        <v>2</v>
      </c>
      <c r="O9" s="86">
        <f t="shared" ref="O9:Z10" si="1">N9+1</f>
        <v>3</v>
      </c>
      <c r="P9" s="86">
        <f t="shared" si="1"/>
        <v>4</v>
      </c>
      <c r="Q9" s="86">
        <f t="shared" si="1"/>
        <v>5</v>
      </c>
      <c r="R9" s="86">
        <f t="shared" si="1"/>
        <v>6</v>
      </c>
      <c r="S9" s="86">
        <f t="shared" si="1"/>
        <v>7</v>
      </c>
      <c r="T9" s="86">
        <f t="shared" si="1"/>
        <v>8</v>
      </c>
      <c r="U9" s="86">
        <f t="shared" si="1"/>
        <v>9</v>
      </c>
      <c r="V9" s="336">
        <f t="shared" si="1"/>
        <v>10</v>
      </c>
      <c r="W9" s="319">
        <f t="shared" si="1"/>
        <v>11</v>
      </c>
      <c r="X9" s="3">
        <f t="shared" si="1"/>
        <v>12</v>
      </c>
      <c r="Y9" s="46"/>
      <c r="Z9" s="4"/>
      <c r="AA9" s="3"/>
      <c r="AB9" s="280"/>
      <c r="AC9" s="319"/>
      <c r="AD9" s="3"/>
      <c r="AE9" s="3"/>
      <c r="AF9" s="3"/>
      <c r="AG9" s="3"/>
      <c r="AH9" s="3"/>
      <c r="AI9" s="3"/>
      <c r="AJ9" s="3"/>
      <c r="AK9" s="3"/>
      <c r="AL9" s="280"/>
      <c r="AM9" s="86"/>
      <c r="AN9" s="3"/>
      <c r="AO9" s="33"/>
      <c r="AP9" s="3"/>
      <c r="AQ9" s="3"/>
      <c r="AR9" s="31"/>
      <c r="AS9" s="8"/>
      <c r="AT9" s="86"/>
      <c r="AU9" s="86"/>
      <c r="AV9" s="86"/>
      <c r="AW9" s="86"/>
      <c r="AX9" s="3"/>
      <c r="AY9" s="3"/>
      <c r="AZ9" s="3"/>
      <c r="BA9" s="3"/>
      <c r="BB9" s="3"/>
      <c r="BC9" s="3"/>
      <c r="BD9" s="3"/>
      <c r="BE9" s="3"/>
      <c r="BF9" s="3"/>
      <c r="BG9" s="3"/>
      <c r="BH9" s="31"/>
      <c r="BI9" s="8"/>
      <c r="BJ9" s="86"/>
      <c r="BK9" s="86"/>
      <c r="BL9" s="86"/>
      <c r="BM9" s="86"/>
      <c r="BN9" s="3"/>
      <c r="BO9" s="3"/>
      <c r="BP9" s="3"/>
      <c r="BQ9" s="3"/>
      <c r="BR9" s="3"/>
      <c r="BS9" s="3"/>
      <c r="BT9" s="3"/>
      <c r="BU9" s="3"/>
      <c r="BV9" s="3"/>
      <c r="BW9" s="3"/>
      <c r="BX9" s="31"/>
      <c r="BY9" s="8"/>
      <c r="BZ9" s="86"/>
      <c r="CA9" s="86"/>
      <c r="CB9" s="86"/>
      <c r="CC9" s="86"/>
      <c r="CD9" s="3"/>
      <c r="CE9" s="3"/>
      <c r="CF9" s="3"/>
      <c r="CG9" s="3"/>
      <c r="CH9" s="3"/>
      <c r="CI9" s="3"/>
      <c r="CJ9" s="3"/>
      <c r="CK9" s="3"/>
      <c r="CL9" s="3"/>
      <c r="CM9" s="3"/>
      <c r="CN9" s="31"/>
    </row>
    <row r="10" spans="1:92" hidden="1" x14ac:dyDescent="0.25">
      <c r="B10" s="265">
        <v>1</v>
      </c>
      <c r="C10" s="265">
        <v>5</v>
      </c>
      <c r="D10" s="265" t="str">
        <f t="shared" si="0"/>
        <v>PREPARE_EAST_UNP_1_16</v>
      </c>
      <c r="E10" s="265" t="s">
        <v>0</v>
      </c>
      <c r="F10" s="49" t="s">
        <v>46</v>
      </c>
      <c r="G10" s="3" t="s">
        <v>18</v>
      </c>
      <c r="H10" s="3">
        <v>1</v>
      </c>
      <c r="I10" s="3" t="s">
        <v>42</v>
      </c>
      <c r="J10" s="37"/>
      <c r="K10" s="90">
        <f>COUNT(M10:AR10)</f>
        <v>14</v>
      </c>
      <c r="L10" s="30" t="s">
        <v>28</v>
      </c>
      <c r="M10" s="8">
        <v>1</v>
      </c>
      <c r="N10" s="86">
        <f>M10+1</f>
        <v>2</v>
      </c>
      <c r="O10" s="86">
        <f t="shared" si="1"/>
        <v>3</v>
      </c>
      <c r="P10" s="86">
        <f t="shared" si="1"/>
        <v>4</v>
      </c>
      <c r="Q10" s="86">
        <f t="shared" si="1"/>
        <v>5</v>
      </c>
      <c r="R10" s="86">
        <f t="shared" si="1"/>
        <v>6</v>
      </c>
      <c r="S10" s="86">
        <f t="shared" si="1"/>
        <v>7</v>
      </c>
      <c r="T10" s="86">
        <f t="shared" si="1"/>
        <v>8</v>
      </c>
      <c r="U10" s="86">
        <f t="shared" si="1"/>
        <v>9</v>
      </c>
      <c r="V10" s="336">
        <f t="shared" si="1"/>
        <v>10</v>
      </c>
      <c r="W10" s="319">
        <f t="shared" si="1"/>
        <v>11</v>
      </c>
      <c r="X10" s="3">
        <f t="shared" si="1"/>
        <v>12</v>
      </c>
      <c r="Y10" s="3">
        <f t="shared" si="1"/>
        <v>13</v>
      </c>
      <c r="Z10" s="3">
        <f t="shared" si="1"/>
        <v>14</v>
      </c>
      <c r="AA10" s="4"/>
      <c r="AB10" s="283"/>
      <c r="AC10" s="319"/>
      <c r="AD10" s="3"/>
      <c r="AE10" s="3"/>
      <c r="AF10" s="3"/>
      <c r="AG10" s="3"/>
      <c r="AH10" s="3"/>
      <c r="AI10" s="3"/>
      <c r="AJ10" s="3"/>
      <c r="AK10" s="3"/>
      <c r="AL10" s="280"/>
      <c r="AM10" s="86"/>
      <c r="AN10" s="3"/>
      <c r="AO10" s="3"/>
      <c r="AP10" s="3"/>
      <c r="AQ10" s="3"/>
      <c r="AR10" s="31"/>
      <c r="AS10" s="8"/>
      <c r="AT10" s="86"/>
      <c r="AU10" s="86"/>
      <c r="AV10" s="86"/>
      <c r="AW10" s="86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1"/>
      <c r="BI10" s="8"/>
      <c r="BJ10" s="86"/>
      <c r="BK10" s="86"/>
      <c r="BL10" s="86"/>
      <c r="BM10" s="86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1"/>
      <c r="BY10" s="8"/>
      <c r="BZ10" s="86"/>
      <c r="CA10" s="86"/>
      <c r="CB10" s="86"/>
      <c r="CC10" s="86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1"/>
    </row>
    <row r="11" spans="1:92" hidden="1" x14ac:dyDescent="0.25">
      <c r="B11" s="265">
        <f>B9</f>
        <v>1</v>
      </c>
      <c r="C11" s="265">
        <v>6</v>
      </c>
      <c r="D11" s="265" t="str">
        <f t="shared" si="0"/>
        <v>COUNTDOWN_EAST_UNP_1_16</v>
      </c>
      <c r="E11" s="265"/>
      <c r="F11" s="34" t="s">
        <v>33</v>
      </c>
      <c r="G11" s="3" t="s">
        <v>18</v>
      </c>
      <c r="H11" s="3">
        <v>1</v>
      </c>
      <c r="I11" s="3" t="s">
        <v>42</v>
      </c>
      <c r="J11" s="32"/>
      <c r="K11" s="32"/>
      <c r="L11" s="30" t="s">
        <v>28</v>
      </c>
      <c r="M11" s="8">
        <v>16</v>
      </c>
      <c r="N11" s="86">
        <v>15</v>
      </c>
      <c r="O11" s="86">
        <v>14</v>
      </c>
      <c r="P11" s="86">
        <v>13</v>
      </c>
      <c r="Q11" s="86">
        <v>12</v>
      </c>
      <c r="R11" s="3">
        <v>11</v>
      </c>
      <c r="S11" s="3">
        <v>10</v>
      </c>
      <c r="T11" s="3">
        <v>9</v>
      </c>
      <c r="U11" s="3">
        <v>8</v>
      </c>
      <c r="V11" s="30">
        <v>7</v>
      </c>
      <c r="W11" s="319">
        <v>6</v>
      </c>
      <c r="X11" s="3">
        <v>5</v>
      </c>
      <c r="Y11" s="3">
        <v>4</v>
      </c>
      <c r="Z11" s="3">
        <v>3</v>
      </c>
      <c r="AA11" s="3">
        <v>2</v>
      </c>
      <c r="AB11" s="280">
        <v>1</v>
      </c>
      <c r="AC11" s="319">
        <v>16</v>
      </c>
      <c r="AD11" s="3">
        <v>15</v>
      </c>
      <c r="AE11" s="3">
        <v>14</v>
      </c>
      <c r="AF11" s="3">
        <v>13</v>
      </c>
      <c r="AG11" s="3">
        <v>12</v>
      </c>
      <c r="AH11" s="3">
        <v>11</v>
      </c>
      <c r="AI11" s="3">
        <v>10</v>
      </c>
      <c r="AJ11" s="3">
        <v>9</v>
      </c>
      <c r="AK11" s="3">
        <v>8</v>
      </c>
      <c r="AL11" s="280">
        <v>7</v>
      </c>
      <c r="AM11" s="86">
        <v>6</v>
      </c>
      <c r="AN11" s="3">
        <v>5</v>
      </c>
      <c r="AO11" s="3">
        <v>4</v>
      </c>
      <c r="AP11" s="3">
        <v>3</v>
      </c>
      <c r="AQ11" s="3">
        <v>2</v>
      </c>
      <c r="AR11" s="31">
        <v>1</v>
      </c>
      <c r="AS11" s="8">
        <v>16</v>
      </c>
      <c r="AT11" s="86">
        <v>15</v>
      </c>
      <c r="AU11" s="86">
        <v>14</v>
      </c>
      <c r="AV11" s="86">
        <v>13</v>
      </c>
      <c r="AW11" s="86">
        <v>12</v>
      </c>
      <c r="AX11" s="3">
        <v>11</v>
      </c>
      <c r="AY11" s="3">
        <v>10</v>
      </c>
      <c r="AZ11" s="3">
        <v>9</v>
      </c>
      <c r="BA11" s="3">
        <v>8</v>
      </c>
      <c r="BB11" s="3">
        <v>7</v>
      </c>
      <c r="BC11" s="3">
        <v>6</v>
      </c>
      <c r="BD11" s="3">
        <v>5</v>
      </c>
      <c r="BE11" s="3">
        <v>4</v>
      </c>
      <c r="BF11" s="3">
        <v>3</v>
      </c>
      <c r="BG11" s="3">
        <v>2</v>
      </c>
      <c r="BH11" s="31">
        <v>1</v>
      </c>
      <c r="BI11" s="8">
        <v>16</v>
      </c>
      <c r="BJ11" s="86">
        <v>15</v>
      </c>
      <c r="BK11" s="86">
        <v>14</v>
      </c>
      <c r="BL11" s="86">
        <v>13</v>
      </c>
      <c r="BM11" s="86">
        <v>12</v>
      </c>
      <c r="BN11" s="3">
        <v>11</v>
      </c>
      <c r="BO11" s="3">
        <v>10</v>
      </c>
      <c r="BP11" s="3">
        <v>9</v>
      </c>
      <c r="BQ11" s="3">
        <v>8</v>
      </c>
      <c r="BR11" s="3">
        <v>7</v>
      </c>
      <c r="BS11" s="3">
        <v>6</v>
      </c>
      <c r="BT11" s="3">
        <v>5</v>
      </c>
      <c r="BU11" s="3">
        <v>4</v>
      </c>
      <c r="BV11" s="3">
        <v>3</v>
      </c>
      <c r="BW11" s="3">
        <v>2</v>
      </c>
      <c r="BX11" s="31">
        <v>1</v>
      </c>
      <c r="BY11" s="8">
        <v>16</v>
      </c>
      <c r="BZ11" s="86">
        <v>15</v>
      </c>
      <c r="CA11" s="86">
        <v>14</v>
      </c>
      <c r="CB11" s="86">
        <v>13</v>
      </c>
      <c r="CC11" s="86">
        <v>12</v>
      </c>
      <c r="CD11" s="3">
        <v>11</v>
      </c>
      <c r="CE11" s="3">
        <v>10</v>
      </c>
      <c r="CF11" s="3">
        <v>9</v>
      </c>
      <c r="CG11" s="3">
        <v>8</v>
      </c>
      <c r="CH11" s="3">
        <v>7</v>
      </c>
      <c r="CI11" s="3">
        <v>6</v>
      </c>
      <c r="CJ11" s="3">
        <v>5</v>
      </c>
      <c r="CK11" s="3">
        <v>4</v>
      </c>
      <c r="CL11" s="3">
        <v>3</v>
      </c>
      <c r="CM11" s="3">
        <v>2</v>
      </c>
      <c r="CN11" s="31">
        <v>1</v>
      </c>
    </row>
    <row r="12" spans="1:92" hidden="1" x14ac:dyDescent="0.25">
      <c r="B12" s="265">
        <v>2</v>
      </c>
      <c r="C12" s="265">
        <v>1</v>
      </c>
      <c r="D12" s="265" t="str">
        <f t="shared" si="0"/>
        <v>SORTING_EAST_A_2_16</v>
      </c>
      <c r="E12" s="265" t="s">
        <v>35</v>
      </c>
      <c r="F12" s="49" t="s">
        <v>45</v>
      </c>
      <c r="G12" s="3" t="s">
        <v>18</v>
      </c>
      <c r="H12" s="3">
        <v>2</v>
      </c>
      <c r="I12" s="3" t="s">
        <v>2</v>
      </c>
      <c r="J12" s="37"/>
      <c r="K12" s="90">
        <f>COUNT(W12:AR12)</f>
        <v>1</v>
      </c>
      <c r="L12" s="30"/>
      <c r="M12" s="42"/>
      <c r="N12" s="133"/>
      <c r="O12" s="133"/>
      <c r="P12" s="133"/>
      <c r="Q12" s="133"/>
      <c r="R12" s="46"/>
      <c r="S12" s="46"/>
      <c r="T12" s="46"/>
      <c r="U12" s="46"/>
      <c r="V12" s="101"/>
      <c r="W12" s="321">
        <v>1</v>
      </c>
      <c r="X12" s="61"/>
      <c r="Y12" s="61"/>
      <c r="Z12" s="33"/>
      <c r="AA12" s="33"/>
      <c r="AB12" s="282"/>
      <c r="AC12" s="321"/>
      <c r="AD12" s="33"/>
      <c r="AE12" s="33"/>
      <c r="AF12" s="33"/>
      <c r="AG12" s="33"/>
      <c r="AH12" s="33"/>
      <c r="AI12" s="33"/>
      <c r="AJ12" s="33"/>
      <c r="AK12" s="33"/>
      <c r="AL12" s="282"/>
      <c r="AM12" s="86"/>
      <c r="AN12" s="3"/>
      <c r="AO12" s="3"/>
      <c r="AP12" s="3"/>
      <c r="AQ12" s="3"/>
      <c r="AR12" s="31"/>
      <c r="AS12" s="8"/>
      <c r="AT12" s="86"/>
      <c r="AU12" s="86"/>
      <c r="AV12" s="86"/>
      <c r="AW12" s="86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1"/>
      <c r="BI12" s="8"/>
      <c r="BJ12" s="86"/>
      <c r="BK12" s="86"/>
      <c r="BL12" s="86"/>
      <c r="BM12" s="86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1"/>
      <c r="BY12" s="8"/>
      <c r="BZ12" s="86"/>
      <c r="CA12" s="86"/>
      <c r="CB12" s="86"/>
      <c r="CC12" s="86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1"/>
    </row>
    <row r="13" spans="1:92" hidden="1" x14ac:dyDescent="0.25">
      <c r="B13" s="265">
        <v>2</v>
      </c>
      <c r="C13" s="265">
        <v>2</v>
      </c>
      <c r="D13" s="265" t="str">
        <f t="shared" si="0"/>
        <v>TRANSFER_EAST_A_2_16</v>
      </c>
      <c r="E13" s="265" t="s">
        <v>21</v>
      </c>
      <c r="F13" s="49" t="s">
        <v>21</v>
      </c>
      <c r="G13" s="3" t="s">
        <v>18</v>
      </c>
      <c r="H13" s="3">
        <v>2</v>
      </c>
      <c r="I13" s="3" t="s">
        <v>2</v>
      </c>
      <c r="J13" s="37"/>
      <c r="K13" s="90">
        <f>COUNT(W13:AR13)</f>
        <v>3</v>
      </c>
      <c r="L13" s="30"/>
      <c r="M13" s="42"/>
      <c r="N13" s="133"/>
      <c r="O13" s="133"/>
      <c r="P13" s="133"/>
      <c r="Q13" s="133"/>
      <c r="R13" s="46"/>
      <c r="S13" s="46"/>
      <c r="T13" s="46"/>
      <c r="U13" s="46"/>
      <c r="V13" s="101"/>
      <c r="W13" s="319">
        <v>1</v>
      </c>
      <c r="X13" s="3">
        <f>W13+1</f>
        <v>2</v>
      </c>
      <c r="Y13" s="3">
        <f t="shared" ref="Y13" si="2">X13+1</f>
        <v>3</v>
      </c>
      <c r="Z13" s="61"/>
      <c r="AA13" s="3"/>
      <c r="AB13" s="280"/>
      <c r="AC13" s="319"/>
      <c r="AD13" s="3"/>
      <c r="AE13" s="3"/>
      <c r="AF13" s="3"/>
      <c r="AG13" s="3"/>
      <c r="AH13" s="3"/>
      <c r="AI13" s="3"/>
      <c r="AJ13" s="3"/>
      <c r="AK13" s="3"/>
      <c r="AL13" s="280"/>
      <c r="AM13" s="86"/>
      <c r="AN13" s="3"/>
      <c r="AO13" s="3"/>
      <c r="AP13" s="3"/>
      <c r="AQ13" s="3"/>
      <c r="AR13" s="31"/>
      <c r="AS13" s="8"/>
      <c r="AT13" s="86"/>
      <c r="AU13" s="86"/>
      <c r="AV13" s="86"/>
      <c r="AW13" s="86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1"/>
      <c r="BI13" s="8"/>
      <c r="BJ13" s="86"/>
      <c r="BK13" s="86"/>
      <c r="BL13" s="86"/>
      <c r="BM13" s="86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1"/>
      <c r="BY13" s="8"/>
      <c r="BZ13" s="86"/>
      <c r="CA13" s="86"/>
      <c r="CB13" s="86"/>
      <c r="CC13" s="86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1"/>
    </row>
    <row r="14" spans="1:92" hidden="1" x14ac:dyDescent="0.25">
      <c r="B14" s="265">
        <v>2</v>
      </c>
      <c r="C14" s="265">
        <v>3</v>
      </c>
      <c r="D14" s="265" t="str">
        <f t="shared" si="0"/>
        <v>SUPPLY_EAST_A_2_16</v>
      </c>
      <c r="E14" s="265" t="s">
        <v>0</v>
      </c>
      <c r="F14" s="34" t="s">
        <v>0</v>
      </c>
      <c r="G14" s="3" t="s">
        <v>18</v>
      </c>
      <c r="H14" s="3">
        <v>2</v>
      </c>
      <c r="I14" s="3" t="s">
        <v>2</v>
      </c>
      <c r="J14" s="90"/>
      <c r="K14" s="90">
        <f>COUNT(AC14:BH14)</f>
        <v>1</v>
      </c>
      <c r="L14" s="30"/>
      <c r="M14" s="42"/>
      <c r="N14" s="133"/>
      <c r="O14" s="133"/>
      <c r="P14" s="133"/>
      <c r="Q14" s="133"/>
      <c r="R14" s="46"/>
      <c r="S14" s="46"/>
      <c r="T14" s="46"/>
      <c r="U14" s="46"/>
      <c r="V14" s="101"/>
      <c r="W14" s="320"/>
      <c r="X14" s="46"/>
      <c r="Y14" s="46"/>
      <c r="Z14" s="46"/>
      <c r="AA14" s="46"/>
      <c r="AB14" s="340"/>
      <c r="AC14" s="319">
        <v>1</v>
      </c>
      <c r="AD14" s="4"/>
      <c r="AE14" s="4"/>
      <c r="AF14" s="4"/>
      <c r="AG14" s="4"/>
      <c r="AH14" s="4"/>
      <c r="AI14" s="4"/>
      <c r="AJ14" s="4"/>
      <c r="AK14" s="4"/>
      <c r="AL14" s="283"/>
      <c r="AM14" s="93"/>
      <c r="AN14" s="4"/>
      <c r="AO14" s="258"/>
      <c r="AP14" s="3"/>
      <c r="AQ14" s="3"/>
      <c r="AR14" s="31"/>
      <c r="AS14" s="8"/>
      <c r="AT14" s="86"/>
      <c r="AU14" s="86"/>
      <c r="AV14" s="86"/>
      <c r="AW14" s="86"/>
      <c r="AX14" s="3"/>
      <c r="AY14" s="3"/>
      <c r="AZ14" s="3"/>
      <c r="BA14" s="3"/>
      <c r="BB14" s="3"/>
      <c r="BC14" s="3"/>
      <c r="BD14" s="3"/>
      <c r="BE14" s="3"/>
      <c r="BF14" s="3"/>
      <c r="BH14" s="31"/>
      <c r="BI14" s="8"/>
      <c r="BJ14" s="86"/>
      <c r="BK14" s="86"/>
      <c r="BL14" s="86"/>
      <c r="BM14" s="86"/>
      <c r="BN14" s="3"/>
      <c r="BO14" s="3"/>
      <c r="BP14" s="3"/>
      <c r="BQ14" s="3"/>
      <c r="BR14" s="3"/>
      <c r="BS14" s="3"/>
      <c r="BT14" s="3"/>
      <c r="BU14" s="3"/>
      <c r="BV14" s="3"/>
      <c r="BX14" s="31"/>
      <c r="BY14" s="8"/>
      <c r="BZ14" s="86"/>
      <c r="CA14" s="86"/>
      <c r="CB14" s="86"/>
      <c r="CC14" s="86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1"/>
    </row>
    <row r="15" spans="1:92" x14ac:dyDescent="0.25">
      <c r="B15" s="265">
        <f t="shared" ref="B15" si="3">B14</f>
        <v>2</v>
      </c>
      <c r="C15" s="265">
        <v>4</v>
      </c>
      <c r="D15" s="265" t="str">
        <f t="shared" si="0"/>
        <v>EMPTY_EAST_A_2_16</v>
      </c>
      <c r="E15" s="265" t="s">
        <v>0</v>
      </c>
      <c r="F15" s="34" t="s">
        <v>32</v>
      </c>
      <c r="G15" s="3" t="s">
        <v>18</v>
      </c>
      <c r="H15" s="3">
        <v>2</v>
      </c>
      <c r="I15" s="3" t="s">
        <v>2</v>
      </c>
      <c r="J15" s="90"/>
      <c r="K15" s="90">
        <f>COUNT(M15:AR15)</f>
        <v>13</v>
      </c>
      <c r="L15" s="30"/>
      <c r="M15" s="8">
        <v>1</v>
      </c>
      <c r="N15" s="86">
        <f>M15+1</f>
        <v>2</v>
      </c>
      <c r="O15" s="86">
        <f t="shared" ref="O15:Z16" si="4">N15+1</f>
        <v>3</v>
      </c>
      <c r="P15" s="86">
        <f t="shared" si="4"/>
        <v>4</v>
      </c>
      <c r="Q15" s="86">
        <f t="shared" si="4"/>
        <v>5</v>
      </c>
      <c r="R15" s="86">
        <f t="shared" si="4"/>
        <v>6</v>
      </c>
      <c r="S15" s="86">
        <f t="shared" si="4"/>
        <v>7</v>
      </c>
      <c r="T15" s="86">
        <f t="shared" si="4"/>
        <v>8</v>
      </c>
      <c r="U15" s="86">
        <f t="shared" si="4"/>
        <v>9</v>
      </c>
      <c r="V15" s="336">
        <f t="shared" si="4"/>
        <v>10</v>
      </c>
      <c r="W15" s="319">
        <f t="shared" si="4"/>
        <v>11</v>
      </c>
      <c r="X15" s="3">
        <f t="shared" si="4"/>
        <v>12</v>
      </c>
      <c r="Y15" s="3">
        <f>X15+1</f>
        <v>13</v>
      </c>
      <c r="Z15" s="46"/>
      <c r="AA15" s="4"/>
      <c r="AB15" s="280"/>
      <c r="AC15" s="319"/>
      <c r="AD15" s="3"/>
      <c r="AE15" s="3"/>
      <c r="AF15" s="3"/>
      <c r="AG15" s="3"/>
      <c r="AH15" s="3"/>
      <c r="AI15" s="3"/>
      <c r="AJ15" s="3"/>
      <c r="AK15" s="3"/>
      <c r="AL15" s="280"/>
      <c r="AM15" s="86"/>
      <c r="AN15" s="3"/>
      <c r="AO15" s="33"/>
      <c r="AP15" s="3"/>
      <c r="AQ15" s="3"/>
      <c r="AR15" s="31"/>
      <c r="AS15" s="8"/>
      <c r="AT15" s="86"/>
      <c r="AU15" s="86"/>
      <c r="AV15" s="86"/>
      <c r="AW15" s="86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1"/>
      <c r="BI15" s="8"/>
      <c r="BJ15" s="86"/>
      <c r="BK15" s="86"/>
      <c r="BL15" s="86"/>
      <c r="BM15" s="86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1"/>
      <c r="BY15" s="8"/>
      <c r="BZ15" s="86"/>
      <c r="CA15" s="86"/>
      <c r="CB15" s="86"/>
      <c r="CC15" s="86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1"/>
    </row>
    <row r="16" spans="1:92" hidden="1" x14ac:dyDescent="0.25">
      <c r="B16" s="265">
        <v>2</v>
      </c>
      <c r="C16" s="265">
        <v>5</v>
      </c>
      <c r="D16" s="265" t="str">
        <f t="shared" si="0"/>
        <v>PREPARE_EAST_A_2_16</v>
      </c>
      <c r="E16" s="265" t="s">
        <v>0</v>
      </c>
      <c r="F16" s="49" t="s">
        <v>46</v>
      </c>
      <c r="G16" s="3" t="s">
        <v>18</v>
      </c>
      <c r="H16" s="3">
        <v>2</v>
      </c>
      <c r="I16" s="3" t="s">
        <v>2</v>
      </c>
      <c r="J16" s="37"/>
      <c r="K16" s="90">
        <f>COUNT(M16:AR16)</f>
        <v>15</v>
      </c>
      <c r="L16" s="30"/>
      <c r="M16" s="8">
        <v>1</v>
      </c>
      <c r="N16" s="86">
        <f>M16+1</f>
        <v>2</v>
      </c>
      <c r="O16" s="86">
        <f t="shared" si="4"/>
        <v>3</v>
      </c>
      <c r="P16" s="86">
        <f t="shared" si="4"/>
        <v>4</v>
      </c>
      <c r="Q16" s="86">
        <f t="shared" si="4"/>
        <v>5</v>
      </c>
      <c r="R16" s="86">
        <f t="shared" si="4"/>
        <v>6</v>
      </c>
      <c r="S16" s="86">
        <f t="shared" si="4"/>
        <v>7</v>
      </c>
      <c r="T16" s="86">
        <f t="shared" si="4"/>
        <v>8</v>
      </c>
      <c r="U16" s="86">
        <f t="shared" si="4"/>
        <v>9</v>
      </c>
      <c r="V16" s="336">
        <f t="shared" si="4"/>
        <v>10</v>
      </c>
      <c r="W16" s="319">
        <f t="shared" si="4"/>
        <v>11</v>
      </c>
      <c r="X16" s="3">
        <f t="shared" si="4"/>
        <v>12</v>
      </c>
      <c r="Y16" s="3">
        <f t="shared" si="4"/>
        <v>13</v>
      </c>
      <c r="Z16" s="3">
        <f t="shared" si="4"/>
        <v>14</v>
      </c>
      <c r="AA16" s="3">
        <f>Z16+1</f>
        <v>15</v>
      </c>
      <c r="AB16" s="283"/>
      <c r="AC16" s="333"/>
      <c r="AD16" s="3"/>
      <c r="AE16" s="3"/>
      <c r="AF16" s="3"/>
      <c r="AG16" s="3"/>
      <c r="AH16" s="3"/>
      <c r="AI16" s="3"/>
      <c r="AJ16" s="3"/>
      <c r="AK16" s="3"/>
      <c r="AL16" s="280"/>
      <c r="AM16" s="86"/>
      <c r="AN16" s="3"/>
      <c r="AO16" s="3"/>
      <c r="AP16" s="3"/>
      <c r="AQ16" s="3"/>
      <c r="AR16" s="31"/>
      <c r="AS16" s="8"/>
      <c r="AT16" s="86"/>
      <c r="AU16" s="86"/>
      <c r="AV16" s="86"/>
      <c r="AW16" s="86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1"/>
      <c r="BI16" s="8"/>
      <c r="BJ16" s="86"/>
      <c r="BK16" s="86"/>
      <c r="BL16" s="86"/>
      <c r="BM16" s="86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1"/>
      <c r="BY16" s="8"/>
      <c r="BZ16" s="86"/>
      <c r="CA16" s="86"/>
      <c r="CB16" s="86"/>
      <c r="CC16" s="86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1"/>
    </row>
    <row r="17" spans="1:92" hidden="1" x14ac:dyDescent="0.25">
      <c r="B17" s="265">
        <f>B15</f>
        <v>2</v>
      </c>
      <c r="C17" s="265">
        <v>6</v>
      </c>
      <c r="D17" s="265" t="str">
        <f t="shared" si="0"/>
        <v>COUNTDOWN_EAST_A_2_16</v>
      </c>
      <c r="E17" s="265"/>
      <c r="F17" s="34" t="s">
        <v>33</v>
      </c>
      <c r="G17" s="3" t="s">
        <v>18</v>
      </c>
      <c r="H17" s="3">
        <v>2</v>
      </c>
      <c r="I17" s="3" t="s">
        <v>2</v>
      </c>
      <c r="J17" s="32"/>
      <c r="K17" s="32"/>
      <c r="L17" s="30"/>
      <c r="M17" s="8">
        <v>1</v>
      </c>
      <c r="N17" s="86">
        <v>16</v>
      </c>
      <c r="O17" s="86">
        <v>15</v>
      </c>
      <c r="P17" s="86">
        <v>14</v>
      </c>
      <c r="Q17" s="86">
        <v>13</v>
      </c>
      <c r="R17" s="3">
        <v>12</v>
      </c>
      <c r="S17" s="3">
        <v>11</v>
      </c>
      <c r="T17" s="3">
        <v>10</v>
      </c>
      <c r="U17" s="3">
        <v>9</v>
      </c>
      <c r="V17" s="30">
        <v>8</v>
      </c>
      <c r="W17" s="319">
        <v>7</v>
      </c>
      <c r="X17" s="3">
        <v>6</v>
      </c>
      <c r="Y17" s="3">
        <v>5</v>
      </c>
      <c r="Z17" s="3">
        <v>4</v>
      </c>
      <c r="AA17" s="3">
        <v>3</v>
      </c>
      <c r="AB17" s="280">
        <v>2</v>
      </c>
      <c r="AC17" s="319">
        <v>1</v>
      </c>
      <c r="AD17" s="3">
        <v>16</v>
      </c>
      <c r="AE17" s="3">
        <v>15</v>
      </c>
      <c r="AF17" s="3">
        <v>14</v>
      </c>
      <c r="AG17" s="3">
        <v>13</v>
      </c>
      <c r="AH17" s="3">
        <v>12</v>
      </c>
      <c r="AI17" s="3">
        <v>11</v>
      </c>
      <c r="AJ17" s="3">
        <v>10</v>
      </c>
      <c r="AK17" s="3">
        <v>9</v>
      </c>
      <c r="AL17" s="280">
        <v>8</v>
      </c>
      <c r="AM17" s="86">
        <v>7</v>
      </c>
      <c r="AN17" s="3">
        <v>6</v>
      </c>
      <c r="AO17" s="3">
        <v>5</v>
      </c>
      <c r="AP17" s="3">
        <v>4</v>
      </c>
      <c r="AQ17" s="3">
        <v>3</v>
      </c>
      <c r="AR17" s="31">
        <v>2</v>
      </c>
      <c r="AS17" s="8">
        <v>1</v>
      </c>
      <c r="AT17" s="86">
        <v>16</v>
      </c>
      <c r="AU17" s="86">
        <v>15</v>
      </c>
      <c r="AV17" s="86">
        <v>14</v>
      </c>
      <c r="AW17" s="86">
        <v>13</v>
      </c>
      <c r="AX17" s="3">
        <v>12</v>
      </c>
      <c r="AY17" s="3">
        <v>11</v>
      </c>
      <c r="AZ17" s="3">
        <v>10</v>
      </c>
      <c r="BA17" s="3">
        <v>9</v>
      </c>
      <c r="BB17" s="3">
        <v>8</v>
      </c>
      <c r="BC17" s="3">
        <v>7</v>
      </c>
      <c r="BD17" s="3">
        <v>6</v>
      </c>
      <c r="BE17" s="3">
        <v>5</v>
      </c>
      <c r="BF17" s="3">
        <v>4</v>
      </c>
      <c r="BG17" s="3">
        <v>3</v>
      </c>
      <c r="BH17" s="31">
        <v>2</v>
      </c>
      <c r="BI17" s="8">
        <v>1</v>
      </c>
      <c r="BJ17" s="86">
        <v>16</v>
      </c>
      <c r="BK17" s="86">
        <v>15</v>
      </c>
      <c r="BL17" s="86">
        <v>14</v>
      </c>
      <c r="BM17" s="86">
        <v>13</v>
      </c>
      <c r="BN17" s="3">
        <v>12</v>
      </c>
      <c r="BO17" s="3">
        <v>11</v>
      </c>
      <c r="BP17" s="3">
        <v>10</v>
      </c>
      <c r="BQ17" s="3">
        <v>9</v>
      </c>
      <c r="BR17" s="3">
        <v>8</v>
      </c>
      <c r="BS17" s="3">
        <v>7</v>
      </c>
      <c r="BT17" s="3">
        <v>6</v>
      </c>
      <c r="BU17" s="3">
        <v>5</v>
      </c>
      <c r="BV17" s="3">
        <v>4</v>
      </c>
      <c r="BW17" s="3">
        <v>3</v>
      </c>
      <c r="BX17" s="31">
        <v>2</v>
      </c>
      <c r="BY17" s="8">
        <v>1</v>
      </c>
      <c r="BZ17" s="86">
        <v>16</v>
      </c>
      <c r="CA17" s="86">
        <v>15</v>
      </c>
      <c r="CB17" s="86">
        <v>14</v>
      </c>
      <c r="CC17" s="86">
        <v>13</v>
      </c>
      <c r="CD17" s="3">
        <v>12</v>
      </c>
      <c r="CE17" s="3">
        <v>11</v>
      </c>
      <c r="CF17" s="3">
        <v>10</v>
      </c>
      <c r="CG17" s="3">
        <v>9</v>
      </c>
      <c r="CH17" s="3">
        <v>8</v>
      </c>
      <c r="CI17" s="3">
        <v>7</v>
      </c>
      <c r="CJ17" s="3">
        <v>6</v>
      </c>
      <c r="CK17" s="3">
        <v>5</v>
      </c>
      <c r="CL17" s="3">
        <v>4</v>
      </c>
      <c r="CM17" s="3">
        <v>3</v>
      </c>
      <c r="CN17" s="31">
        <v>2</v>
      </c>
    </row>
    <row r="18" spans="1:92" hidden="1" x14ac:dyDescent="0.25">
      <c r="B18" s="265"/>
      <c r="C18" s="265">
        <v>1</v>
      </c>
      <c r="D18" s="265" t="str">
        <f t="shared" ref="D18:D23" si="5">F18&amp;"_"&amp;G18&amp;"_"&amp;I18&amp;"_"&amp;H18&amp;"_"&amp;$D$1</f>
        <v>SORTING_EAST_C/U_1_16</v>
      </c>
      <c r="E18" s="265" t="s">
        <v>35</v>
      </c>
      <c r="F18" s="49" t="s">
        <v>45</v>
      </c>
      <c r="G18" s="3" t="s">
        <v>18</v>
      </c>
      <c r="H18" s="3">
        <v>1</v>
      </c>
      <c r="I18" s="3" t="s">
        <v>67</v>
      </c>
      <c r="J18" s="37"/>
      <c r="K18" s="90">
        <f>COUNT(W18:AR18)</f>
        <v>3</v>
      </c>
      <c r="L18" s="30"/>
      <c r="M18" s="42"/>
      <c r="N18" s="133"/>
      <c r="O18" s="133"/>
      <c r="P18" s="133"/>
      <c r="Q18" s="133"/>
      <c r="R18" s="46"/>
      <c r="S18" s="46"/>
      <c r="T18" s="46"/>
      <c r="U18" s="46"/>
      <c r="V18" s="101"/>
      <c r="W18" s="321">
        <v>1</v>
      </c>
      <c r="X18" s="3">
        <f>W18+1</f>
        <v>2</v>
      </c>
      <c r="Y18" s="3">
        <f>X18+1</f>
        <v>3</v>
      </c>
      <c r="Z18" s="61"/>
      <c r="AA18" s="33"/>
      <c r="AB18" s="282"/>
      <c r="AC18" s="321"/>
      <c r="AD18" s="33"/>
      <c r="AE18" s="33"/>
      <c r="AF18" s="33"/>
      <c r="AG18" s="33"/>
      <c r="AH18" s="33"/>
      <c r="AI18" s="33"/>
      <c r="AJ18" s="33"/>
      <c r="AK18" s="33"/>
      <c r="AL18" s="282"/>
      <c r="AM18" s="86"/>
      <c r="AN18" s="3"/>
      <c r="AO18" s="3"/>
      <c r="AP18" s="3"/>
      <c r="AQ18" s="3"/>
      <c r="AR18" s="31"/>
      <c r="AS18" s="8"/>
      <c r="AT18" s="86"/>
      <c r="AU18" s="86"/>
      <c r="AV18" s="86"/>
      <c r="AW18" s="86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1"/>
      <c r="BI18" s="8"/>
      <c r="BJ18" s="86"/>
      <c r="BK18" s="86"/>
      <c r="BL18" s="86"/>
      <c r="BM18" s="86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1"/>
      <c r="BY18" s="8"/>
      <c r="BZ18" s="86"/>
      <c r="CA18" s="86"/>
      <c r="CB18" s="86"/>
      <c r="CC18" s="86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1"/>
    </row>
    <row r="19" spans="1:92" hidden="1" x14ac:dyDescent="0.25">
      <c r="B19" s="265"/>
      <c r="C19" s="265">
        <v>2</v>
      </c>
      <c r="D19" s="265" t="str">
        <f t="shared" si="5"/>
        <v>TRANSFER_EAST_C/U_1_16</v>
      </c>
      <c r="E19" s="265" t="s">
        <v>21</v>
      </c>
      <c r="F19" s="49" t="s">
        <v>21</v>
      </c>
      <c r="G19" s="3" t="s">
        <v>18</v>
      </c>
      <c r="H19" s="3">
        <v>1</v>
      </c>
      <c r="I19" s="3" t="s">
        <v>67</v>
      </c>
      <c r="J19" s="37"/>
      <c r="K19" s="90">
        <f>COUNT(W19:AR19)</f>
        <v>4</v>
      </c>
      <c r="L19" s="30"/>
      <c r="M19" s="42"/>
      <c r="N19" s="133"/>
      <c r="O19" s="133"/>
      <c r="P19" s="133"/>
      <c r="Q19" s="133"/>
      <c r="R19" s="46"/>
      <c r="S19" s="46"/>
      <c r="T19" s="46"/>
      <c r="U19" s="46"/>
      <c r="V19" s="101"/>
      <c r="W19" s="319">
        <v>1</v>
      </c>
      <c r="X19" s="3">
        <f>W19+1</f>
        <v>2</v>
      </c>
      <c r="Y19" s="3">
        <f t="shared" ref="Y19:Z19" si="6">X19+1</f>
        <v>3</v>
      </c>
      <c r="Z19" s="3">
        <f t="shared" si="6"/>
        <v>4</v>
      </c>
      <c r="AA19" s="4"/>
      <c r="AB19" s="280"/>
      <c r="AC19" s="319"/>
      <c r="AD19" s="3"/>
      <c r="AE19" s="3"/>
      <c r="AF19" s="3"/>
      <c r="AG19" s="3"/>
      <c r="AH19" s="3"/>
      <c r="AI19" s="3"/>
      <c r="AJ19" s="3"/>
      <c r="AK19" s="3"/>
      <c r="AL19" s="280"/>
      <c r="AM19" s="86"/>
      <c r="AN19" s="3"/>
      <c r="AO19" s="3"/>
      <c r="AP19" s="3"/>
      <c r="AQ19" s="3"/>
      <c r="AR19" s="31"/>
      <c r="AS19" s="8"/>
      <c r="AT19" s="86"/>
      <c r="AU19" s="86"/>
      <c r="AV19" s="86"/>
      <c r="AW19" s="86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1"/>
      <c r="BI19" s="8"/>
      <c r="BJ19" s="86"/>
      <c r="BK19" s="86"/>
      <c r="BL19" s="86"/>
      <c r="BM19" s="86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1"/>
      <c r="BY19" s="8"/>
      <c r="BZ19" s="86"/>
      <c r="CA19" s="86"/>
      <c r="CB19" s="86"/>
      <c r="CC19" s="86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1"/>
    </row>
    <row r="20" spans="1:92" hidden="1" x14ac:dyDescent="0.25">
      <c r="B20" s="265"/>
      <c r="C20" s="265">
        <v>3</v>
      </c>
      <c r="D20" s="265" t="str">
        <f t="shared" si="5"/>
        <v>SUPPLY_EAST_C/U_1_16</v>
      </c>
      <c r="E20" s="265" t="s">
        <v>0</v>
      </c>
      <c r="F20" s="34" t="s">
        <v>0</v>
      </c>
      <c r="G20" s="3" t="s">
        <v>18</v>
      </c>
      <c r="H20" s="3">
        <v>1</v>
      </c>
      <c r="I20" s="3" t="s">
        <v>67</v>
      </c>
      <c r="J20" s="90"/>
      <c r="K20" s="90">
        <f>COUNT(AC20:BH20)</f>
        <v>2</v>
      </c>
      <c r="L20" s="30"/>
      <c r="M20" s="42"/>
      <c r="N20" s="133"/>
      <c r="O20" s="133"/>
      <c r="P20" s="133"/>
      <c r="Q20" s="133"/>
      <c r="R20" s="46"/>
      <c r="S20" s="46"/>
      <c r="T20" s="46"/>
      <c r="U20" s="46"/>
      <c r="V20" s="101"/>
      <c r="W20" s="320"/>
      <c r="X20" s="46"/>
      <c r="Y20" s="46"/>
      <c r="Z20" s="46"/>
      <c r="AA20" s="46"/>
      <c r="AB20" s="340"/>
      <c r="AC20" s="319">
        <v>1</v>
      </c>
      <c r="AD20" s="3">
        <v>2</v>
      </c>
      <c r="AE20" s="4"/>
      <c r="AF20" s="4"/>
      <c r="AG20" s="4"/>
      <c r="AH20" s="4"/>
      <c r="AI20" s="4"/>
      <c r="AJ20" s="4"/>
      <c r="AK20" s="4"/>
      <c r="AL20" s="283"/>
      <c r="AM20" s="93"/>
      <c r="AN20" s="4"/>
      <c r="AO20" s="258"/>
      <c r="AP20" s="3"/>
      <c r="AQ20" s="3"/>
      <c r="AR20" s="31"/>
      <c r="AS20" s="8"/>
      <c r="AT20" s="86"/>
      <c r="AU20" s="86"/>
      <c r="AV20" s="86"/>
      <c r="AW20" s="86"/>
      <c r="AX20" s="3"/>
      <c r="AY20" s="3"/>
      <c r="AZ20" s="3"/>
      <c r="BA20" s="3"/>
      <c r="BB20" s="3"/>
      <c r="BC20" s="3"/>
      <c r="BD20" s="3"/>
      <c r="BE20" s="3"/>
      <c r="BF20" s="3"/>
      <c r="BH20" s="31"/>
      <c r="BI20" s="8"/>
      <c r="BJ20" s="86"/>
      <c r="BK20" s="86"/>
      <c r="BL20" s="86"/>
      <c r="BM20" s="86"/>
      <c r="BN20" s="3"/>
      <c r="BO20" s="3"/>
      <c r="BP20" s="3"/>
      <c r="BQ20" s="3"/>
      <c r="BR20" s="3"/>
      <c r="BS20" s="3"/>
      <c r="BT20" s="3"/>
      <c r="BU20" s="3"/>
      <c r="BV20" s="3"/>
      <c r="BX20" s="31"/>
      <c r="BY20" s="8"/>
      <c r="BZ20" s="86"/>
      <c r="CA20" s="86"/>
      <c r="CB20" s="86"/>
      <c r="CC20" s="86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1"/>
    </row>
    <row r="21" spans="1:92" x14ac:dyDescent="0.25">
      <c r="B21" s="265"/>
      <c r="C21" s="265">
        <v>4</v>
      </c>
      <c r="D21" s="265" t="str">
        <f t="shared" si="5"/>
        <v>EMPTY_EAST_C/U_1_16</v>
      </c>
      <c r="E21" s="265" t="s">
        <v>0</v>
      </c>
      <c r="F21" s="34" t="s">
        <v>32</v>
      </c>
      <c r="G21" s="3" t="s">
        <v>18</v>
      </c>
      <c r="H21" s="3">
        <v>1</v>
      </c>
      <c r="I21" s="3" t="s">
        <v>67</v>
      </c>
      <c r="J21" s="90"/>
      <c r="K21" s="90">
        <f>COUNT(M21:AR21)</f>
        <v>14</v>
      </c>
      <c r="L21" s="30"/>
      <c r="M21" s="8">
        <v>1</v>
      </c>
      <c r="N21" s="86">
        <f>M21+1</f>
        <v>2</v>
      </c>
      <c r="O21" s="86">
        <f t="shared" ref="O21:O22" si="7">N21+1</f>
        <v>3</v>
      </c>
      <c r="P21" s="86">
        <f t="shared" ref="P21:P22" si="8">O21+1</f>
        <v>4</v>
      </c>
      <c r="Q21" s="86">
        <f t="shared" ref="Q21:Q22" si="9">P21+1</f>
        <v>5</v>
      </c>
      <c r="R21" s="86">
        <f t="shared" ref="R21:R22" si="10">Q21+1</f>
        <v>6</v>
      </c>
      <c r="S21" s="86">
        <f t="shared" ref="S21:S22" si="11">R21+1</f>
        <v>7</v>
      </c>
      <c r="T21" s="86">
        <f t="shared" ref="T21:T22" si="12">S21+1</f>
        <v>8</v>
      </c>
      <c r="U21" s="86">
        <f t="shared" ref="U21:U22" si="13">T21+1</f>
        <v>9</v>
      </c>
      <c r="V21" s="336">
        <f t="shared" ref="V21:V22" si="14">U21+1</f>
        <v>10</v>
      </c>
      <c r="W21" s="319">
        <f t="shared" ref="W21:W22" si="15">V21+1</f>
        <v>11</v>
      </c>
      <c r="X21" s="3">
        <f t="shared" ref="X21:X22" si="16">W21+1</f>
        <v>12</v>
      </c>
      <c r="Y21" s="3">
        <f>X21+1</f>
        <v>13</v>
      </c>
      <c r="Z21" s="3">
        <f>Y21+1</f>
        <v>14</v>
      </c>
      <c r="AA21" s="46"/>
      <c r="AB21" s="283"/>
      <c r="AC21" s="319"/>
      <c r="AD21" s="3"/>
      <c r="AE21" s="3"/>
      <c r="AF21" s="3"/>
      <c r="AG21" s="3"/>
      <c r="AH21" s="3"/>
      <c r="AI21" s="3"/>
      <c r="AJ21" s="3"/>
      <c r="AK21" s="3"/>
      <c r="AL21" s="280"/>
      <c r="AM21" s="86"/>
      <c r="AN21" s="3"/>
      <c r="AO21" s="33"/>
      <c r="AP21" s="3"/>
      <c r="AQ21" s="3"/>
      <c r="AR21" s="31"/>
      <c r="AS21" s="8"/>
      <c r="AT21" s="86"/>
      <c r="AU21" s="86"/>
      <c r="AV21" s="86"/>
      <c r="AW21" s="86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1"/>
      <c r="BI21" s="8"/>
      <c r="BJ21" s="86"/>
      <c r="BK21" s="86"/>
      <c r="BL21" s="86"/>
      <c r="BM21" s="86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1"/>
      <c r="BY21" s="8"/>
      <c r="BZ21" s="86"/>
      <c r="CA21" s="86"/>
      <c r="CB21" s="86"/>
      <c r="CC21" s="86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1"/>
    </row>
    <row r="22" spans="1:92" hidden="1" x14ac:dyDescent="0.25">
      <c r="B22" s="265"/>
      <c r="C22" s="265">
        <v>5</v>
      </c>
      <c r="D22" s="265" t="str">
        <f t="shared" si="5"/>
        <v>PREPARE_EAST_C/U_1_16</v>
      </c>
      <c r="E22" s="265" t="s">
        <v>0</v>
      </c>
      <c r="F22" s="49" t="s">
        <v>46</v>
      </c>
      <c r="G22" s="3" t="s">
        <v>18</v>
      </c>
      <c r="H22" s="3">
        <v>1</v>
      </c>
      <c r="I22" s="3" t="s">
        <v>67</v>
      </c>
      <c r="J22" s="37"/>
      <c r="K22" s="90">
        <f>COUNT(M22:AR22)</f>
        <v>16</v>
      </c>
      <c r="L22" s="30"/>
      <c r="M22" s="8">
        <v>1</v>
      </c>
      <c r="N22" s="86">
        <f>M22+1</f>
        <v>2</v>
      </c>
      <c r="O22" s="86">
        <f t="shared" si="7"/>
        <v>3</v>
      </c>
      <c r="P22" s="86">
        <f t="shared" si="8"/>
        <v>4</v>
      </c>
      <c r="Q22" s="86">
        <f t="shared" si="9"/>
        <v>5</v>
      </c>
      <c r="R22" s="86">
        <f t="shared" si="10"/>
        <v>6</v>
      </c>
      <c r="S22" s="86">
        <f t="shared" si="11"/>
        <v>7</v>
      </c>
      <c r="T22" s="86">
        <f t="shared" si="12"/>
        <v>8</v>
      </c>
      <c r="U22" s="86">
        <f t="shared" si="13"/>
        <v>9</v>
      </c>
      <c r="V22" s="336">
        <f t="shared" si="14"/>
        <v>10</v>
      </c>
      <c r="W22" s="319">
        <f t="shared" si="15"/>
        <v>11</v>
      </c>
      <c r="X22" s="3">
        <f t="shared" si="16"/>
        <v>12</v>
      </c>
      <c r="Y22" s="3">
        <f t="shared" ref="Y22" si="17">X22+1</f>
        <v>13</v>
      </c>
      <c r="Z22" s="3">
        <f t="shared" ref="Z22" si="18">Y22+1</f>
        <v>14</v>
      </c>
      <c r="AA22" s="3">
        <f>Z22+1</f>
        <v>15</v>
      </c>
      <c r="AB22" s="3">
        <f>AA22+1</f>
        <v>16</v>
      </c>
      <c r="AC22" s="333"/>
      <c r="AD22" s="4"/>
      <c r="AE22" s="3"/>
      <c r="AF22" s="3"/>
      <c r="AG22" s="3"/>
      <c r="AH22" s="3"/>
      <c r="AI22" s="3"/>
      <c r="AJ22" s="3"/>
      <c r="AK22" s="3"/>
      <c r="AL22" s="280"/>
      <c r="AM22" s="86"/>
      <c r="AN22" s="3"/>
      <c r="AO22" s="3"/>
      <c r="AP22" s="3"/>
      <c r="AQ22" s="3"/>
      <c r="AR22" s="31"/>
      <c r="AS22" s="8"/>
      <c r="AT22" s="86"/>
      <c r="AU22" s="86"/>
      <c r="AV22" s="86"/>
      <c r="AW22" s="86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1"/>
      <c r="BI22" s="8"/>
      <c r="BJ22" s="86"/>
      <c r="BK22" s="86"/>
      <c r="BL22" s="86"/>
      <c r="BM22" s="86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1"/>
      <c r="BY22" s="8"/>
      <c r="BZ22" s="86"/>
      <c r="CA22" s="86"/>
      <c r="CB22" s="86"/>
      <c r="CC22" s="86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1"/>
    </row>
    <row r="23" spans="1:92" hidden="1" x14ac:dyDescent="0.25">
      <c r="B23" s="265"/>
      <c r="C23" s="265">
        <v>6</v>
      </c>
      <c r="D23" s="265" t="str">
        <f t="shared" si="5"/>
        <v>COUNTDOWN_EAST_C/U_1_16</v>
      </c>
      <c r="E23" s="265"/>
      <c r="F23" s="34" t="s">
        <v>33</v>
      </c>
      <c r="G23" s="3" t="s">
        <v>18</v>
      </c>
      <c r="H23" s="3">
        <v>1</v>
      </c>
      <c r="I23" s="3" t="s">
        <v>67</v>
      </c>
      <c r="J23" s="32"/>
      <c r="K23" s="32"/>
      <c r="L23" s="30"/>
      <c r="M23" s="8">
        <v>1</v>
      </c>
      <c r="N23" s="86">
        <v>16</v>
      </c>
      <c r="O23" s="86">
        <v>15</v>
      </c>
      <c r="P23" s="86">
        <v>14</v>
      </c>
      <c r="Q23" s="86">
        <v>13</v>
      </c>
      <c r="R23" s="3">
        <v>12</v>
      </c>
      <c r="S23" s="3">
        <v>11</v>
      </c>
      <c r="T23" s="3">
        <v>10</v>
      </c>
      <c r="U23" s="3">
        <v>9</v>
      </c>
      <c r="V23" s="30">
        <v>8</v>
      </c>
      <c r="W23" s="319">
        <v>7</v>
      </c>
      <c r="X23" s="3">
        <v>6</v>
      </c>
      <c r="Y23" s="3">
        <v>5</v>
      </c>
      <c r="Z23" s="3">
        <v>4</v>
      </c>
      <c r="AA23" s="3">
        <v>3</v>
      </c>
      <c r="AB23" s="280">
        <v>2</v>
      </c>
      <c r="AC23" s="319">
        <v>1</v>
      </c>
      <c r="AD23" s="3">
        <v>16</v>
      </c>
      <c r="AE23" s="3">
        <v>15</v>
      </c>
      <c r="AF23" s="3">
        <v>14</v>
      </c>
      <c r="AG23" s="3">
        <v>13</v>
      </c>
      <c r="AH23" s="3">
        <v>12</v>
      </c>
      <c r="AI23" s="3">
        <v>11</v>
      </c>
      <c r="AJ23" s="3">
        <v>10</v>
      </c>
      <c r="AK23" s="3">
        <v>9</v>
      </c>
      <c r="AL23" s="280">
        <v>8</v>
      </c>
      <c r="AM23" s="86">
        <v>7</v>
      </c>
      <c r="AN23" s="3">
        <v>6</v>
      </c>
      <c r="AO23" s="3">
        <v>5</v>
      </c>
      <c r="AP23" s="3">
        <v>4</v>
      </c>
      <c r="AQ23" s="3">
        <v>3</v>
      </c>
      <c r="AR23" s="31">
        <v>2</v>
      </c>
      <c r="AS23" s="8">
        <v>1</v>
      </c>
      <c r="AT23" s="86">
        <v>16</v>
      </c>
      <c r="AU23" s="86">
        <v>15</v>
      </c>
      <c r="AV23" s="86">
        <v>14</v>
      </c>
      <c r="AW23" s="86">
        <v>13</v>
      </c>
      <c r="AX23" s="3">
        <v>12</v>
      </c>
      <c r="AY23" s="3">
        <v>11</v>
      </c>
      <c r="AZ23" s="3">
        <v>10</v>
      </c>
      <c r="BA23" s="3">
        <v>9</v>
      </c>
      <c r="BB23" s="3">
        <v>8</v>
      </c>
      <c r="BC23" s="3">
        <v>7</v>
      </c>
      <c r="BD23" s="3">
        <v>6</v>
      </c>
      <c r="BE23" s="3">
        <v>5</v>
      </c>
      <c r="BF23" s="3">
        <v>4</v>
      </c>
      <c r="BG23" s="3">
        <v>3</v>
      </c>
      <c r="BH23" s="31">
        <v>2</v>
      </c>
      <c r="BI23" s="8">
        <v>1</v>
      </c>
      <c r="BJ23" s="86">
        <v>16</v>
      </c>
      <c r="BK23" s="86">
        <v>15</v>
      </c>
      <c r="BL23" s="86">
        <v>14</v>
      </c>
      <c r="BM23" s="86">
        <v>13</v>
      </c>
      <c r="BN23" s="3">
        <v>12</v>
      </c>
      <c r="BO23" s="3">
        <v>11</v>
      </c>
      <c r="BP23" s="3">
        <v>10</v>
      </c>
      <c r="BQ23" s="3">
        <v>9</v>
      </c>
      <c r="BR23" s="3">
        <v>8</v>
      </c>
      <c r="BS23" s="3">
        <v>7</v>
      </c>
      <c r="BT23" s="3">
        <v>6</v>
      </c>
      <c r="BU23" s="3">
        <v>5</v>
      </c>
      <c r="BV23" s="3">
        <v>4</v>
      </c>
      <c r="BW23" s="3">
        <v>3</v>
      </c>
      <c r="BX23" s="31">
        <v>2</v>
      </c>
      <c r="BY23" s="8">
        <v>1</v>
      </c>
      <c r="BZ23" s="86">
        <v>16</v>
      </c>
      <c r="CA23" s="86">
        <v>15</v>
      </c>
      <c r="CB23" s="86">
        <v>14</v>
      </c>
      <c r="CC23" s="86">
        <v>13</v>
      </c>
      <c r="CD23" s="3">
        <v>12</v>
      </c>
      <c r="CE23" s="3">
        <v>11</v>
      </c>
      <c r="CF23" s="3">
        <v>10</v>
      </c>
      <c r="CG23" s="3">
        <v>9</v>
      </c>
      <c r="CH23" s="3">
        <v>8</v>
      </c>
      <c r="CI23" s="3">
        <v>7</v>
      </c>
      <c r="CJ23" s="3">
        <v>6</v>
      </c>
      <c r="CK23" s="3">
        <v>5</v>
      </c>
      <c r="CL23" s="3">
        <v>4</v>
      </c>
      <c r="CM23" s="3">
        <v>3</v>
      </c>
      <c r="CN23" s="31">
        <v>2</v>
      </c>
    </row>
    <row r="24" spans="1:92" hidden="1" x14ac:dyDescent="0.25">
      <c r="A24" s="2" t="s">
        <v>6</v>
      </c>
      <c r="B24" s="265">
        <v>5</v>
      </c>
      <c r="C24" s="265">
        <v>1</v>
      </c>
      <c r="D24" s="265" t="str">
        <f t="shared" si="0"/>
        <v>SORTING_EAST_C_2_16</v>
      </c>
      <c r="E24" s="265" t="s">
        <v>35</v>
      </c>
      <c r="F24" s="49" t="s">
        <v>45</v>
      </c>
      <c r="G24" s="3" t="s">
        <v>18</v>
      </c>
      <c r="H24" s="3">
        <v>2</v>
      </c>
      <c r="I24" s="3" t="s">
        <v>4</v>
      </c>
      <c r="J24" s="37"/>
      <c r="K24" s="90">
        <f>COUNT(W24:AR24)</f>
        <v>4</v>
      </c>
      <c r="L24" s="30" t="s">
        <v>28</v>
      </c>
      <c r="M24" s="42"/>
      <c r="N24" s="133"/>
      <c r="O24" s="133"/>
      <c r="P24" s="133"/>
      <c r="Q24" s="133"/>
      <c r="R24" s="46"/>
      <c r="S24" s="46"/>
      <c r="T24" s="46"/>
      <c r="U24" s="46"/>
      <c r="V24" s="101"/>
      <c r="W24" s="321">
        <v>1</v>
      </c>
      <c r="X24" s="33">
        <f>W24+1</f>
        <v>2</v>
      </c>
      <c r="Y24" s="33">
        <f t="shared" ref="Y24:AA25" si="19">X24+1</f>
        <v>3</v>
      </c>
      <c r="Z24" s="33">
        <f t="shared" si="19"/>
        <v>4</v>
      </c>
      <c r="AA24" s="61"/>
      <c r="AB24" s="282"/>
      <c r="AC24" s="321"/>
      <c r="AD24" s="33"/>
      <c r="AE24" s="33"/>
      <c r="AF24" s="33"/>
      <c r="AG24" s="33"/>
      <c r="AH24" s="33"/>
      <c r="AI24" s="33"/>
      <c r="AJ24" s="33"/>
      <c r="AK24" s="33"/>
      <c r="AL24" s="282"/>
      <c r="AM24" s="86"/>
      <c r="AN24" s="3"/>
      <c r="AO24" s="3"/>
      <c r="AP24" s="3"/>
      <c r="AQ24" s="3"/>
      <c r="AR24" s="31"/>
      <c r="AS24" s="8"/>
      <c r="AT24" s="86"/>
      <c r="AU24" s="86"/>
      <c r="AV24" s="86"/>
      <c r="AW24" s="86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1"/>
      <c r="BI24" s="8"/>
      <c r="BJ24" s="86"/>
      <c r="BK24" s="86"/>
      <c r="BL24" s="86"/>
      <c r="BM24" s="86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1"/>
      <c r="BY24" s="8"/>
      <c r="BZ24" s="86"/>
      <c r="CA24" s="86"/>
      <c r="CB24" s="86"/>
      <c r="CC24" s="86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1"/>
    </row>
    <row r="25" spans="1:92" hidden="1" x14ac:dyDescent="0.25">
      <c r="A25" s="2" t="s">
        <v>6</v>
      </c>
      <c r="B25" s="265">
        <v>5</v>
      </c>
      <c r="C25" s="265">
        <v>2</v>
      </c>
      <c r="D25" s="265" t="str">
        <f t="shared" si="0"/>
        <v>TRANSFER_EAST_C_2_16</v>
      </c>
      <c r="E25" s="265" t="s">
        <v>21</v>
      </c>
      <c r="F25" s="49" t="s">
        <v>21</v>
      </c>
      <c r="G25" s="3" t="s">
        <v>18</v>
      </c>
      <c r="H25" s="3">
        <v>2</v>
      </c>
      <c r="I25" s="3" t="s">
        <v>4</v>
      </c>
      <c r="J25" s="37"/>
      <c r="K25" s="90">
        <f>COUNT(W25:AR25)</f>
        <v>5</v>
      </c>
      <c r="L25" s="30" t="s">
        <v>28</v>
      </c>
      <c r="M25" s="42"/>
      <c r="N25" s="133"/>
      <c r="O25" s="133"/>
      <c r="P25" s="133"/>
      <c r="Q25" s="133"/>
      <c r="R25" s="46"/>
      <c r="S25" s="46"/>
      <c r="T25" s="46"/>
      <c r="U25" s="46"/>
      <c r="V25" s="101"/>
      <c r="W25" s="319">
        <v>1</v>
      </c>
      <c r="X25" s="3">
        <f t="shared" ref="X25" si="20">W25+1</f>
        <v>2</v>
      </c>
      <c r="Y25" s="3">
        <f t="shared" si="19"/>
        <v>3</v>
      </c>
      <c r="Z25" s="3">
        <f t="shared" si="19"/>
        <v>4</v>
      </c>
      <c r="AA25" s="3">
        <f t="shared" si="19"/>
        <v>5</v>
      </c>
      <c r="AB25" s="283"/>
      <c r="AC25" s="319"/>
      <c r="AD25" s="3"/>
      <c r="AE25" s="3"/>
      <c r="AF25" s="3"/>
      <c r="AG25" s="3"/>
      <c r="AH25" s="3"/>
      <c r="AI25" s="3"/>
      <c r="AJ25" s="3"/>
      <c r="AK25" s="3"/>
      <c r="AL25" s="280"/>
      <c r="AM25" s="86"/>
      <c r="AN25" s="3"/>
      <c r="AO25" s="3"/>
      <c r="AP25" s="3"/>
      <c r="AQ25" s="3"/>
      <c r="AR25" s="31"/>
      <c r="AS25" s="8"/>
      <c r="AT25" s="86"/>
      <c r="AU25" s="86"/>
      <c r="AV25" s="86"/>
      <c r="AW25" s="86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1"/>
      <c r="BI25" s="8"/>
      <c r="BJ25" s="86"/>
      <c r="BK25" s="86"/>
      <c r="BL25" s="86"/>
      <c r="BM25" s="86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1"/>
      <c r="BY25" s="8"/>
      <c r="BZ25" s="86"/>
      <c r="CA25" s="86"/>
      <c r="CB25" s="86"/>
      <c r="CC25" s="86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1"/>
    </row>
    <row r="26" spans="1:92" hidden="1" x14ac:dyDescent="0.25">
      <c r="A26" s="2" t="s">
        <v>6</v>
      </c>
      <c r="B26" s="265">
        <v>5</v>
      </c>
      <c r="C26" s="265">
        <v>3</v>
      </c>
      <c r="D26" s="265" t="str">
        <f t="shared" si="0"/>
        <v>SUPPLY_EAST_C_2_16</v>
      </c>
      <c r="E26" s="265" t="s">
        <v>0</v>
      </c>
      <c r="F26" s="34" t="s">
        <v>0</v>
      </c>
      <c r="G26" s="3" t="s">
        <v>18</v>
      </c>
      <c r="H26" s="3">
        <v>2</v>
      </c>
      <c r="I26" s="3" t="s">
        <v>4</v>
      </c>
      <c r="J26" s="90"/>
      <c r="K26" s="90">
        <f>COUNT(AC26:BH26)</f>
        <v>3</v>
      </c>
      <c r="L26" s="30" t="s">
        <v>28</v>
      </c>
      <c r="M26" s="42"/>
      <c r="N26" s="133"/>
      <c r="O26" s="133"/>
      <c r="P26" s="133"/>
      <c r="Q26" s="133"/>
      <c r="R26" s="46"/>
      <c r="S26" s="46"/>
      <c r="T26" s="46"/>
      <c r="U26" s="46"/>
      <c r="V26" s="101"/>
      <c r="W26" s="320"/>
      <c r="X26" s="46"/>
      <c r="Y26" s="46"/>
      <c r="Z26" s="46"/>
      <c r="AA26" s="46"/>
      <c r="AB26" s="340"/>
      <c r="AC26" s="319">
        <v>1</v>
      </c>
      <c r="AD26" s="3">
        <f>AC26+1</f>
        <v>2</v>
      </c>
      <c r="AE26" s="3">
        <f t="shared" ref="AE26" si="21">AD26+1</f>
        <v>3</v>
      </c>
      <c r="AF26" s="4"/>
      <c r="AG26" s="4"/>
      <c r="AH26" s="4"/>
      <c r="AI26" s="4"/>
      <c r="AJ26" s="4"/>
      <c r="AK26" s="4"/>
      <c r="AL26" s="283"/>
      <c r="AM26" s="93"/>
      <c r="AN26" s="4"/>
      <c r="AO26" s="258"/>
      <c r="AP26" s="4"/>
      <c r="AQ26" s="4"/>
      <c r="AR26" s="31"/>
      <c r="AS26" s="8"/>
      <c r="AT26" s="86"/>
      <c r="AU26" s="86"/>
      <c r="AV26" s="86"/>
      <c r="AW26" s="86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1"/>
      <c r="BI26" s="8"/>
      <c r="BJ26" s="86"/>
      <c r="BK26" s="86"/>
      <c r="BL26" s="86"/>
      <c r="BM26" s="86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1"/>
      <c r="BY26" s="8"/>
      <c r="BZ26" s="86"/>
      <c r="CA26" s="86"/>
      <c r="CB26" s="86"/>
      <c r="CC26" s="86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1"/>
    </row>
    <row r="27" spans="1:92" x14ac:dyDescent="0.25">
      <c r="A27" s="286" t="s">
        <v>6</v>
      </c>
      <c r="B27" s="265">
        <v>5</v>
      </c>
      <c r="C27" s="265">
        <v>4</v>
      </c>
      <c r="D27" s="265" t="str">
        <f t="shared" si="0"/>
        <v>EMPTY_EAST_C_2_16</v>
      </c>
      <c r="E27" s="265" t="s">
        <v>0</v>
      </c>
      <c r="F27" s="34" t="s">
        <v>32</v>
      </c>
      <c r="G27" s="3" t="s">
        <v>18</v>
      </c>
      <c r="H27" s="3">
        <v>2</v>
      </c>
      <c r="I27" s="3" t="s">
        <v>4</v>
      </c>
      <c r="J27" s="90"/>
      <c r="K27" s="90">
        <f>COUNT(M27:AR27)</f>
        <v>15</v>
      </c>
      <c r="L27" s="30" t="s">
        <v>28</v>
      </c>
      <c r="M27" s="8">
        <v>1</v>
      </c>
      <c r="N27" s="86">
        <f>M27+1</f>
        <v>2</v>
      </c>
      <c r="O27" s="86">
        <f t="shared" ref="O27:Z28" si="22">N27+1</f>
        <v>3</v>
      </c>
      <c r="P27" s="86">
        <f t="shared" si="22"/>
        <v>4</v>
      </c>
      <c r="Q27" s="86">
        <f t="shared" si="22"/>
        <v>5</v>
      </c>
      <c r="R27" s="86">
        <f t="shared" si="22"/>
        <v>6</v>
      </c>
      <c r="S27" s="86">
        <f t="shared" si="22"/>
        <v>7</v>
      </c>
      <c r="T27" s="86">
        <f t="shared" si="22"/>
        <v>8</v>
      </c>
      <c r="U27" s="86">
        <f t="shared" si="22"/>
        <v>9</v>
      </c>
      <c r="V27" s="336">
        <f t="shared" si="22"/>
        <v>10</v>
      </c>
      <c r="W27" s="319">
        <f t="shared" si="22"/>
        <v>11</v>
      </c>
      <c r="X27" s="3">
        <f t="shared" si="22"/>
        <v>12</v>
      </c>
      <c r="Y27" s="3">
        <f>X27+1</f>
        <v>13</v>
      </c>
      <c r="Z27" s="3">
        <f t="shared" ref="Z27:AA27" si="23">Y27+1</f>
        <v>14</v>
      </c>
      <c r="AA27" s="3">
        <f t="shared" si="23"/>
        <v>15</v>
      </c>
      <c r="AB27" s="340"/>
      <c r="AC27" s="333"/>
      <c r="AD27" s="3"/>
      <c r="AE27" s="3"/>
      <c r="AF27" s="3"/>
      <c r="AG27" s="3"/>
      <c r="AH27" s="3"/>
      <c r="AI27" s="3"/>
      <c r="AJ27" s="3"/>
      <c r="AK27" s="3"/>
      <c r="AL27" s="280"/>
      <c r="AM27" s="86"/>
      <c r="AN27" s="3"/>
      <c r="AO27" s="33"/>
      <c r="AP27" s="3"/>
      <c r="AQ27" s="3"/>
      <c r="AR27" s="31"/>
      <c r="AS27" s="8"/>
      <c r="AT27" s="86"/>
      <c r="AU27" s="86"/>
      <c r="AV27" s="86"/>
      <c r="AW27" s="86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1"/>
      <c r="BI27" s="8"/>
      <c r="BJ27" s="86"/>
      <c r="BK27" s="86"/>
      <c r="BL27" s="86"/>
      <c r="BM27" s="86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1"/>
      <c r="BY27" s="8"/>
      <c r="BZ27" s="86"/>
      <c r="CA27" s="86"/>
      <c r="CB27" s="86"/>
      <c r="CC27" s="86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1"/>
    </row>
    <row r="28" spans="1:92" hidden="1" x14ac:dyDescent="0.25">
      <c r="A28" s="286" t="s">
        <v>6</v>
      </c>
      <c r="B28" s="265">
        <v>5</v>
      </c>
      <c r="C28" s="265">
        <v>5</v>
      </c>
      <c r="D28" s="265" t="str">
        <f t="shared" si="0"/>
        <v>PREPARE_EAST_C_2_16</v>
      </c>
      <c r="E28" s="265" t="s">
        <v>0</v>
      </c>
      <c r="F28" s="49" t="s">
        <v>46</v>
      </c>
      <c r="G28" s="3" t="s">
        <v>18</v>
      </c>
      <c r="H28" s="3">
        <v>2</v>
      </c>
      <c r="I28" s="3" t="s">
        <v>4</v>
      </c>
      <c r="J28" s="37"/>
      <c r="K28" s="90">
        <f>COUNT(M28:AR28)</f>
        <v>17</v>
      </c>
      <c r="L28" s="30" t="s">
        <v>28</v>
      </c>
      <c r="M28" s="8">
        <v>1</v>
      </c>
      <c r="N28" s="86">
        <f>M28+1</f>
        <v>2</v>
      </c>
      <c r="O28" s="86">
        <f t="shared" si="22"/>
        <v>3</v>
      </c>
      <c r="P28" s="86">
        <f t="shared" si="22"/>
        <v>4</v>
      </c>
      <c r="Q28" s="86">
        <f t="shared" si="22"/>
        <v>5</v>
      </c>
      <c r="R28" s="86">
        <f t="shared" si="22"/>
        <v>6</v>
      </c>
      <c r="S28" s="86">
        <f t="shared" si="22"/>
        <v>7</v>
      </c>
      <c r="T28" s="86">
        <f t="shared" si="22"/>
        <v>8</v>
      </c>
      <c r="U28" s="86">
        <f t="shared" si="22"/>
        <v>9</v>
      </c>
      <c r="V28" s="336">
        <f t="shared" si="22"/>
        <v>10</v>
      </c>
      <c r="W28" s="319">
        <f t="shared" si="22"/>
        <v>11</v>
      </c>
      <c r="X28" s="3">
        <f t="shared" si="22"/>
        <v>12</v>
      </c>
      <c r="Y28" s="3">
        <f t="shared" si="22"/>
        <v>13</v>
      </c>
      <c r="Z28" s="3">
        <f t="shared" si="22"/>
        <v>14</v>
      </c>
      <c r="AA28" s="3">
        <f>Z28+1</f>
        <v>15</v>
      </c>
      <c r="AB28" s="280">
        <f t="shared" ref="AB28:AC28" si="24">AA28+1</f>
        <v>16</v>
      </c>
      <c r="AC28" s="319">
        <f t="shared" si="24"/>
        <v>17</v>
      </c>
      <c r="AD28" s="4"/>
      <c r="AE28" s="4"/>
      <c r="AF28" s="3"/>
      <c r="AG28" s="3"/>
      <c r="AH28" s="3"/>
      <c r="AI28" s="3"/>
      <c r="AJ28" s="3"/>
      <c r="AK28" s="3"/>
      <c r="AL28" s="280"/>
      <c r="AM28" s="86"/>
      <c r="AN28" s="3"/>
      <c r="AO28" s="3"/>
      <c r="AP28" s="3"/>
      <c r="AQ28" s="3"/>
      <c r="AR28" s="31"/>
      <c r="AS28" s="8"/>
      <c r="AT28" s="86"/>
      <c r="AU28" s="86"/>
      <c r="AV28" s="86"/>
      <c r="AW28" s="86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1"/>
      <c r="BI28" s="8"/>
      <c r="BJ28" s="86"/>
      <c r="BK28" s="86"/>
      <c r="BL28" s="86"/>
      <c r="BM28" s="86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1"/>
      <c r="BY28" s="8"/>
      <c r="BZ28" s="86"/>
      <c r="CA28" s="86"/>
      <c r="CB28" s="86"/>
      <c r="CC28" s="86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1"/>
    </row>
    <row r="29" spans="1:92" hidden="1" x14ac:dyDescent="0.25">
      <c r="A29" s="286" t="s">
        <v>6</v>
      </c>
      <c r="B29" s="265">
        <f>B27</f>
        <v>5</v>
      </c>
      <c r="C29" s="265">
        <v>6</v>
      </c>
      <c r="D29" s="265" t="str">
        <f t="shared" si="0"/>
        <v>COUNTDOWN_EAST_C_2_16</v>
      </c>
      <c r="E29" s="265"/>
      <c r="F29" s="34" t="s">
        <v>33</v>
      </c>
      <c r="G29" s="3" t="s">
        <v>18</v>
      </c>
      <c r="H29" s="3">
        <v>2</v>
      </c>
      <c r="I29" s="3" t="s">
        <v>4</v>
      </c>
      <c r="J29" s="32"/>
      <c r="K29" s="32"/>
      <c r="L29" s="30" t="s">
        <v>28</v>
      </c>
      <c r="M29" s="8">
        <v>2</v>
      </c>
      <c r="N29" s="86">
        <v>1</v>
      </c>
      <c r="O29" s="86">
        <v>16</v>
      </c>
      <c r="P29" s="86">
        <v>15</v>
      </c>
      <c r="Q29" s="86">
        <v>14</v>
      </c>
      <c r="R29" s="3">
        <v>13</v>
      </c>
      <c r="S29" s="3">
        <v>12</v>
      </c>
      <c r="T29" s="3">
        <v>11</v>
      </c>
      <c r="U29" s="3">
        <v>10</v>
      </c>
      <c r="V29" s="30">
        <v>9</v>
      </c>
      <c r="W29" s="319">
        <v>8</v>
      </c>
      <c r="X29" s="3">
        <v>7</v>
      </c>
      <c r="Y29" s="3">
        <v>6</v>
      </c>
      <c r="Z29" s="3">
        <v>5</v>
      </c>
      <c r="AA29" s="3">
        <v>4</v>
      </c>
      <c r="AB29" s="280">
        <v>3</v>
      </c>
      <c r="AC29" s="319">
        <v>2</v>
      </c>
      <c r="AD29" s="3">
        <v>1</v>
      </c>
      <c r="AE29" s="3">
        <v>16</v>
      </c>
      <c r="AF29" s="3">
        <v>15</v>
      </c>
      <c r="AG29" s="3">
        <v>14</v>
      </c>
      <c r="AH29" s="3">
        <v>13</v>
      </c>
      <c r="AI29" s="3">
        <v>12</v>
      </c>
      <c r="AJ29" s="3">
        <v>11</v>
      </c>
      <c r="AK29" s="3">
        <v>10</v>
      </c>
      <c r="AL29" s="280">
        <v>9</v>
      </c>
      <c r="AM29" s="86">
        <v>8</v>
      </c>
      <c r="AN29" s="3">
        <v>7</v>
      </c>
      <c r="AO29" s="3">
        <v>6</v>
      </c>
      <c r="AP29" s="3">
        <v>5</v>
      </c>
      <c r="AQ29" s="3">
        <v>4</v>
      </c>
      <c r="AR29" s="31">
        <v>3</v>
      </c>
      <c r="AS29" s="8">
        <v>2</v>
      </c>
      <c r="AT29" s="86">
        <v>1</v>
      </c>
      <c r="AU29" s="86">
        <v>16</v>
      </c>
      <c r="AV29" s="86">
        <v>15</v>
      </c>
      <c r="AW29" s="86">
        <v>14</v>
      </c>
      <c r="AX29" s="3">
        <v>13</v>
      </c>
      <c r="AY29" s="3">
        <v>12</v>
      </c>
      <c r="AZ29" s="3">
        <v>11</v>
      </c>
      <c r="BA29" s="3">
        <v>10</v>
      </c>
      <c r="BB29" s="3">
        <v>9</v>
      </c>
      <c r="BC29" s="3">
        <v>8</v>
      </c>
      <c r="BD29" s="3">
        <v>7</v>
      </c>
      <c r="BE29" s="3">
        <v>6</v>
      </c>
      <c r="BF29" s="3">
        <v>5</v>
      </c>
      <c r="BG29" s="3">
        <v>4</v>
      </c>
      <c r="BH29" s="31">
        <v>3</v>
      </c>
      <c r="BI29" s="8">
        <v>2</v>
      </c>
      <c r="BJ29" s="86">
        <v>1</v>
      </c>
      <c r="BK29" s="86">
        <v>16</v>
      </c>
      <c r="BL29" s="86">
        <v>15</v>
      </c>
      <c r="BM29" s="86">
        <v>14</v>
      </c>
      <c r="BN29" s="3">
        <v>13</v>
      </c>
      <c r="BO29" s="3">
        <v>12</v>
      </c>
      <c r="BP29" s="3">
        <v>11</v>
      </c>
      <c r="BQ29" s="3">
        <v>10</v>
      </c>
      <c r="BR29" s="3">
        <v>9</v>
      </c>
      <c r="BS29" s="3">
        <v>8</v>
      </c>
      <c r="BT29" s="3">
        <v>7</v>
      </c>
      <c r="BU29" s="3">
        <v>6</v>
      </c>
      <c r="BV29" s="3">
        <v>5</v>
      </c>
      <c r="BW29" s="3">
        <v>4</v>
      </c>
      <c r="BX29" s="31">
        <v>3</v>
      </c>
      <c r="BY29" s="8">
        <v>2</v>
      </c>
      <c r="BZ29" s="86">
        <v>1</v>
      </c>
      <c r="CA29" s="86">
        <v>16</v>
      </c>
      <c r="CB29" s="86">
        <v>15</v>
      </c>
      <c r="CC29" s="86">
        <v>14</v>
      </c>
      <c r="CD29" s="3">
        <v>13</v>
      </c>
      <c r="CE29" s="3">
        <v>12</v>
      </c>
      <c r="CF29" s="3">
        <v>11</v>
      </c>
      <c r="CG29" s="3">
        <v>10</v>
      </c>
      <c r="CH29" s="3">
        <v>9</v>
      </c>
      <c r="CI29" s="3">
        <v>8</v>
      </c>
      <c r="CJ29" s="3">
        <v>7</v>
      </c>
      <c r="CK29" s="3">
        <v>6</v>
      </c>
      <c r="CL29" s="3">
        <v>5</v>
      </c>
      <c r="CM29" s="3">
        <v>4</v>
      </c>
      <c r="CN29" s="31">
        <v>3</v>
      </c>
    </row>
    <row r="30" spans="1:92" hidden="1" x14ac:dyDescent="0.25">
      <c r="B30" s="265">
        <v>6</v>
      </c>
      <c r="C30" s="265">
        <v>6</v>
      </c>
      <c r="D30" s="265" t="str">
        <f t="shared" si="0"/>
        <v>SORTING_EAST_I_1_16</v>
      </c>
      <c r="E30" s="265" t="s">
        <v>35</v>
      </c>
      <c r="F30" s="49" t="s">
        <v>45</v>
      </c>
      <c r="G30" s="3" t="s">
        <v>18</v>
      </c>
      <c r="H30" s="3">
        <v>1</v>
      </c>
      <c r="I30" s="3" t="s">
        <v>10</v>
      </c>
      <c r="J30" s="37"/>
      <c r="K30" s="90">
        <f>COUNT(W30:AR30)</f>
        <v>5</v>
      </c>
      <c r="L30" s="30" t="s">
        <v>28</v>
      </c>
      <c r="M30" s="42"/>
      <c r="N30" s="133"/>
      <c r="O30" s="133"/>
      <c r="P30" s="133"/>
      <c r="Q30" s="133"/>
      <c r="R30" s="46"/>
      <c r="S30" s="46"/>
      <c r="T30" s="46"/>
      <c r="U30" s="46"/>
      <c r="V30" s="101"/>
      <c r="W30" s="321">
        <v>1</v>
      </c>
      <c r="X30" s="33">
        <f t="shared" ref="X30:AA31" si="25">W30+1</f>
        <v>2</v>
      </c>
      <c r="Y30" s="33">
        <f t="shared" si="25"/>
        <v>3</v>
      </c>
      <c r="Z30" s="33">
        <f t="shared" si="25"/>
        <v>4</v>
      </c>
      <c r="AA30" s="33">
        <f t="shared" si="25"/>
        <v>5</v>
      </c>
      <c r="AB30" s="294"/>
      <c r="AC30" s="321"/>
      <c r="AD30" s="33"/>
      <c r="AE30" s="33"/>
      <c r="AF30" s="33"/>
      <c r="AG30" s="33"/>
      <c r="AH30" s="33"/>
      <c r="AI30" s="33"/>
      <c r="AJ30" s="33"/>
      <c r="AK30" s="33"/>
      <c r="AL30" s="282"/>
      <c r="AM30" s="86"/>
      <c r="AN30" s="3"/>
      <c r="AO30" s="3"/>
      <c r="AP30" s="3"/>
      <c r="AQ30" s="3"/>
      <c r="AR30" s="31"/>
      <c r="AS30" s="8"/>
      <c r="AT30" s="86"/>
      <c r="AU30" s="86"/>
      <c r="AV30" s="86"/>
      <c r="AW30" s="86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1"/>
      <c r="BI30" s="8"/>
      <c r="BJ30" s="86"/>
      <c r="BK30" s="86"/>
      <c r="BL30" s="86"/>
      <c r="BM30" s="86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1"/>
      <c r="BY30" s="8"/>
      <c r="BZ30" s="86"/>
      <c r="CA30" s="86"/>
      <c r="CB30" s="86"/>
      <c r="CC30" s="86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1"/>
    </row>
    <row r="31" spans="1:92" hidden="1" x14ac:dyDescent="0.25">
      <c r="B31" s="265">
        <v>6</v>
      </c>
      <c r="C31" s="265">
        <v>1</v>
      </c>
      <c r="D31" s="265" t="str">
        <f t="shared" si="0"/>
        <v>TRANSFER_EAST_I_1_16</v>
      </c>
      <c r="E31" s="265" t="s">
        <v>21</v>
      </c>
      <c r="F31" s="49" t="s">
        <v>21</v>
      </c>
      <c r="G31" s="3" t="s">
        <v>18</v>
      </c>
      <c r="H31" s="3">
        <v>1</v>
      </c>
      <c r="I31" s="3" t="s">
        <v>10</v>
      </c>
      <c r="J31" s="37"/>
      <c r="K31" s="90">
        <f>COUNT(W31:AR31)</f>
        <v>6</v>
      </c>
      <c r="L31" s="30" t="s">
        <v>28</v>
      </c>
      <c r="M31" s="42"/>
      <c r="N31" s="133"/>
      <c r="O31" s="133"/>
      <c r="P31" s="133"/>
      <c r="Q31" s="133"/>
      <c r="R31" s="46"/>
      <c r="S31" s="46"/>
      <c r="T31" s="46"/>
      <c r="U31" s="46"/>
      <c r="V31" s="101"/>
      <c r="W31" s="319">
        <v>1</v>
      </c>
      <c r="X31" s="3">
        <f t="shared" si="25"/>
        <v>2</v>
      </c>
      <c r="Y31" s="3">
        <f t="shared" si="25"/>
        <v>3</v>
      </c>
      <c r="Z31" s="3">
        <f t="shared" si="25"/>
        <v>4</v>
      </c>
      <c r="AA31" s="3">
        <f t="shared" si="25"/>
        <v>5</v>
      </c>
      <c r="AB31" s="280">
        <f>AA31+1</f>
        <v>6</v>
      </c>
      <c r="AC31" s="333"/>
      <c r="AD31" s="4"/>
      <c r="AE31" s="3"/>
      <c r="AF31" s="3"/>
      <c r="AG31" s="3"/>
      <c r="AH31" s="3"/>
      <c r="AI31" s="3"/>
      <c r="AJ31" s="3"/>
      <c r="AK31" s="3"/>
      <c r="AL31" s="280"/>
      <c r="AM31" s="86"/>
      <c r="AN31" s="3"/>
      <c r="AO31" s="3"/>
      <c r="AP31" s="3"/>
      <c r="AQ31" s="3"/>
      <c r="AR31" s="31"/>
      <c r="AS31" s="8"/>
      <c r="AT31" s="86"/>
      <c r="AU31" s="86"/>
      <c r="AV31" s="86"/>
      <c r="AW31" s="86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1"/>
      <c r="BI31" s="8"/>
      <c r="BJ31" s="86"/>
      <c r="BK31" s="86"/>
      <c r="BL31" s="86"/>
      <c r="BM31" s="86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1"/>
      <c r="BY31" s="8"/>
      <c r="BZ31" s="86"/>
      <c r="CA31" s="86"/>
      <c r="CB31" s="86"/>
      <c r="CC31" s="86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1"/>
    </row>
    <row r="32" spans="1:92" hidden="1" x14ac:dyDescent="0.25">
      <c r="B32" s="265">
        <v>6</v>
      </c>
      <c r="C32" s="265">
        <v>3</v>
      </c>
      <c r="D32" s="265" t="str">
        <f t="shared" si="0"/>
        <v>SUPPLY_EAST_I_1_16</v>
      </c>
      <c r="E32" s="265" t="s">
        <v>0</v>
      </c>
      <c r="F32" s="34" t="s">
        <v>0</v>
      </c>
      <c r="G32" s="3" t="s">
        <v>18</v>
      </c>
      <c r="H32" s="3">
        <v>1</v>
      </c>
      <c r="I32" s="3" t="s">
        <v>10</v>
      </c>
      <c r="J32" s="90"/>
      <c r="K32" s="90">
        <f>COUNT(AC32:BH32)</f>
        <v>4</v>
      </c>
      <c r="L32" s="30" t="s">
        <v>28</v>
      </c>
      <c r="M32" s="42"/>
      <c r="N32" s="133"/>
      <c r="O32" s="133"/>
      <c r="P32" s="133"/>
      <c r="Q32" s="133"/>
      <c r="R32" s="46"/>
      <c r="S32" s="46"/>
      <c r="T32" s="46"/>
      <c r="U32" s="46"/>
      <c r="V32" s="101"/>
      <c r="W32" s="320"/>
      <c r="X32" s="46"/>
      <c r="Y32" s="46"/>
      <c r="Z32" s="46"/>
      <c r="AA32" s="46"/>
      <c r="AB32" s="340"/>
      <c r="AC32" s="319">
        <v>1</v>
      </c>
      <c r="AD32" s="3">
        <f t="shared" ref="AD32:AE32" si="26">AC32+1</f>
        <v>2</v>
      </c>
      <c r="AE32" s="3">
        <f t="shared" si="26"/>
        <v>3</v>
      </c>
      <c r="AF32" s="3">
        <f>AE32+1</f>
        <v>4</v>
      </c>
      <c r="AG32" s="4"/>
      <c r="AH32" s="4"/>
      <c r="AI32" s="4"/>
      <c r="AJ32" s="4"/>
      <c r="AK32" s="4"/>
      <c r="AL32" s="283"/>
      <c r="AM32" s="93"/>
      <c r="AN32" s="4"/>
      <c r="AO32" s="258"/>
      <c r="AP32" s="4"/>
      <c r="AQ32" s="4"/>
      <c r="AR32" s="21"/>
      <c r="AS32" s="9"/>
      <c r="AT32" s="86"/>
      <c r="AU32" s="86"/>
      <c r="AV32" s="86"/>
      <c r="AW32" s="86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1"/>
      <c r="BI32" s="8"/>
      <c r="BJ32" s="86"/>
      <c r="BK32" s="86"/>
      <c r="BL32" s="86"/>
      <c r="BM32" s="86"/>
      <c r="BN32" s="3"/>
      <c r="BO32" s="3"/>
      <c r="BP32" s="3"/>
      <c r="BQ32" s="3"/>
      <c r="BR32" s="3"/>
      <c r="BT32" s="3"/>
      <c r="BU32" s="3"/>
      <c r="BV32" s="3"/>
      <c r="BW32" s="3"/>
      <c r="BX32" s="31"/>
      <c r="BY32" s="8"/>
      <c r="BZ32" s="86"/>
      <c r="CA32" s="86"/>
      <c r="CB32" s="86"/>
      <c r="CC32" s="86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1"/>
    </row>
    <row r="33" spans="1:92" x14ac:dyDescent="0.25">
      <c r="B33" s="265">
        <v>6</v>
      </c>
      <c r="C33" s="265">
        <v>4</v>
      </c>
      <c r="D33" s="265" t="str">
        <f t="shared" si="0"/>
        <v>EMPTY_EAST_I_1_16</v>
      </c>
      <c r="E33" s="265" t="s">
        <v>0</v>
      </c>
      <c r="F33" s="34" t="s">
        <v>32</v>
      </c>
      <c r="G33" s="3" t="s">
        <v>18</v>
      </c>
      <c r="H33" s="3">
        <v>1</v>
      </c>
      <c r="I33" s="3" t="s">
        <v>10</v>
      </c>
      <c r="J33" s="90"/>
      <c r="K33" s="90">
        <f>COUNT(M33:AR33)</f>
        <v>17</v>
      </c>
      <c r="L33" s="30" t="s">
        <v>28</v>
      </c>
      <c r="M33" s="8">
        <v>1</v>
      </c>
      <c r="N33" s="86">
        <f>M33+1</f>
        <v>2</v>
      </c>
      <c r="O33" s="86">
        <f t="shared" ref="O33:Z34" si="27">N33+1</f>
        <v>3</v>
      </c>
      <c r="P33" s="86">
        <f t="shared" si="27"/>
        <v>4</v>
      </c>
      <c r="Q33" s="86">
        <f t="shared" si="27"/>
        <v>5</v>
      </c>
      <c r="R33" s="86">
        <f t="shared" si="27"/>
        <v>6</v>
      </c>
      <c r="S33" s="86">
        <f t="shared" si="27"/>
        <v>7</v>
      </c>
      <c r="T33" s="86">
        <f t="shared" si="27"/>
        <v>8</v>
      </c>
      <c r="U33" s="86">
        <f t="shared" si="27"/>
        <v>9</v>
      </c>
      <c r="V33" s="336">
        <f t="shared" si="27"/>
        <v>10</v>
      </c>
      <c r="W33" s="319">
        <f t="shared" si="27"/>
        <v>11</v>
      </c>
      <c r="X33" s="3">
        <f t="shared" si="27"/>
        <v>12</v>
      </c>
      <c r="Y33" s="3">
        <f>X33+1</f>
        <v>13</v>
      </c>
      <c r="Z33" s="3">
        <f t="shared" ref="Z33:AA33" si="28">Y33+1</f>
        <v>14</v>
      </c>
      <c r="AA33" s="3">
        <f t="shared" si="28"/>
        <v>15</v>
      </c>
      <c r="AB33" s="280">
        <f>AA33+1</f>
        <v>16</v>
      </c>
      <c r="AC33" s="319">
        <f>AB33+1</f>
        <v>17</v>
      </c>
      <c r="AD33" s="46"/>
      <c r="AE33" s="4"/>
      <c r="AF33" s="3"/>
      <c r="AG33" s="3"/>
      <c r="AH33" s="3"/>
      <c r="AI33" s="3"/>
      <c r="AJ33" s="3"/>
      <c r="AK33" s="3"/>
      <c r="AL33" s="280"/>
      <c r="AM33" s="86"/>
      <c r="AN33" s="3"/>
      <c r="AO33" s="33"/>
      <c r="AP33" s="3"/>
      <c r="AQ33" s="3"/>
      <c r="AR33" s="3"/>
      <c r="AS33" s="284"/>
      <c r="AT33" s="284"/>
      <c r="AU33" s="284"/>
      <c r="AV33" s="284"/>
      <c r="AW33" s="284"/>
      <c r="AX33" s="284"/>
      <c r="AY33" s="284"/>
      <c r="AZ33" s="284"/>
      <c r="BA33" s="284"/>
      <c r="BB33" s="284"/>
      <c r="BC33" s="3"/>
      <c r="BD33" s="3"/>
      <c r="BE33" s="3"/>
      <c r="BF33" s="3"/>
      <c r="BG33" s="3"/>
      <c r="BH33" s="31"/>
      <c r="BS33" s="3"/>
      <c r="BT33" s="3"/>
      <c r="BU33" s="3"/>
      <c r="BV33" s="3"/>
      <c r="BW33" s="3"/>
      <c r="BX33" s="31"/>
      <c r="CI33" s="3"/>
      <c r="CJ33" s="3"/>
      <c r="CK33" s="3"/>
      <c r="CL33" s="3"/>
      <c r="CM33" s="3"/>
      <c r="CN33" s="31"/>
    </row>
    <row r="34" spans="1:92" hidden="1" x14ac:dyDescent="0.25">
      <c r="B34" s="265">
        <v>6</v>
      </c>
      <c r="C34" s="265">
        <v>2</v>
      </c>
      <c r="D34" s="265" t="str">
        <f t="shared" si="0"/>
        <v>PREPARE_EAST_I_1_16</v>
      </c>
      <c r="E34" s="265" t="s">
        <v>0</v>
      </c>
      <c r="F34" s="49" t="s">
        <v>46</v>
      </c>
      <c r="G34" s="3" t="s">
        <v>18</v>
      </c>
      <c r="H34" s="3">
        <v>1</v>
      </c>
      <c r="I34" s="3" t="s">
        <v>10</v>
      </c>
      <c r="J34" s="37"/>
      <c r="K34" s="90">
        <f>COUNT(M34:AR34)</f>
        <v>19</v>
      </c>
      <c r="L34" s="30" t="s">
        <v>28</v>
      </c>
      <c r="M34" s="8">
        <v>1</v>
      </c>
      <c r="N34" s="86">
        <f>M34+1</f>
        <v>2</v>
      </c>
      <c r="O34" s="86">
        <f t="shared" si="27"/>
        <v>3</v>
      </c>
      <c r="P34" s="86">
        <f t="shared" si="27"/>
        <v>4</v>
      </c>
      <c r="Q34" s="86">
        <f t="shared" si="27"/>
        <v>5</v>
      </c>
      <c r="R34" s="86">
        <f t="shared" si="27"/>
        <v>6</v>
      </c>
      <c r="S34" s="86">
        <f t="shared" si="27"/>
        <v>7</v>
      </c>
      <c r="T34" s="86">
        <f t="shared" si="27"/>
        <v>8</v>
      </c>
      <c r="U34" s="86">
        <f t="shared" si="27"/>
        <v>9</v>
      </c>
      <c r="V34" s="336">
        <f t="shared" si="27"/>
        <v>10</v>
      </c>
      <c r="W34" s="319">
        <f t="shared" si="27"/>
        <v>11</v>
      </c>
      <c r="X34" s="3">
        <f t="shared" si="27"/>
        <v>12</v>
      </c>
      <c r="Y34" s="3">
        <f t="shared" si="27"/>
        <v>13</v>
      </c>
      <c r="Z34" s="3">
        <f t="shared" si="27"/>
        <v>14</v>
      </c>
      <c r="AA34" s="3">
        <f>Z34+1</f>
        <v>15</v>
      </c>
      <c r="AB34" s="280">
        <f t="shared" ref="AB34:AC34" si="29">AA34+1</f>
        <v>16</v>
      </c>
      <c r="AC34" s="319">
        <f t="shared" si="29"/>
        <v>17</v>
      </c>
      <c r="AD34" s="3">
        <f>AC34+1</f>
        <v>18</v>
      </c>
      <c r="AE34" s="3">
        <f>AD34+1</f>
        <v>19</v>
      </c>
      <c r="AF34" s="4"/>
      <c r="AG34" s="3"/>
      <c r="AH34" s="3"/>
      <c r="AI34" s="3"/>
      <c r="AJ34" s="3"/>
      <c r="AK34" s="3"/>
      <c r="AL34" s="280"/>
      <c r="AM34" s="86"/>
      <c r="AN34" s="3"/>
      <c r="AO34" s="3"/>
      <c r="AP34" s="3"/>
      <c r="AQ34" s="3"/>
      <c r="AR34" s="31"/>
      <c r="AS34" s="8"/>
      <c r="AT34" s="86"/>
      <c r="AU34" s="86"/>
      <c r="AV34" s="86"/>
      <c r="AW34" s="86"/>
      <c r="AX34" s="3"/>
      <c r="AY34" s="3"/>
      <c r="AZ34" s="86"/>
      <c r="BA34" s="3"/>
      <c r="BB34" s="3"/>
      <c r="BD34" s="3"/>
      <c r="BE34" s="3"/>
      <c r="BF34" s="3"/>
      <c r="BG34" s="3"/>
      <c r="BH34" s="31"/>
      <c r="BI34" s="8"/>
      <c r="BJ34" s="86"/>
      <c r="BK34" s="86"/>
      <c r="BL34" s="86"/>
      <c r="BM34" s="86"/>
      <c r="BN34" s="3"/>
      <c r="BO34" s="3"/>
      <c r="BP34" s="3"/>
      <c r="BQ34" s="3"/>
      <c r="BR34" s="3"/>
      <c r="BT34" s="3"/>
      <c r="BU34" s="3"/>
      <c r="BV34" s="3"/>
      <c r="BW34" s="3"/>
      <c r="BX34" s="31"/>
      <c r="BY34" s="8"/>
      <c r="BZ34" s="86"/>
      <c r="CA34" s="86"/>
      <c r="CB34" s="86"/>
      <c r="CC34" s="86"/>
      <c r="CD34" s="3"/>
      <c r="CE34" s="3"/>
      <c r="CF34" s="3"/>
      <c r="CG34" s="3"/>
      <c r="CH34" s="3"/>
      <c r="CJ34" s="3"/>
      <c r="CK34" s="3"/>
      <c r="CL34" s="3"/>
      <c r="CM34" s="3"/>
      <c r="CN34" s="31"/>
    </row>
    <row r="35" spans="1:92" hidden="1" x14ac:dyDescent="0.25">
      <c r="B35" s="265">
        <f>B33</f>
        <v>6</v>
      </c>
      <c r="C35" s="265">
        <v>6</v>
      </c>
      <c r="D35" s="265" t="str">
        <f t="shared" si="0"/>
        <v>COUNTDOWN_EAST_I_1_16</v>
      </c>
      <c r="E35" s="265"/>
      <c r="F35" s="34" t="s">
        <v>33</v>
      </c>
      <c r="G35" s="3" t="s">
        <v>18</v>
      </c>
      <c r="H35" s="3">
        <v>1</v>
      </c>
      <c r="I35" s="3" t="s">
        <v>10</v>
      </c>
      <c r="J35" s="32"/>
      <c r="K35" s="32"/>
      <c r="L35" s="30" t="s">
        <v>28</v>
      </c>
      <c r="M35" s="8">
        <v>3</v>
      </c>
      <c r="N35" s="86">
        <v>2</v>
      </c>
      <c r="O35" s="86">
        <v>1</v>
      </c>
      <c r="P35" s="86">
        <v>16</v>
      </c>
      <c r="Q35" s="86">
        <v>15</v>
      </c>
      <c r="R35" s="3">
        <v>14</v>
      </c>
      <c r="S35" s="3">
        <v>13</v>
      </c>
      <c r="T35" s="3">
        <v>12</v>
      </c>
      <c r="U35" s="3">
        <v>11</v>
      </c>
      <c r="V35" s="30">
        <v>10</v>
      </c>
      <c r="W35" s="319">
        <v>9</v>
      </c>
      <c r="X35" s="3">
        <v>8</v>
      </c>
      <c r="Y35" s="3">
        <v>7</v>
      </c>
      <c r="Z35" s="3">
        <v>6</v>
      </c>
      <c r="AA35" s="3">
        <v>5</v>
      </c>
      <c r="AB35" s="280">
        <v>4</v>
      </c>
      <c r="AC35" s="319">
        <v>3</v>
      </c>
      <c r="AD35" s="3">
        <v>2</v>
      </c>
      <c r="AE35" s="3">
        <v>1</v>
      </c>
      <c r="AF35" s="3">
        <v>16</v>
      </c>
      <c r="AG35" s="3">
        <v>15</v>
      </c>
      <c r="AH35" s="3">
        <v>14</v>
      </c>
      <c r="AI35" s="3">
        <v>13</v>
      </c>
      <c r="AJ35" s="3">
        <v>12</v>
      </c>
      <c r="AK35" s="3">
        <v>11</v>
      </c>
      <c r="AL35" s="280">
        <v>10</v>
      </c>
      <c r="AM35" s="86">
        <v>9</v>
      </c>
      <c r="AN35" s="3">
        <v>8</v>
      </c>
      <c r="AO35" s="3">
        <v>7</v>
      </c>
      <c r="AP35" s="3">
        <v>6</v>
      </c>
      <c r="AQ35" s="3">
        <v>5</v>
      </c>
      <c r="AR35" s="31">
        <v>4</v>
      </c>
      <c r="AS35" s="8">
        <v>3</v>
      </c>
      <c r="AT35" s="86">
        <v>2</v>
      </c>
      <c r="AU35" s="86">
        <v>1</v>
      </c>
      <c r="AV35" s="86">
        <v>16</v>
      </c>
      <c r="AW35" s="86">
        <v>15</v>
      </c>
      <c r="AX35" s="3">
        <v>14</v>
      </c>
      <c r="AY35" s="3">
        <v>13</v>
      </c>
      <c r="AZ35" s="3">
        <v>12</v>
      </c>
      <c r="BA35" s="3">
        <v>11</v>
      </c>
      <c r="BB35" s="3">
        <v>10</v>
      </c>
      <c r="BC35" s="3">
        <v>9</v>
      </c>
      <c r="BD35" s="3">
        <v>8</v>
      </c>
      <c r="BE35" s="3">
        <v>7</v>
      </c>
      <c r="BF35" s="3">
        <v>6</v>
      </c>
      <c r="BG35" s="3">
        <v>5</v>
      </c>
      <c r="BH35" s="31">
        <v>4</v>
      </c>
      <c r="BI35" s="8">
        <v>3</v>
      </c>
      <c r="BJ35" s="86">
        <v>2</v>
      </c>
      <c r="BK35" s="86">
        <v>1</v>
      </c>
      <c r="BL35" s="86">
        <v>16</v>
      </c>
      <c r="BM35" s="86">
        <v>15</v>
      </c>
      <c r="BN35" s="3">
        <v>14</v>
      </c>
      <c r="BO35" s="3">
        <v>13</v>
      </c>
      <c r="BP35" s="3">
        <v>12</v>
      </c>
      <c r="BQ35" s="3">
        <v>11</v>
      </c>
      <c r="BR35" s="3">
        <v>10</v>
      </c>
      <c r="BS35" s="3">
        <v>9</v>
      </c>
      <c r="BT35" s="3">
        <v>8</v>
      </c>
      <c r="BU35" s="3">
        <v>7</v>
      </c>
      <c r="BV35" s="3">
        <v>6</v>
      </c>
      <c r="BW35" s="3">
        <v>5</v>
      </c>
      <c r="BX35" s="31">
        <v>4</v>
      </c>
      <c r="BY35" s="8">
        <v>3</v>
      </c>
      <c r="BZ35" s="86">
        <v>2</v>
      </c>
      <c r="CA35" s="86">
        <v>1</v>
      </c>
      <c r="CB35" s="86">
        <v>16</v>
      </c>
      <c r="CC35" s="86">
        <v>15</v>
      </c>
      <c r="CD35" s="3">
        <v>14</v>
      </c>
      <c r="CE35" s="3">
        <v>13</v>
      </c>
      <c r="CF35" s="3">
        <v>12</v>
      </c>
      <c r="CG35" s="3">
        <v>11</v>
      </c>
      <c r="CH35" s="3">
        <v>10</v>
      </c>
      <c r="CI35" s="3">
        <v>9</v>
      </c>
      <c r="CJ35" s="3">
        <v>8</v>
      </c>
      <c r="CK35" s="3">
        <v>7</v>
      </c>
      <c r="CL35" s="3">
        <v>6</v>
      </c>
      <c r="CM35" s="3">
        <v>5</v>
      </c>
      <c r="CN35" s="31">
        <v>4</v>
      </c>
    </row>
    <row r="36" spans="1:92" hidden="1" x14ac:dyDescent="0.25">
      <c r="A36" s="286" t="s">
        <v>15</v>
      </c>
      <c r="B36" s="265">
        <v>4</v>
      </c>
      <c r="C36" s="265">
        <v>1</v>
      </c>
      <c r="D36" s="265" t="str">
        <f t="shared" si="0"/>
        <v>SORTING_EAST_G_2_16</v>
      </c>
      <c r="E36" s="265" t="s">
        <v>35</v>
      </c>
      <c r="F36" s="49" t="s">
        <v>45</v>
      </c>
      <c r="G36" s="3" t="s">
        <v>18</v>
      </c>
      <c r="H36" s="3">
        <v>2</v>
      </c>
      <c r="I36" s="3" t="s">
        <v>8</v>
      </c>
      <c r="J36" s="37"/>
      <c r="K36" s="90">
        <f>COUNT(W36:AR36)</f>
        <v>6</v>
      </c>
      <c r="L36" s="30"/>
      <c r="M36" s="42"/>
      <c r="N36" s="133"/>
      <c r="O36" s="133"/>
      <c r="P36" s="133"/>
      <c r="Q36" s="133"/>
      <c r="R36" s="46"/>
      <c r="S36" s="46"/>
      <c r="T36" s="46"/>
      <c r="U36" s="46"/>
      <c r="V36" s="101"/>
      <c r="W36" s="321">
        <v>1</v>
      </c>
      <c r="X36" s="33">
        <f t="shared" ref="X36:AA37" si="30">W36+1</f>
        <v>2</v>
      </c>
      <c r="Y36" s="33">
        <f t="shared" si="30"/>
        <v>3</v>
      </c>
      <c r="Z36" s="33">
        <f t="shared" si="30"/>
        <v>4</v>
      </c>
      <c r="AA36" s="33">
        <f t="shared" si="30"/>
        <v>5</v>
      </c>
      <c r="AB36" s="282">
        <f>AA36+1</f>
        <v>6</v>
      </c>
      <c r="AC36" s="318"/>
      <c r="AD36" s="61"/>
      <c r="AE36" s="33"/>
      <c r="AF36" s="33"/>
      <c r="AG36" s="33"/>
      <c r="AH36" s="33"/>
      <c r="AI36" s="33"/>
      <c r="AJ36" s="33"/>
      <c r="AK36" s="33"/>
      <c r="AL36" s="282"/>
      <c r="AM36" s="86"/>
      <c r="AN36" s="3"/>
      <c r="AO36" s="3"/>
      <c r="AP36" s="3"/>
      <c r="AQ36" s="3"/>
      <c r="AR36" s="31"/>
      <c r="AS36" s="8"/>
      <c r="AT36" s="86"/>
      <c r="AU36" s="86"/>
      <c r="AV36" s="86"/>
      <c r="AW36" s="86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1"/>
      <c r="BI36" s="8"/>
      <c r="BJ36" s="86"/>
      <c r="BK36" s="86"/>
      <c r="BL36" s="86"/>
      <c r="BM36" s="86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1"/>
      <c r="BY36" s="8"/>
      <c r="BZ36" s="86"/>
      <c r="CA36" s="86"/>
      <c r="CB36" s="86"/>
      <c r="CC36" s="86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1"/>
    </row>
    <row r="37" spans="1:92" hidden="1" x14ac:dyDescent="0.25">
      <c r="A37" s="286" t="s">
        <v>15</v>
      </c>
      <c r="B37" s="265">
        <v>4</v>
      </c>
      <c r="C37" s="265">
        <v>2</v>
      </c>
      <c r="D37" s="265" t="str">
        <f t="shared" si="0"/>
        <v>TRANSFER_EAST_G_2_16</v>
      </c>
      <c r="E37" s="265" t="s">
        <v>21</v>
      </c>
      <c r="F37" s="49" t="s">
        <v>21</v>
      </c>
      <c r="G37" s="3" t="s">
        <v>18</v>
      </c>
      <c r="H37" s="3">
        <v>2</v>
      </c>
      <c r="I37" s="3" t="s">
        <v>8</v>
      </c>
      <c r="J37" s="37"/>
      <c r="K37" s="90">
        <f>COUNT(W37:AR37)</f>
        <v>8</v>
      </c>
      <c r="L37" s="30"/>
      <c r="M37" s="42"/>
      <c r="N37" s="133"/>
      <c r="O37" s="133"/>
      <c r="P37" s="133"/>
      <c r="Q37" s="133"/>
      <c r="R37" s="46"/>
      <c r="S37" s="46"/>
      <c r="T37" s="46"/>
      <c r="U37" s="46"/>
      <c r="V37" s="101"/>
      <c r="W37" s="319">
        <v>1</v>
      </c>
      <c r="X37" s="3">
        <f t="shared" si="30"/>
        <v>2</v>
      </c>
      <c r="Y37" s="3">
        <f t="shared" si="30"/>
        <v>3</v>
      </c>
      <c r="Z37" s="3">
        <f t="shared" si="30"/>
        <v>4</v>
      </c>
      <c r="AA37" s="3">
        <f t="shared" si="30"/>
        <v>5</v>
      </c>
      <c r="AB37" s="280">
        <f>AA37+1</f>
        <v>6</v>
      </c>
      <c r="AC37" s="319">
        <f t="shared" ref="AC37:AE38" si="31">AB37+1</f>
        <v>7</v>
      </c>
      <c r="AD37" s="3">
        <f t="shared" si="31"/>
        <v>8</v>
      </c>
      <c r="AE37" s="4"/>
      <c r="AF37" s="4"/>
      <c r="AG37" s="3"/>
      <c r="AH37" s="3"/>
      <c r="AI37" s="3"/>
      <c r="AJ37" s="3"/>
      <c r="AK37" s="3"/>
      <c r="AL37" s="280"/>
      <c r="AM37" s="86"/>
      <c r="AN37" s="3"/>
      <c r="AO37" s="3"/>
      <c r="AP37" s="3"/>
      <c r="AQ37" s="3"/>
      <c r="AR37" s="31"/>
      <c r="AS37" s="8"/>
      <c r="AT37" s="86"/>
      <c r="AU37" s="86"/>
      <c r="AV37" s="86"/>
      <c r="AW37" s="86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1"/>
      <c r="BI37" s="8"/>
      <c r="BJ37" s="86"/>
      <c r="BK37" s="86"/>
      <c r="BL37" s="86"/>
      <c r="BM37" s="86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1"/>
      <c r="BY37" s="8"/>
      <c r="BZ37" s="86"/>
      <c r="CA37" s="86"/>
      <c r="CB37" s="86"/>
      <c r="CC37" s="86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1"/>
    </row>
    <row r="38" spans="1:92" hidden="1" x14ac:dyDescent="0.25">
      <c r="A38" s="286" t="s">
        <v>15</v>
      </c>
      <c r="B38" s="265">
        <v>4</v>
      </c>
      <c r="C38" s="265">
        <v>3</v>
      </c>
      <c r="D38" s="265" t="str">
        <f t="shared" si="0"/>
        <v>SUPPLY_EAST_G_2_16</v>
      </c>
      <c r="E38" s="265" t="s">
        <v>0</v>
      </c>
      <c r="F38" s="34" t="s">
        <v>0</v>
      </c>
      <c r="G38" s="3" t="s">
        <v>18</v>
      </c>
      <c r="H38" s="3">
        <v>2</v>
      </c>
      <c r="I38" s="3" t="s">
        <v>8</v>
      </c>
      <c r="J38" s="90"/>
      <c r="K38" s="90">
        <f>COUNT(AC38:BH38)</f>
        <v>6</v>
      </c>
      <c r="L38" s="30"/>
      <c r="M38" s="42"/>
      <c r="N38" s="133"/>
      <c r="O38" s="133"/>
      <c r="P38" s="133"/>
      <c r="Q38" s="133"/>
      <c r="R38" s="46"/>
      <c r="S38" s="46"/>
      <c r="T38" s="46"/>
      <c r="U38" s="46"/>
      <c r="V38" s="101"/>
      <c r="W38" s="320"/>
      <c r="X38" s="46"/>
      <c r="Y38" s="46"/>
      <c r="Z38" s="46"/>
      <c r="AA38" s="46"/>
      <c r="AB38" s="340"/>
      <c r="AC38" s="319">
        <v>1</v>
      </c>
      <c r="AD38" s="3">
        <f t="shared" si="31"/>
        <v>2</v>
      </c>
      <c r="AE38" s="3">
        <f t="shared" si="31"/>
        <v>3</v>
      </c>
      <c r="AF38" s="3">
        <f>AE38+1</f>
        <v>4</v>
      </c>
      <c r="AG38" s="3">
        <f t="shared" ref="AG38:AH38" si="32">AF38+1</f>
        <v>5</v>
      </c>
      <c r="AH38" s="3">
        <f t="shared" si="32"/>
        <v>6</v>
      </c>
      <c r="AI38" s="4"/>
      <c r="AJ38" s="4"/>
      <c r="AK38" s="4"/>
      <c r="AL38" s="283"/>
      <c r="AM38" s="93"/>
      <c r="AN38" s="4"/>
      <c r="AO38" s="258"/>
      <c r="AP38" s="4"/>
      <c r="AQ38" s="4"/>
      <c r="AR38" s="21"/>
      <c r="AS38" s="9"/>
      <c r="AT38" s="93"/>
      <c r="AU38" s="93"/>
      <c r="AV38" s="86"/>
      <c r="AW38" s="86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1"/>
      <c r="BI38" s="8"/>
      <c r="BJ38" s="322"/>
      <c r="BK38" s="322"/>
      <c r="BL38" s="322"/>
      <c r="BM38" s="322"/>
      <c r="BO38" s="3"/>
      <c r="BP38" s="3"/>
      <c r="BQ38" s="3"/>
      <c r="BR38" s="3"/>
      <c r="BS38" s="3"/>
      <c r="BT38" s="3"/>
      <c r="BU38" s="3"/>
      <c r="BV38" s="3"/>
      <c r="BW38" s="3"/>
      <c r="BX38" s="31"/>
      <c r="BY38" s="8"/>
      <c r="BZ38" s="322"/>
      <c r="CA38" s="322"/>
      <c r="CB38" s="322"/>
      <c r="CC38" s="322"/>
      <c r="CE38" s="3"/>
      <c r="CF38" s="3"/>
      <c r="CG38" s="3"/>
      <c r="CH38" s="3"/>
      <c r="CI38" s="3"/>
      <c r="CJ38" s="3"/>
      <c r="CK38" s="3"/>
      <c r="CL38" s="3"/>
      <c r="CM38" s="3"/>
      <c r="CN38" s="31"/>
    </row>
    <row r="39" spans="1:92" x14ac:dyDescent="0.25">
      <c r="A39" s="286" t="s">
        <v>15</v>
      </c>
      <c r="B39" s="265">
        <v>4</v>
      </c>
      <c r="C39" s="265">
        <v>4</v>
      </c>
      <c r="D39" s="265" t="str">
        <f t="shared" si="0"/>
        <v>EMPTY_EAST_G_2_16</v>
      </c>
      <c r="E39" s="265" t="s">
        <v>0</v>
      </c>
      <c r="F39" s="34" t="s">
        <v>32</v>
      </c>
      <c r="G39" s="3" t="s">
        <v>18</v>
      </c>
      <c r="H39" s="3">
        <v>2</v>
      </c>
      <c r="I39" s="3" t="s">
        <v>8</v>
      </c>
      <c r="J39" s="90"/>
      <c r="K39" s="90">
        <f>COUNT(M39:AR39)</f>
        <v>19</v>
      </c>
      <c r="L39" s="30"/>
      <c r="M39" s="8">
        <v>1</v>
      </c>
      <c r="N39" s="86">
        <f>M39+1</f>
        <v>2</v>
      </c>
      <c r="O39" s="86">
        <f t="shared" ref="O39:Z40" si="33">N39+1</f>
        <v>3</v>
      </c>
      <c r="P39" s="86">
        <f t="shared" si="33"/>
        <v>4</v>
      </c>
      <c r="Q39" s="86">
        <f t="shared" si="33"/>
        <v>5</v>
      </c>
      <c r="R39" s="86">
        <f t="shared" si="33"/>
        <v>6</v>
      </c>
      <c r="S39" s="86">
        <f t="shared" si="33"/>
        <v>7</v>
      </c>
      <c r="T39" s="86">
        <f t="shared" si="33"/>
        <v>8</v>
      </c>
      <c r="U39" s="86">
        <f t="shared" si="33"/>
        <v>9</v>
      </c>
      <c r="V39" s="336">
        <f t="shared" si="33"/>
        <v>10</v>
      </c>
      <c r="W39" s="319">
        <f t="shared" si="33"/>
        <v>11</v>
      </c>
      <c r="X39" s="3">
        <f t="shared" si="33"/>
        <v>12</v>
      </c>
      <c r="Y39" s="3">
        <f>X39+1</f>
        <v>13</v>
      </c>
      <c r="Z39" s="3">
        <f t="shared" ref="Z39:AA39" si="34">Y39+1</f>
        <v>14</v>
      </c>
      <c r="AA39" s="3">
        <f t="shared" si="34"/>
        <v>15</v>
      </c>
      <c r="AB39" s="280">
        <f>AA39+1</f>
        <v>16</v>
      </c>
      <c r="AC39" s="319">
        <f t="shared" ref="AC39:AE39" si="35">AB39+1</f>
        <v>17</v>
      </c>
      <c r="AD39" s="3">
        <f t="shared" si="35"/>
        <v>18</v>
      </c>
      <c r="AE39" s="3">
        <f t="shared" si="35"/>
        <v>19</v>
      </c>
      <c r="AF39" s="46"/>
      <c r="AG39" s="4"/>
      <c r="AH39" s="3"/>
      <c r="AI39" s="3"/>
      <c r="AJ39" s="3"/>
      <c r="AK39" s="3"/>
      <c r="AL39" s="280"/>
      <c r="AM39" s="86"/>
      <c r="AN39" s="3"/>
      <c r="AO39" s="33"/>
      <c r="AP39" s="3"/>
      <c r="AQ39" s="3"/>
      <c r="AR39" s="31"/>
      <c r="AS39" s="8"/>
      <c r="AT39" s="86"/>
      <c r="AU39" s="86"/>
      <c r="AV39" s="86"/>
      <c r="AW39" s="86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1"/>
      <c r="BI39" s="8"/>
      <c r="BJ39" s="86"/>
      <c r="BK39" s="86"/>
      <c r="BL39" s="86"/>
      <c r="BM39" s="86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1"/>
      <c r="BY39" s="8"/>
      <c r="BZ39" s="86"/>
      <c r="CA39" s="86"/>
      <c r="CB39" s="86"/>
      <c r="CC39" s="86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1"/>
    </row>
    <row r="40" spans="1:92" hidden="1" x14ac:dyDescent="0.25">
      <c r="A40" s="286" t="s">
        <v>15</v>
      </c>
      <c r="B40" s="265">
        <v>4</v>
      </c>
      <c r="C40" s="265">
        <v>5</v>
      </c>
      <c r="D40" s="265" t="str">
        <f t="shared" si="0"/>
        <v>PREPARE_EAST_G_2_16</v>
      </c>
      <c r="E40" s="265" t="s">
        <v>0</v>
      </c>
      <c r="F40" s="49" t="s">
        <v>46</v>
      </c>
      <c r="G40" s="3" t="s">
        <v>18</v>
      </c>
      <c r="H40" s="3">
        <v>2</v>
      </c>
      <c r="I40" s="3" t="s">
        <v>8</v>
      </c>
      <c r="J40" s="37"/>
      <c r="K40" s="90">
        <f>COUNT(M40:AR40)</f>
        <v>21</v>
      </c>
      <c r="L40" s="30"/>
      <c r="M40" s="8">
        <v>1</v>
      </c>
      <c r="N40" s="86">
        <f>M40+1</f>
        <v>2</v>
      </c>
      <c r="O40" s="86">
        <f t="shared" si="33"/>
        <v>3</v>
      </c>
      <c r="P40" s="86">
        <f t="shared" si="33"/>
        <v>4</v>
      </c>
      <c r="Q40" s="86">
        <f t="shared" si="33"/>
        <v>5</v>
      </c>
      <c r="R40" s="86">
        <f t="shared" si="33"/>
        <v>6</v>
      </c>
      <c r="S40" s="86">
        <f t="shared" si="33"/>
        <v>7</v>
      </c>
      <c r="T40" s="86">
        <f t="shared" si="33"/>
        <v>8</v>
      </c>
      <c r="U40" s="86">
        <f t="shared" si="33"/>
        <v>9</v>
      </c>
      <c r="V40" s="336">
        <f t="shared" si="33"/>
        <v>10</v>
      </c>
      <c r="W40" s="319">
        <f t="shared" si="33"/>
        <v>11</v>
      </c>
      <c r="X40" s="3">
        <f t="shared" si="33"/>
        <v>12</v>
      </c>
      <c r="Y40" s="3">
        <f t="shared" si="33"/>
        <v>13</v>
      </c>
      <c r="Z40" s="3">
        <f t="shared" si="33"/>
        <v>14</v>
      </c>
      <c r="AA40" s="3">
        <f>Z40+1</f>
        <v>15</v>
      </c>
      <c r="AB40" s="280">
        <f t="shared" ref="AB40:AC40" si="36">AA40+1</f>
        <v>16</v>
      </c>
      <c r="AC40" s="319">
        <f t="shared" si="36"/>
        <v>17</v>
      </c>
      <c r="AD40" s="3">
        <f>AC40+1</f>
        <v>18</v>
      </c>
      <c r="AE40" s="3">
        <f t="shared" ref="AE40:AG40" si="37">AD40+1</f>
        <v>19</v>
      </c>
      <c r="AF40" s="3">
        <f t="shared" si="37"/>
        <v>20</v>
      </c>
      <c r="AG40" s="3">
        <f t="shared" si="37"/>
        <v>21</v>
      </c>
      <c r="AH40" s="4"/>
      <c r="AI40" s="3"/>
      <c r="AJ40" s="3"/>
      <c r="AK40" s="3"/>
      <c r="AL40" s="280"/>
      <c r="AM40" s="86"/>
      <c r="AN40" s="3"/>
      <c r="AO40" s="3"/>
      <c r="AP40" s="3"/>
      <c r="AQ40" s="3"/>
      <c r="AR40" s="31"/>
      <c r="AS40" s="8"/>
      <c r="AT40" s="86"/>
      <c r="AU40" s="86"/>
      <c r="AV40" s="86"/>
      <c r="AW40" s="86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1"/>
      <c r="BI40" s="8"/>
      <c r="BJ40" s="86"/>
      <c r="BK40" s="86"/>
      <c r="BL40" s="86"/>
      <c r="BM40" s="86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1"/>
      <c r="BY40" s="8"/>
      <c r="BZ40" s="86"/>
      <c r="CA40" s="86"/>
      <c r="CB40" s="86"/>
      <c r="CC40" s="86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1"/>
    </row>
    <row r="41" spans="1:92" hidden="1" x14ac:dyDescent="0.25">
      <c r="A41" s="286" t="s">
        <v>15</v>
      </c>
      <c r="B41" s="265">
        <f>B39</f>
        <v>4</v>
      </c>
      <c r="C41" s="265">
        <v>6</v>
      </c>
      <c r="D41" s="265" t="str">
        <f t="shared" si="0"/>
        <v>COUNTDOWN_EAST_G_2_16</v>
      </c>
      <c r="E41" s="265"/>
      <c r="F41" s="34" t="s">
        <v>33</v>
      </c>
      <c r="G41" s="3" t="s">
        <v>18</v>
      </c>
      <c r="H41" s="3">
        <v>2</v>
      </c>
      <c r="I41" s="3" t="s">
        <v>8</v>
      </c>
      <c r="J41" s="32"/>
      <c r="K41" s="32"/>
      <c r="L41" s="30"/>
      <c r="M41" s="8">
        <v>5</v>
      </c>
      <c r="N41" s="86">
        <v>4</v>
      </c>
      <c r="O41" s="86">
        <v>3</v>
      </c>
      <c r="P41" s="86">
        <v>2</v>
      </c>
      <c r="Q41" s="86">
        <v>1</v>
      </c>
      <c r="R41" s="3">
        <v>16</v>
      </c>
      <c r="S41" s="3">
        <v>15</v>
      </c>
      <c r="T41" s="3">
        <v>14</v>
      </c>
      <c r="U41" s="3">
        <v>13</v>
      </c>
      <c r="V41" s="30">
        <v>12</v>
      </c>
      <c r="W41" s="319">
        <v>11</v>
      </c>
      <c r="X41" s="3">
        <v>10</v>
      </c>
      <c r="Y41" s="3">
        <v>9</v>
      </c>
      <c r="Z41" s="3">
        <v>8</v>
      </c>
      <c r="AA41" s="3">
        <v>7</v>
      </c>
      <c r="AB41" s="280">
        <v>6</v>
      </c>
      <c r="AC41" s="319">
        <v>5</v>
      </c>
      <c r="AD41" s="3">
        <v>4</v>
      </c>
      <c r="AE41" s="3">
        <v>3</v>
      </c>
      <c r="AF41" s="3">
        <v>2</v>
      </c>
      <c r="AG41" s="3">
        <v>1</v>
      </c>
      <c r="AH41" s="3">
        <v>16</v>
      </c>
      <c r="AI41" s="3">
        <v>15</v>
      </c>
      <c r="AJ41" s="3">
        <v>14</v>
      </c>
      <c r="AK41" s="3">
        <v>13</v>
      </c>
      <c r="AL41" s="280">
        <v>12</v>
      </c>
      <c r="AM41" s="86">
        <v>11</v>
      </c>
      <c r="AN41" s="3">
        <v>10</v>
      </c>
      <c r="AO41" s="3">
        <v>9</v>
      </c>
      <c r="AP41" s="3">
        <v>8</v>
      </c>
      <c r="AQ41" s="3">
        <v>7</v>
      </c>
      <c r="AR41" s="31">
        <v>6</v>
      </c>
      <c r="AS41" s="8">
        <v>5</v>
      </c>
      <c r="AT41" s="86">
        <v>4</v>
      </c>
      <c r="AU41" s="86">
        <v>3</v>
      </c>
      <c r="AV41" s="86">
        <v>2</v>
      </c>
      <c r="AW41" s="86">
        <v>1</v>
      </c>
      <c r="AX41" s="3">
        <v>16</v>
      </c>
      <c r="AY41" s="3">
        <v>15</v>
      </c>
      <c r="AZ41" s="3">
        <v>14</v>
      </c>
      <c r="BA41" s="3">
        <v>13</v>
      </c>
      <c r="BB41" s="3">
        <v>12</v>
      </c>
      <c r="BC41" s="3">
        <v>11</v>
      </c>
      <c r="BD41" s="3">
        <v>10</v>
      </c>
      <c r="BE41" s="3">
        <v>9</v>
      </c>
      <c r="BF41" s="3">
        <v>8</v>
      </c>
      <c r="BG41" s="3">
        <v>7</v>
      </c>
      <c r="BH41" s="31">
        <v>6</v>
      </c>
      <c r="BI41" s="8">
        <v>5</v>
      </c>
      <c r="BJ41" s="86">
        <v>4</v>
      </c>
      <c r="BK41" s="86">
        <v>3</v>
      </c>
      <c r="BL41" s="86">
        <v>2</v>
      </c>
      <c r="BM41" s="86">
        <v>1</v>
      </c>
      <c r="BN41" s="3">
        <v>16</v>
      </c>
      <c r="BO41" s="3">
        <v>15</v>
      </c>
      <c r="BP41" s="3">
        <v>14</v>
      </c>
      <c r="BQ41" s="3">
        <v>13</v>
      </c>
      <c r="BR41" s="3">
        <v>12</v>
      </c>
      <c r="BS41" s="3">
        <v>11</v>
      </c>
      <c r="BT41" s="3">
        <v>10</v>
      </c>
      <c r="BU41" s="3">
        <v>9</v>
      </c>
      <c r="BV41" s="3">
        <v>8</v>
      </c>
      <c r="BW41" s="3">
        <v>7</v>
      </c>
      <c r="BX41" s="31">
        <v>6</v>
      </c>
      <c r="BY41" s="8">
        <v>5</v>
      </c>
      <c r="BZ41" s="86">
        <v>4</v>
      </c>
      <c r="CA41" s="86">
        <v>3</v>
      </c>
      <c r="CB41" s="86">
        <v>2</v>
      </c>
      <c r="CC41" s="86">
        <v>1</v>
      </c>
      <c r="CD41" s="3">
        <v>16</v>
      </c>
      <c r="CE41" s="3">
        <v>15</v>
      </c>
      <c r="CF41" s="3">
        <v>14</v>
      </c>
      <c r="CG41" s="3">
        <v>13</v>
      </c>
      <c r="CH41" s="3">
        <v>12</v>
      </c>
      <c r="CI41" s="3">
        <v>11</v>
      </c>
      <c r="CJ41" s="3">
        <v>10</v>
      </c>
      <c r="CK41" s="3">
        <v>9</v>
      </c>
      <c r="CL41" s="3">
        <v>8</v>
      </c>
      <c r="CM41" s="3">
        <v>7</v>
      </c>
      <c r="CN41" s="31">
        <v>6</v>
      </c>
    </row>
    <row r="42" spans="1:92" hidden="1" x14ac:dyDescent="0.25">
      <c r="B42" s="265">
        <v>3</v>
      </c>
      <c r="C42" s="265">
        <v>1</v>
      </c>
      <c r="D42" s="265" t="str">
        <f t="shared" si="0"/>
        <v>SORTING_EAST_B_1_16</v>
      </c>
      <c r="E42" s="265" t="s">
        <v>35</v>
      </c>
      <c r="F42" s="49" t="s">
        <v>45</v>
      </c>
      <c r="G42" s="3" t="s">
        <v>18</v>
      </c>
      <c r="H42" s="3">
        <v>1</v>
      </c>
      <c r="I42" s="3" t="s">
        <v>3</v>
      </c>
      <c r="J42" s="37"/>
      <c r="K42" s="90">
        <f>COUNT(W42:AR42)</f>
        <v>8</v>
      </c>
      <c r="L42" s="30" t="s">
        <v>28</v>
      </c>
      <c r="M42" s="42"/>
      <c r="N42" s="133"/>
      <c r="O42" s="133"/>
      <c r="P42" s="133"/>
      <c r="Q42" s="133"/>
      <c r="R42" s="46"/>
      <c r="S42" s="46"/>
      <c r="T42" s="46"/>
      <c r="U42" s="46"/>
      <c r="V42" s="101"/>
      <c r="W42" s="321">
        <v>1</v>
      </c>
      <c r="X42" s="33">
        <f t="shared" ref="X42:AA43" si="38">W42+1</f>
        <v>2</v>
      </c>
      <c r="Y42" s="33">
        <f t="shared" si="38"/>
        <v>3</v>
      </c>
      <c r="Z42" s="33">
        <f t="shared" si="38"/>
        <v>4</v>
      </c>
      <c r="AA42" s="33">
        <f t="shared" si="38"/>
        <v>5</v>
      </c>
      <c r="AB42" s="282">
        <f>AA42+1</f>
        <v>6</v>
      </c>
      <c r="AC42" s="321">
        <f t="shared" ref="AC42:AF44" si="39">AB42+1</f>
        <v>7</v>
      </c>
      <c r="AD42" s="33">
        <f t="shared" si="39"/>
        <v>8</v>
      </c>
      <c r="AE42" s="61"/>
      <c r="AF42" s="61"/>
      <c r="AG42" s="33"/>
      <c r="AH42" s="33"/>
      <c r="AI42" s="33"/>
      <c r="AJ42" s="33"/>
      <c r="AK42" s="33"/>
      <c r="AL42" s="282"/>
      <c r="AM42" s="86"/>
      <c r="AN42" s="3"/>
      <c r="AO42" s="3"/>
      <c r="AP42" s="3"/>
      <c r="AQ42" s="3"/>
      <c r="AR42" s="31"/>
      <c r="AS42" s="8"/>
      <c r="AT42" s="86"/>
      <c r="AU42" s="86"/>
      <c r="AV42" s="86"/>
      <c r="AW42" s="86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1"/>
      <c r="BI42" s="8"/>
      <c r="BJ42" s="86"/>
      <c r="BK42" s="86"/>
      <c r="BL42" s="86"/>
      <c r="BM42" s="86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1"/>
      <c r="BY42" s="8"/>
      <c r="BZ42" s="86"/>
      <c r="CA42" s="86"/>
      <c r="CB42" s="86"/>
      <c r="CC42" s="86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1"/>
    </row>
    <row r="43" spans="1:92" hidden="1" x14ac:dyDescent="0.25">
      <c r="B43" s="265">
        <v>3</v>
      </c>
      <c r="C43" s="265">
        <v>2</v>
      </c>
      <c r="D43" s="265" t="str">
        <f t="shared" si="0"/>
        <v>TRANSFER_EAST_B_1_16</v>
      </c>
      <c r="E43" s="265" t="s">
        <v>21</v>
      </c>
      <c r="F43" s="49" t="s">
        <v>21</v>
      </c>
      <c r="G43" s="3" t="s">
        <v>18</v>
      </c>
      <c r="H43" s="3">
        <v>1</v>
      </c>
      <c r="I43" s="3" t="s">
        <v>3</v>
      </c>
      <c r="J43" s="37"/>
      <c r="K43" s="90">
        <f>COUNT(W43:AR43)</f>
        <v>10</v>
      </c>
      <c r="L43" s="30" t="s">
        <v>28</v>
      </c>
      <c r="M43" s="42"/>
      <c r="N43" s="133"/>
      <c r="O43" s="133"/>
      <c r="P43" s="133"/>
      <c r="Q43" s="133"/>
      <c r="R43" s="46"/>
      <c r="S43" s="46"/>
      <c r="T43" s="46"/>
      <c r="U43" s="46"/>
      <c r="V43" s="101"/>
      <c r="W43" s="319">
        <v>1</v>
      </c>
      <c r="X43" s="3">
        <f t="shared" si="38"/>
        <v>2</v>
      </c>
      <c r="Y43" s="3">
        <f t="shared" si="38"/>
        <v>3</v>
      </c>
      <c r="Z43" s="3">
        <f t="shared" si="38"/>
        <v>4</v>
      </c>
      <c r="AA43" s="3">
        <f t="shared" si="38"/>
        <v>5</v>
      </c>
      <c r="AB43" s="280">
        <f>AA43+1</f>
        <v>6</v>
      </c>
      <c r="AC43" s="319">
        <f t="shared" si="39"/>
        <v>7</v>
      </c>
      <c r="AD43" s="3">
        <f t="shared" si="39"/>
        <v>8</v>
      </c>
      <c r="AE43" s="3">
        <f t="shared" si="39"/>
        <v>9</v>
      </c>
      <c r="AF43" s="3">
        <f t="shared" si="39"/>
        <v>10</v>
      </c>
      <c r="AG43" s="4"/>
      <c r="AH43" s="4"/>
      <c r="AI43" s="3"/>
      <c r="AJ43" s="3"/>
      <c r="AK43" s="3"/>
      <c r="AL43" s="280"/>
      <c r="AM43" s="86"/>
      <c r="AN43" s="3"/>
      <c r="AO43" s="3"/>
      <c r="AP43" s="3"/>
      <c r="AQ43" s="3"/>
      <c r="AR43" s="31"/>
      <c r="AS43" s="8"/>
      <c r="AT43" s="86"/>
      <c r="AU43" s="86"/>
      <c r="AV43" s="86"/>
      <c r="AW43" s="86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1"/>
      <c r="BI43" s="8"/>
      <c r="BJ43" s="86"/>
      <c r="BK43" s="86"/>
      <c r="BL43" s="86"/>
      <c r="BM43" s="86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1"/>
      <c r="BY43" s="8"/>
      <c r="BZ43" s="86"/>
      <c r="CA43" s="86"/>
      <c r="CB43" s="86"/>
      <c r="CC43" s="86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1"/>
    </row>
    <row r="44" spans="1:92" hidden="1" x14ac:dyDescent="0.25">
      <c r="B44" s="265">
        <v>3</v>
      </c>
      <c r="C44" s="265">
        <v>3</v>
      </c>
      <c r="D44" s="265" t="str">
        <f t="shared" si="0"/>
        <v>SUPPLY_EAST_B_1_16</v>
      </c>
      <c r="E44" s="265" t="s">
        <v>0</v>
      </c>
      <c r="F44" s="34" t="s">
        <v>0</v>
      </c>
      <c r="G44" s="3" t="s">
        <v>18</v>
      </c>
      <c r="H44" s="3">
        <v>1</v>
      </c>
      <c r="I44" s="3" t="s">
        <v>3</v>
      </c>
      <c r="J44" s="90"/>
      <c r="K44" s="90">
        <f>COUNT(AC44:BH44)</f>
        <v>8</v>
      </c>
      <c r="L44" s="30" t="s">
        <v>28</v>
      </c>
      <c r="M44" s="42"/>
      <c r="N44" s="133"/>
      <c r="O44" s="133"/>
      <c r="P44" s="133"/>
      <c r="Q44" s="133"/>
      <c r="R44" s="46"/>
      <c r="S44" s="46"/>
      <c r="T44" s="46"/>
      <c r="U44" s="46"/>
      <c r="V44" s="101"/>
      <c r="W44" s="320"/>
      <c r="X44" s="46"/>
      <c r="Y44" s="46"/>
      <c r="Z44" s="46"/>
      <c r="AA44" s="46"/>
      <c r="AB44" s="340"/>
      <c r="AC44" s="319">
        <v>1</v>
      </c>
      <c r="AD44" s="3">
        <f t="shared" si="39"/>
        <v>2</v>
      </c>
      <c r="AE44" s="3">
        <f t="shared" si="39"/>
        <v>3</v>
      </c>
      <c r="AF44" s="3">
        <f>AE44+1</f>
        <v>4</v>
      </c>
      <c r="AG44" s="3">
        <f t="shared" ref="AG44:AJ44" si="40">AF44+1</f>
        <v>5</v>
      </c>
      <c r="AH44" s="3">
        <f t="shared" si="40"/>
        <v>6</v>
      </c>
      <c r="AI44" s="3">
        <f t="shared" si="40"/>
        <v>7</v>
      </c>
      <c r="AJ44" s="3">
        <f t="shared" si="40"/>
        <v>8</v>
      </c>
      <c r="AK44" s="4"/>
      <c r="AL44" s="283"/>
      <c r="AM44" s="93"/>
      <c r="AN44" s="4"/>
      <c r="AO44" s="258"/>
      <c r="AP44" s="4"/>
      <c r="AQ44" s="4"/>
      <c r="AR44" s="21"/>
      <c r="AS44" s="9"/>
      <c r="AT44" s="93"/>
      <c r="AU44" s="93"/>
      <c r="AV44" s="93"/>
      <c r="AW44" s="9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1"/>
      <c r="BI44" s="8"/>
      <c r="BJ44" s="86"/>
      <c r="BK44" s="86"/>
      <c r="BL44" s="86"/>
      <c r="BM44" s="86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1"/>
      <c r="BY44" s="8"/>
      <c r="BZ44" s="86"/>
      <c r="CA44" s="86"/>
      <c r="CB44" s="86"/>
      <c r="CC44" s="86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1"/>
    </row>
    <row r="45" spans="1:92" x14ac:dyDescent="0.25">
      <c r="B45" s="265">
        <v>3</v>
      </c>
      <c r="C45" s="265">
        <v>4</v>
      </c>
      <c r="D45" s="265" t="str">
        <f t="shared" si="0"/>
        <v>EMPTY_EAST_B_1_16</v>
      </c>
      <c r="E45" s="265" t="s">
        <v>0</v>
      </c>
      <c r="F45" s="34" t="s">
        <v>32</v>
      </c>
      <c r="G45" s="3" t="s">
        <v>18</v>
      </c>
      <c r="H45" s="3">
        <v>1</v>
      </c>
      <c r="I45" s="3" t="s">
        <v>3</v>
      </c>
      <c r="J45" s="90"/>
      <c r="K45" s="90">
        <f>COUNT(M45:AR45)</f>
        <v>21</v>
      </c>
      <c r="L45" s="30" t="s">
        <v>28</v>
      </c>
      <c r="M45" s="8">
        <v>1</v>
      </c>
      <c r="N45" s="86">
        <f>M45+1</f>
        <v>2</v>
      </c>
      <c r="O45" s="86">
        <f t="shared" ref="O45:Z46" si="41">N45+1</f>
        <v>3</v>
      </c>
      <c r="P45" s="86">
        <f t="shared" si="41"/>
        <v>4</v>
      </c>
      <c r="Q45" s="86">
        <f t="shared" si="41"/>
        <v>5</v>
      </c>
      <c r="R45" s="86">
        <f t="shared" si="41"/>
        <v>6</v>
      </c>
      <c r="S45" s="86">
        <f t="shared" si="41"/>
        <v>7</v>
      </c>
      <c r="T45" s="86">
        <f t="shared" si="41"/>
        <v>8</v>
      </c>
      <c r="U45" s="86">
        <f t="shared" si="41"/>
        <v>9</v>
      </c>
      <c r="V45" s="336">
        <f t="shared" si="41"/>
        <v>10</v>
      </c>
      <c r="W45" s="319">
        <f t="shared" si="41"/>
        <v>11</v>
      </c>
      <c r="X45" s="3">
        <f t="shared" si="41"/>
        <v>12</v>
      </c>
      <c r="Y45" s="3">
        <f>X45+1</f>
        <v>13</v>
      </c>
      <c r="Z45" s="3">
        <f t="shared" ref="Z45:AA45" si="42">Y45+1</f>
        <v>14</v>
      </c>
      <c r="AA45" s="3">
        <f t="shared" si="42"/>
        <v>15</v>
      </c>
      <c r="AB45" s="280">
        <f>AA45+1</f>
        <v>16</v>
      </c>
      <c r="AC45" s="319">
        <f t="shared" ref="AC45:AI46" si="43">AB45+1</f>
        <v>17</v>
      </c>
      <c r="AD45" s="3">
        <f t="shared" si="43"/>
        <v>18</v>
      </c>
      <c r="AE45" s="3">
        <f t="shared" si="43"/>
        <v>19</v>
      </c>
      <c r="AF45" s="3">
        <f t="shared" si="43"/>
        <v>20</v>
      </c>
      <c r="AG45" s="3">
        <f t="shared" si="43"/>
        <v>21</v>
      </c>
      <c r="AH45" s="46"/>
      <c r="AI45" s="4"/>
      <c r="AJ45" s="3"/>
      <c r="AK45" s="3"/>
      <c r="AL45" s="280"/>
      <c r="AM45" s="86"/>
      <c r="AN45" s="284"/>
      <c r="AO45" s="284"/>
      <c r="AP45" s="284"/>
      <c r="AQ45" s="284"/>
      <c r="AR45" s="295"/>
      <c r="AS45" s="290"/>
      <c r="AT45" s="290"/>
      <c r="AU45" s="290"/>
      <c r="AV45" s="290"/>
      <c r="AW45" s="284"/>
      <c r="AX45" s="3"/>
      <c r="AY45" s="3"/>
      <c r="AZ45" s="3"/>
      <c r="BA45" s="3"/>
      <c r="BB45" s="3"/>
      <c r="BC45" s="3"/>
      <c r="BD45" s="284"/>
      <c r="BE45" s="284"/>
      <c r="BF45" s="284"/>
      <c r="BG45" s="284"/>
      <c r="BH45" s="284"/>
      <c r="BI45" s="284"/>
      <c r="BJ45" s="284"/>
      <c r="BK45" s="284"/>
      <c r="BL45" s="284"/>
      <c r="BM45" s="284"/>
      <c r="BN45" s="3"/>
      <c r="BO45" s="3"/>
      <c r="BP45" s="3"/>
      <c r="BQ45" s="3"/>
      <c r="BR45" s="3"/>
      <c r="BS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1"/>
    </row>
    <row r="46" spans="1:92" hidden="1" x14ac:dyDescent="0.25">
      <c r="B46" s="265">
        <v>3</v>
      </c>
      <c r="C46" s="265">
        <v>5</v>
      </c>
      <c r="D46" s="265" t="str">
        <f t="shared" si="0"/>
        <v>PREPARE_EAST_B_1_16</v>
      </c>
      <c r="E46" s="265" t="s">
        <v>0</v>
      </c>
      <c r="F46" s="49" t="s">
        <v>46</v>
      </c>
      <c r="G46" s="3" t="s">
        <v>18</v>
      </c>
      <c r="H46" s="3">
        <v>1</v>
      </c>
      <c r="I46" s="3" t="s">
        <v>3</v>
      </c>
      <c r="J46" s="37"/>
      <c r="K46" s="90">
        <f>COUNT(M46:AR46)</f>
        <v>23</v>
      </c>
      <c r="L46" s="30" t="s">
        <v>28</v>
      </c>
      <c r="M46" s="8">
        <v>1</v>
      </c>
      <c r="N46" s="86">
        <f>M46+1</f>
        <v>2</v>
      </c>
      <c r="O46" s="86">
        <f t="shared" si="41"/>
        <v>3</v>
      </c>
      <c r="P46" s="86">
        <f t="shared" si="41"/>
        <v>4</v>
      </c>
      <c r="Q46" s="86">
        <f t="shared" si="41"/>
        <v>5</v>
      </c>
      <c r="R46" s="86">
        <f t="shared" si="41"/>
        <v>6</v>
      </c>
      <c r="S46" s="86">
        <f t="shared" si="41"/>
        <v>7</v>
      </c>
      <c r="T46" s="86">
        <f t="shared" si="41"/>
        <v>8</v>
      </c>
      <c r="U46" s="86">
        <f t="shared" si="41"/>
        <v>9</v>
      </c>
      <c r="V46" s="336">
        <f t="shared" si="41"/>
        <v>10</v>
      </c>
      <c r="W46" s="319">
        <f t="shared" si="41"/>
        <v>11</v>
      </c>
      <c r="X46" s="3">
        <f t="shared" si="41"/>
        <v>12</v>
      </c>
      <c r="Y46" s="3">
        <f t="shared" si="41"/>
        <v>13</v>
      </c>
      <c r="Z46" s="3">
        <f t="shared" si="41"/>
        <v>14</v>
      </c>
      <c r="AA46" s="3">
        <f>Z46+1</f>
        <v>15</v>
      </c>
      <c r="AB46" s="280">
        <f t="shared" ref="AB46:AC46" si="44">AA46+1</f>
        <v>16</v>
      </c>
      <c r="AC46" s="319">
        <f t="shared" si="44"/>
        <v>17</v>
      </c>
      <c r="AD46" s="3">
        <f>AC46+1</f>
        <v>18</v>
      </c>
      <c r="AE46" s="3">
        <f t="shared" si="43"/>
        <v>19</v>
      </c>
      <c r="AF46" s="3">
        <f t="shared" si="43"/>
        <v>20</v>
      </c>
      <c r="AG46" s="3">
        <f t="shared" si="43"/>
        <v>21</v>
      </c>
      <c r="AH46" s="3">
        <f t="shared" si="43"/>
        <v>22</v>
      </c>
      <c r="AI46" s="3">
        <f t="shared" si="43"/>
        <v>23</v>
      </c>
      <c r="AJ46" s="4"/>
      <c r="AK46" s="3"/>
      <c r="AL46" s="280"/>
      <c r="AM46" s="86"/>
      <c r="AN46" s="3"/>
      <c r="AO46" s="3"/>
      <c r="AP46" s="3"/>
      <c r="AQ46" s="3"/>
      <c r="AR46" s="31"/>
      <c r="AS46" s="8"/>
      <c r="AT46" s="86"/>
      <c r="AU46" s="86"/>
      <c r="AV46" s="86"/>
      <c r="AW46" s="86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1"/>
      <c r="BI46" s="8"/>
      <c r="BJ46" s="86"/>
      <c r="BK46" s="86"/>
      <c r="BL46" s="86"/>
      <c r="BM46" s="86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1"/>
      <c r="BY46" s="8"/>
      <c r="BZ46" s="86"/>
      <c r="CA46" s="86"/>
      <c r="CB46" s="86"/>
      <c r="CC46" s="86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1"/>
    </row>
    <row r="47" spans="1:92" hidden="1" x14ac:dyDescent="0.25">
      <c r="B47" s="265">
        <f>B45</f>
        <v>3</v>
      </c>
      <c r="C47" s="265">
        <v>6</v>
      </c>
      <c r="D47" s="265" t="str">
        <f t="shared" si="0"/>
        <v>COUNTDOWN_EAST_B_1_16</v>
      </c>
      <c r="E47" s="265"/>
      <c r="F47" s="34" t="s">
        <v>33</v>
      </c>
      <c r="G47" s="3" t="s">
        <v>18</v>
      </c>
      <c r="H47" s="3">
        <v>1</v>
      </c>
      <c r="I47" s="3" t="s">
        <v>3</v>
      </c>
      <c r="J47" s="32"/>
      <c r="K47" s="32"/>
      <c r="L47" s="30" t="s">
        <v>28</v>
      </c>
      <c r="M47" s="8">
        <v>7</v>
      </c>
      <c r="N47" s="86">
        <v>6</v>
      </c>
      <c r="O47" s="86">
        <v>5</v>
      </c>
      <c r="P47" s="86">
        <v>4</v>
      </c>
      <c r="Q47" s="86">
        <v>3</v>
      </c>
      <c r="R47" s="3">
        <v>2</v>
      </c>
      <c r="S47" s="3">
        <v>1</v>
      </c>
      <c r="T47" s="3">
        <v>16</v>
      </c>
      <c r="U47" s="3">
        <v>15</v>
      </c>
      <c r="V47" s="30">
        <v>14</v>
      </c>
      <c r="W47" s="319">
        <v>13</v>
      </c>
      <c r="X47" s="3">
        <v>12</v>
      </c>
      <c r="Y47" s="3">
        <v>11</v>
      </c>
      <c r="Z47" s="3">
        <v>10</v>
      </c>
      <c r="AA47" s="3">
        <v>9</v>
      </c>
      <c r="AB47" s="280">
        <v>8</v>
      </c>
      <c r="AC47" s="319">
        <v>7</v>
      </c>
      <c r="AD47" s="3">
        <v>6</v>
      </c>
      <c r="AE47" s="3">
        <v>5</v>
      </c>
      <c r="AF47" s="3">
        <v>4</v>
      </c>
      <c r="AG47" s="3">
        <v>3</v>
      </c>
      <c r="AH47" s="3">
        <v>2</v>
      </c>
      <c r="AI47" s="3">
        <v>1</v>
      </c>
      <c r="AJ47" s="3">
        <v>16</v>
      </c>
      <c r="AK47" s="3">
        <v>15</v>
      </c>
      <c r="AL47" s="280">
        <v>14</v>
      </c>
      <c r="AM47" s="86">
        <v>13</v>
      </c>
      <c r="AN47" s="3">
        <v>12</v>
      </c>
      <c r="AO47" s="3">
        <v>11</v>
      </c>
      <c r="AP47" s="3">
        <v>10</v>
      </c>
      <c r="AQ47" s="3">
        <v>9</v>
      </c>
      <c r="AR47" s="31">
        <v>8</v>
      </c>
      <c r="AS47" s="8">
        <v>7</v>
      </c>
      <c r="AT47" s="86">
        <v>6</v>
      </c>
      <c r="AU47" s="86">
        <v>5</v>
      </c>
      <c r="AV47" s="86">
        <v>4</v>
      </c>
      <c r="AW47" s="86">
        <v>3</v>
      </c>
      <c r="AX47" s="3">
        <v>2</v>
      </c>
      <c r="AY47" s="3">
        <v>1</v>
      </c>
      <c r="AZ47" s="3">
        <v>16</v>
      </c>
      <c r="BA47" s="3">
        <v>15</v>
      </c>
      <c r="BB47" s="3">
        <v>14</v>
      </c>
      <c r="BC47" s="3">
        <v>13</v>
      </c>
      <c r="BD47" s="3">
        <v>12</v>
      </c>
      <c r="BE47" s="3">
        <v>11</v>
      </c>
      <c r="BF47" s="3">
        <v>10</v>
      </c>
      <c r="BG47" s="3">
        <v>9</v>
      </c>
      <c r="BH47" s="31">
        <v>8</v>
      </c>
      <c r="BI47" s="8">
        <v>7</v>
      </c>
      <c r="BJ47" s="86">
        <v>6</v>
      </c>
      <c r="BK47" s="86">
        <v>5</v>
      </c>
      <c r="BL47" s="86">
        <v>4</v>
      </c>
      <c r="BM47" s="86">
        <v>3</v>
      </c>
      <c r="BN47" s="3">
        <v>2</v>
      </c>
      <c r="BO47" s="3">
        <v>1</v>
      </c>
      <c r="BP47" s="3">
        <v>16</v>
      </c>
      <c r="BQ47" s="3">
        <v>15</v>
      </c>
      <c r="BR47" s="3">
        <v>14</v>
      </c>
      <c r="BS47" s="3">
        <v>13</v>
      </c>
      <c r="BT47" s="3">
        <v>12</v>
      </c>
      <c r="BU47" s="3">
        <v>11</v>
      </c>
      <c r="BV47" s="3">
        <v>10</v>
      </c>
      <c r="BW47" s="3">
        <v>9</v>
      </c>
      <c r="BX47" s="31">
        <v>8</v>
      </c>
      <c r="BY47" s="8">
        <v>7</v>
      </c>
      <c r="BZ47" s="86">
        <v>6</v>
      </c>
      <c r="CA47" s="86">
        <v>5</v>
      </c>
      <c r="CB47" s="86">
        <v>4</v>
      </c>
      <c r="CC47" s="86">
        <v>3</v>
      </c>
      <c r="CD47" s="3">
        <v>2</v>
      </c>
      <c r="CE47" s="3">
        <v>1</v>
      </c>
      <c r="CF47" s="3">
        <v>16</v>
      </c>
      <c r="CG47" s="3">
        <v>15</v>
      </c>
      <c r="CH47" s="3">
        <v>14</v>
      </c>
      <c r="CI47" s="3">
        <v>13</v>
      </c>
      <c r="CJ47" s="3">
        <v>12</v>
      </c>
      <c r="CK47" s="3">
        <v>11</v>
      </c>
      <c r="CL47" s="3">
        <v>10</v>
      </c>
      <c r="CM47" s="3">
        <v>9</v>
      </c>
      <c r="CN47" s="31">
        <v>8</v>
      </c>
    </row>
    <row r="48" spans="1:92" hidden="1" x14ac:dyDescent="0.25">
      <c r="B48" s="265">
        <v>7</v>
      </c>
      <c r="C48" s="265">
        <v>1</v>
      </c>
      <c r="D48" s="265" t="str">
        <f t="shared" si="0"/>
        <v>SORTING_EAST_E_2_16</v>
      </c>
      <c r="E48" s="265" t="s">
        <v>35</v>
      </c>
      <c r="F48" s="49" t="s">
        <v>45</v>
      </c>
      <c r="G48" s="3" t="s">
        <v>18</v>
      </c>
      <c r="H48" s="3">
        <v>2</v>
      </c>
      <c r="I48" s="3" t="s">
        <v>6</v>
      </c>
      <c r="J48" s="37"/>
      <c r="K48" s="90">
        <f>COUNT(W48:AR48)</f>
        <v>10</v>
      </c>
      <c r="L48" s="30"/>
      <c r="M48" s="42"/>
      <c r="N48" s="133"/>
      <c r="O48" s="133"/>
      <c r="P48" s="133"/>
      <c r="Q48" s="133"/>
      <c r="R48" s="46"/>
      <c r="S48" s="46"/>
      <c r="T48" s="46"/>
      <c r="U48" s="46"/>
      <c r="V48" s="101"/>
      <c r="W48" s="321">
        <v>1</v>
      </c>
      <c r="X48" s="33">
        <f t="shared" ref="X48:AA49" si="45">W48+1</f>
        <v>2</v>
      </c>
      <c r="Y48" s="33">
        <f t="shared" si="45"/>
        <v>3</v>
      </c>
      <c r="Z48" s="33">
        <f t="shared" si="45"/>
        <v>4</v>
      </c>
      <c r="AA48" s="33">
        <f t="shared" si="45"/>
        <v>5</v>
      </c>
      <c r="AB48" s="282">
        <f>AA48+1</f>
        <v>6</v>
      </c>
      <c r="AC48" s="321">
        <f t="shared" ref="AC48:AL50" si="46">AB48+1</f>
        <v>7</v>
      </c>
      <c r="AD48" s="33">
        <f t="shared" si="46"/>
        <v>8</v>
      </c>
      <c r="AE48" s="33">
        <f t="shared" si="46"/>
        <v>9</v>
      </c>
      <c r="AF48" s="33">
        <f t="shared" si="46"/>
        <v>10</v>
      </c>
      <c r="AG48" s="61"/>
      <c r="AH48" s="61"/>
      <c r="AI48" s="33"/>
      <c r="AJ48" s="33"/>
      <c r="AK48" s="33"/>
      <c r="AL48" s="282"/>
      <c r="AM48" s="86"/>
      <c r="AN48" s="3"/>
      <c r="AO48" s="3"/>
      <c r="AP48" s="3"/>
      <c r="AQ48" s="3"/>
      <c r="AR48" s="31"/>
      <c r="AS48" s="8"/>
      <c r="AT48" s="86"/>
      <c r="AU48" s="86"/>
      <c r="AV48" s="86"/>
      <c r="AW48" s="86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1"/>
      <c r="BI48" s="8"/>
      <c r="BJ48" s="86"/>
      <c r="BK48" s="86"/>
      <c r="BL48" s="86"/>
      <c r="BM48" s="86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1"/>
      <c r="BY48" s="8"/>
      <c r="BZ48" s="86"/>
      <c r="CA48" s="86"/>
      <c r="CB48" s="86"/>
      <c r="CC48" s="86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1"/>
    </row>
    <row r="49" spans="2:92" hidden="1" x14ac:dyDescent="0.25">
      <c r="B49" s="265">
        <v>7</v>
      </c>
      <c r="C49" s="265">
        <v>2</v>
      </c>
      <c r="D49" s="265" t="str">
        <f t="shared" si="0"/>
        <v>TRANSFER_EAST_E_2_16</v>
      </c>
      <c r="E49" s="265" t="s">
        <v>21</v>
      </c>
      <c r="F49" s="49" t="s">
        <v>21</v>
      </c>
      <c r="G49" s="3" t="s">
        <v>18</v>
      </c>
      <c r="H49" s="3">
        <v>2</v>
      </c>
      <c r="I49" s="3" t="s">
        <v>6</v>
      </c>
      <c r="J49" s="37"/>
      <c r="K49" s="90">
        <f>COUNT(W49:AR49)</f>
        <v>12</v>
      </c>
      <c r="L49" s="30"/>
      <c r="M49" s="42"/>
      <c r="N49" s="133"/>
      <c r="O49" s="133"/>
      <c r="P49" s="133"/>
      <c r="Q49" s="133"/>
      <c r="R49" s="46"/>
      <c r="S49" s="46"/>
      <c r="T49" s="46"/>
      <c r="U49" s="46"/>
      <c r="V49" s="101"/>
      <c r="W49" s="319">
        <v>1</v>
      </c>
      <c r="X49" s="3">
        <f t="shared" si="45"/>
        <v>2</v>
      </c>
      <c r="Y49" s="3">
        <f t="shared" si="45"/>
        <v>3</v>
      </c>
      <c r="Z49" s="3">
        <f t="shared" si="45"/>
        <v>4</v>
      </c>
      <c r="AA49" s="3">
        <f t="shared" si="45"/>
        <v>5</v>
      </c>
      <c r="AB49" s="280">
        <f>AA49+1</f>
        <v>6</v>
      </c>
      <c r="AC49" s="319">
        <f t="shared" si="46"/>
        <v>7</v>
      </c>
      <c r="AD49" s="3">
        <f t="shared" si="46"/>
        <v>8</v>
      </c>
      <c r="AE49" s="3">
        <f t="shared" si="46"/>
        <v>9</v>
      </c>
      <c r="AF49" s="3">
        <f t="shared" si="46"/>
        <v>10</v>
      </c>
      <c r="AG49" s="3">
        <f t="shared" si="46"/>
        <v>11</v>
      </c>
      <c r="AH49" s="3">
        <f t="shared" si="46"/>
        <v>12</v>
      </c>
      <c r="AI49" s="4"/>
      <c r="AJ49" s="4"/>
      <c r="AK49" s="3"/>
      <c r="AL49" s="280"/>
      <c r="AM49" s="86"/>
      <c r="AN49" s="3"/>
      <c r="AO49" s="3"/>
      <c r="AP49" s="3"/>
      <c r="AQ49" s="3"/>
      <c r="AR49" s="31"/>
      <c r="AS49" s="8"/>
      <c r="AT49" s="86"/>
      <c r="AU49" s="86"/>
      <c r="AV49" s="86"/>
      <c r="AW49" s="86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1"/>
      <c r="BI49" s="8"/>
      <c r="BJ49" s="86"/>
      <c r="BK49" s="86"/>
      <c r="BL49" s="86"/>
      <c r="BM49" s="86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1"/>
      <c r="BY49" s="8"/>
      <c r="BZ49" s="86"/>
      <c r="CA49" s="86"/>
      <c r="CB49" s="86"/>
      <c r="CC49" s="86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1"/>
    </row>
    <row r="50" spans="2:92" hidden="1" x14ac:dyDescent="0.25">
      <c r="B50" s="265">
        <v>7</v>
      </c>
      <c r="C50" s="265">
        <v>3</v>
      </c>
      <c r="D50" s="265" t="str">
        <f t="shared" si="0"/>
        <v>SUPPLY_EAST_E_2_16</v>
      </c>
      <c r="E50" s="265" t="s">
        <v>0</v>
      </c>
      <c r="F50" s="34" t="s">
        <v>0</v>
      </c>
      <c r="G50" s="3" t="s">
        <v>18</v>
      </c>
      <c r="H50" s="3">
        <v>2</v>
      </c>
      <c r="I50" s="3" t="s">
        <v>6</v>
      </c>
      <c r="J50" s="90"/>
      <c r="K50" s="90">
        <f>COUNT(AC50:BH50)</f>
        <v>10</v>
      </c>
      <c r="L50" s="30"/>
      <c r="M50" s="42"/>
      <c r="N50" s="133"/>
      <c r="O50" s="133"/>
      <c r="P50" s="133"/>
      <c r="Q50" s="133"/>
      <c r="R50" s="46"/>
      <c r="S50" s="46"/>
      <c r="T50" s="46"/>
      <c r="U50" s="46"/>
      <c r="V50" s="101"/>
      <c r="W50" s="320"/>
      <c r="X50" s="46"/>
      <c r="Y50" s="46"/>
      <c r="Z50" s="46"/>
      <c r="AA50" s="46"/>
      <c r="AB50" s="340"/>
      <c r="AC50" s="319">
        <v>1</v>
      </c>
      <c r="AD50" s="3">
        <f t="shared" si="46"/>
        <v>2</v>
      </c>
      <c r="AE50" s="3">
        <f t="shared" si="46"/>
        <v>3</v>
      </c>
      <c r="AF50" s="3">
        <f>AE50+1</f>
        <v>4</v>
      </c>
      <c r="AG50" s="3">
        <f t="shared" si="46"/>
        <v>5</v>
      </c>
      <c r="AH50" s="3">
        <f t="shared" si="46"/>
        <v>6</v>
      </c>
      <c r="AI50" s="3">
        <f t="shared" si="46"/>
        <v>7</v>
      </c>
      <c r="AJ50" s="3">
        <f t="shared" si="46"/>
        <v>8</v>
      </c>
      <c r="AK50" s="3">
        <f t="shared" si="46"/>
        <v>9</v>
      </c>
      <c r="AL50" s="280">
        <f t="shared" si="46"/>
        <v>10</v>
      </c>
      <c r="AM50" s="93"/>
      <c r="AN50" s="4"/>
      <c r="AO50" s="258"/>
      <c r="AP50" s="4"/>
      <c r="AQ50" s="4"/>
      <c r="AR50" s="21"/>
      <c r="AS50" s="9"/>
      <c r="AT50" s="93"/>
      <c r="AU50" s="93"/>
      <c r="AV50" s="93"/>
      <c r="AW50" s="93"/>
      <c r="AX50" s="4"/>
      <c r="AY50" s="4"/>
      <c r="AZ50" s="3"/>
      <c r="BA50" s="3"/>
      <c r="BB50" s="3"/>
      <c r="BD50" s="3"/>
      <c r="BE50" s="3"/>
      <c r="BF50" s="3"/>
      <c r="BG50" s="3"/>
      <c r="BH50" s="31"/>
      <c r="BI50" s="8"/>
      <c r="BJ50" s="86"/>
      <c r="BK50" s="86"/>
      <c r="BL50" s="86"/>
      <c r="BM50" s="86"/>
      <c r="BN50" s="3"/>
      <c r="BO50" s="3"/>
      <c r="BP50" s="3"/>
      <c r="BQ50" s="3"/>
      <c r="BR50" s="3"/>
      <c r="BT50" s="3"/>
      <c r="BU50" s="3"/>
      <c r="BV50" s="3"/>
      <c r="BW50" s="3"/>
      <c r="BX50" s="31"/>
      <c r="BY50" s="8"/>
      <c r="BZ50" s="86"/>
      <c r="CA50" s="86"/>
      <c r="CB50" s="86"/>
      <c r="CC50" s="86"/>
      <c r="CD50" s="3"/>
      <c r="CE50" s="3"/>
      <c r="CF50" s="3"/>
      <c r="CG50" s="3"/>
      <c r="CH50" s="3"/>
      <c r="CJ50" s="3"/>
      <c r="CK50" s="3"/>
      <c r="CL50" s="3"/>
      <c r="CM50" s="3"/>
      <c r="CN50" s="31"/>
    </row>
    <row r="51" spans="2:92" x14ac:dyDescent="0.25">
      <c r="B51" s="265">
        <f t="shared" ref="B51" si="47">B50</f>
        <v>7</v>
      </c>
      <c r="C51" s="265">
        <v>4</v>
      </c>
      <c r="D51" s="265" t="str">
        <f t="shared" si="0"/>
        <v>EMPTY_EAST_E_2_16</v>
      </c>
      <c r="E51" s="265" t="s">
        <v>0</v>
      </c>
      <c r="F51" s="34" t="s">
        <v>32</v>
      </c>
      <c r="G51" s="3" t="s">
        <v>18</v>
      </c>
      <c r="H51" s="3">
        <v>2</v>
      </c>
      <c r="I51" s="3" t="s">
        <v>6</v>
      </c>
      <c r="J51" s="90"/>
      <c r="K51" s="90">
        <f>COUNT(M51:AR51)</f>
        <v>23</v>
      </c>
      <c r="L51" s="30"/>
      <c r="M51" s="8">
        <v>1</v>
      </c>
      <c r="N51" s="86">
        <f>M51+1</f>
        <v>2</v>
      </c>
      <c r="O51" s="86">
        <f t="shared" ref="O51:Z52" si="48">N51+1</f>
        <v>3</v>
      </c>
      <c r="P51" s="86">
        <f t="shared" si="48"/>
        <v>4</v>
      </c>
      <c r="Q51" s="86">
        <f t="shared" si="48"/>
        <v>5</v>
      </c>
      <c r="R51" s="86">
        <f t="shared" si="48"/>
        <v>6</v>
      </c>
      <c r="S51" s="86">
        <f t="shared" si="48"/>
        <v>7</v>
      </c>
      <c r="T51" s="86">
        <f t="shared" si="48"/>
        <v>8</v>
      </c>
      <c r="U51" s="86">
        <f t="shared" si="48"/>
        <v>9</v>
      </c>
      <c r="V51" s="336">
        <f t="shared" si="48"/>
        <v>10</v>
      </c>
      <c r="W51" s="319">
        <f t="shared" si="48"/>
        <v>11</v>
      </c>
      <c r="X51" s="3">
        <f t="shared" si="48"/>
        <v>12</v>
      </c>
      <c r="Y51" s="3">
        <f>X51+1</f>
        <v>13</v>
      </c>
      <c r="Z51" s="3">
        <f t="shared" ref="Z51:AA51" si="49">Y51+1</f>
        <v>14</v>
      </c>
      <c r="AA51" s="3">
        <f t="shared" si="49"/>
        <v>15</v>
      </c>
      <c r="AB51" s="280">
        <f>AA51+1</f>
        <v>16</v>
      </c>
      <c r="AC51" s="319">
        <f t="shared" ref="AC51:AK52" si="50">AB51+1</f>
        <v>17</v>
      </c>
      <c r="AD51" s="3">
        <f t="shared" si="50"/>
        <v>18</v>
      </c>
      <c r="AE51" s="3">
        <f t="shared" si="50"/>
        <v>19</v>
      </c>
      <c r="AF51" s="3">
        <f t="shared" si="50"/>
        <v>20</v>
      </c>
      <c r="AG51" s="3">
        <f t="shared" si="50"/>
        <v>21</v>
      </c>
      <c r="AH51" s="3">
        <f t="shared" si="50"/>
        <v>22</v>
      </c>
      <c r="AI51" s="3">
        <f t="shared" si="50"/>
        <v>23</v>
      </c>
      <c r="AJ51" s="46"/>
      <c r="AK51" s="4"/>
      <c r="AL51" s="280"/>
      <c r="AM51" s="86"/>
      <c r="AN51" s="3"/>
      <c r="AO51" s="33"/>
      <c r="AP51" s="3"/>
      <c r="AQ51" s="3"/>
      <c r="AR51" s="31"/>
      <c r="AS51" s="8"/>
      <c r="AT51" s="86"/>
      <c r="AU51" s="86"/>
      <c r="AV51" s="86"/>
      <c r="AW51" s="86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1"/>
      <c r="BI51" s="8"/>
      <c r="BJ51" s="86"/>
      <c r="BK51" s="86"/>
      <c r="BL51" s="86"/>
      <c r="BM51" s="86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1"/>
      <c r="BY51" s="8"/>
      <c r="BZ51" s="86"/>
      <c r="CA51" s="86"/>
      <c r="CB51" s="86"/>
      <c r="CC51" s="86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1"/>
    </row>
    <row r="52" spans="2:92" hidden="1" x14ac:dyDescent="0.25">
      <c r="B52" s="265">
        <v>7</v>
      </c>
      <c r="C52" s="265">
        <v>5</v>
      </c>
      <c r="D52" s="265" t="str">
        <f t="shared" si="0"/>
        <v>PREPARE_EAST_E_2_16</v>
      </c>
      <c r="E52" s="265" t="s">
        <v>0</v>
      </c>
      <c r="F52" s="49" t="s">
        <v>46</v>
      </c>
      <c r="G52" s="3" t="s">
        <v>18</v>
      </c>
      <c r="H52" s="3">
        <v>2</v>
      </c>
      <c r="I52" s="3" t="s">
        <v>6</v>
      </c>
      <c r="J52" s="37"/>
      <c r="K52" s="90">
        <f>COUNT(M52:AR52)</f>
        <v>25</v>
      </c>
      <c r="L52" s="30"/>
      <c r="M52" s="8">
        <v>1</v>
      </c>
      <c r="N52" s="86">
        <f>M52+1</f>
        <v>2</v>
      </c>
      <c r="O52" s="86">
        <f t="shared" si="48"/>
        <v>3</v>
      </c>
      <c r="P52" s="86">
        <f t="shared" si="48"/>
        <v>4</v>
      </c>
      <c r="Q52" s="86">
        <f t="shared" si="48"/>
        <v>5</v>
      </c>
      <c r="R52" s="86">
        <f t="shared" si="48"/>
        <v>6</v>
      </c>
      <c r="S52" s="86">
        <f t="shared" si="48"/>
        <v>7</v>
      </c>
      <c r="T52" s="86">
        <f t="shared" si="48"/>
        <v>8</v>
      </c>
      <c r="U52" s="86">
        <f t="shared" si="48"/>
        <v>9</v>
      </c>
      <c r="V52" s="336">
        <f t="shared" si="48"/>
        <v>10</v>
      </c>
      <c r="W52" s="319">
        <f t="shared" si="48"/>
        <v>11</v>
      </c>
      <c r="X52" s="3">
        <f t="shared" si="48"/>
        <v>12</v>
      </c>
      <c r="Y52" s="3">
        <f t="shared" si="48"/>
        <v>13</v>
      </c>
      <c r="Z52" s="3">
        <f t="shared" si="48"/>
        <v>14</v>
      </c>
      <c r="AA52" s="3">
        <f>Z52+1</f>
        <v>15</v>
      </c>
      <c r="AB52" s="280">
        <f t="shared" ref="AB52:AC52" si="51">AA52+1</f>
        <v>16</v>
      </c>
      <c r="AC52" s="319">
        <f t="shared" si="51"/>
        <v>17</v>
      </c>
      <c r="AD52" s="3">
        <f>AC52+1</f>
        <v>18</v>
      </c>
      <c r="AE52" s="3">
        <f t="shared" si="50"/>
        <v>19</v>
      </c>
      <c r="AF52" s="3">
        <f t="shared" si="50"/>
        <v>20</v>
      </c>
      <c r="AG52" s="3">
        <f t="shared" si="50"/>
        <v>21</v>
      </c>
      <c r="AH52" s="3">
        <f t="shared" si="50"/>
        <v>22</v>
      </c>
      <c r="AI52" s="3">
        <f t="shared" si="50"/>
        <v>23</v>
      </c>
      <c r="AJ52" s="3">
        <f t="shared" si="50"/>
        <v>24</v>
      </c>
      <c r="AK52" s="3">
        <f t="shared" si="50"/>
        <v>25</v>
      </c>
      <c r="AL52" s="283"/>
      <c r="AM52" s="86"/>
      <c r="AN52" s="3"/>
      <c r="AO52" s="3"/>
      <c r="AP52" s="3"/>
      <c r="AQ52" s="3"/>
      <c r="AR52" s="31"/>
      <c r="AS52" s="8"/>
      <c r="AT52" s="86"/>
      <c r="AU52" s="86"/>
      <c r="AV52" s="86"/>
      <c r="AW52" s="86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1"/>
      <c r="BI52" s="8"/>
      <c r="BJ52" s="86"/>
      <c r="BK52" s="86"/>
      <c r="BL52" s="86"/>
      <c r="BM52" s="86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1"/>
      <c r="BY52" s="8"/>
      <c r="BZ52" s="86"/>
      <c r="CA52" s="86"/>
      <c r="CB52" s="86"/>
      <c r="CC52" s="86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1"/>
    </row>
    <row r="53" spans="2:92" hidden="1" x14ac:dyDescent="0.25">
      <c r="B53" s="265">
        <f>B51</f>
        <v>7</v>
      </c>
      <c r="C53" s="265">
        <v>6</v>
      </c>
      <c r="D53" s="265" t="str">
        <f t="shared" si="0"/>
        <v>COUNTDOWN_EAST_E_2_16</v>
      </c>
      <c r="E53" s="265"/>
      <c r="F53" s="34" t="s">
        <v>33</v>
      </c>
      <c r="G53" s="3" t="s">
        <v>18</v>
      </c>
      <c r="H53" s="3">
        <v>2</v>
      </c>
      <c r="I53" s="3" t="s">
        <v>6</v>
      </c>
      <c r="J53" s="32"/>
      <c r="K53" s="32"/>
      <c r="L53" s="30"/>
      <c r="M53" s="8">
        <v>9</v>
      </c>
      <c r="N53" s="86">
        <v>8</v>
      </c>
      <c r="O53" s="86">
        <v>7</v>
      </c>
      <c r="P53" s="86">
        <v>6</v>
      </c>
      <c r="Q53" s="86">
        <v>5</v>
      </c>
      <c r="R53" s="3">
        <v>4</v>
      </c>
      <c r="S53" s="3">
        <v>3</v>
      </c>
      <c r="T53" s="3">
        <v>2</v>
      </c>
      <c r="U53" s="3">
        <v>1</v>
      </c>
      <c r="V53" s="30">
        <v>16</v>
      </c>
      <c r="W53" s="319">
        <v>15</v>
      </c>
      <c r="X53" s="3">
        <v>14</v>
      </c>
      <c r="Y53" s="3">
        <v>13</v>
      </c>
      <c r="Z53" s="3">
        <v>12</v>
      </c>
      <c r="AA53" s="3">
        <v>11</v>
      </c>
      <c r="AB53" s="280">
        <v>10</v>
      </c>
      <c r="AC53" s="319">
        <v>9</v>
      </c>
      <c r="AD53" s="3">
        <v>8</v>
      </c>
      <c r="AE53" s="3">
        <v>7</v>
      </c>
      <c r="AF53" s="3">
        <v>6</v>
      </c>
      <c r="AG53" s="3">
        <v>5</v>
      </c>
      <c r="AH53" s="3">
        <v>4</v>
      </c>
      <c r="AI53" s="3">
        <v>3</v>
      </c>
      <c r="AJ53" s="3">
        <v>2</v>
      </c>
      <c r="AK53" s="3">
        <v>1</v>
      </c>
      <c r="AL53" s="280">
        <v>16</v>
      </c>
      <c r="AM53" s="86">
        <v>15</v>
      </c>
      <c r="AN53" s="3">
        <v>14</v>
      </c>
      <c r="AO53" s="3">
        <v>13</v>
      </c>
      <c r="AP53" s="3">
        <v>12</v>
      </c>
      <c r="AQ53" s="3">
        <v>11</v>
      </c>
      <c r="AR53" s="31">
        <v>10</v>
      </c>
      <c r="AS53" s="8">
        <v>9</v>
      </c>
      <c r="AT53" s="86">
        <v>8</v>
      </c>
      <c r="AU53" s="86">
        <v>7</v>
      </c>
      <c r="AV53" s="86">
        <v>6</v>
      </c>
      <c r="AW53" s="86">
        <v>5</v>
      </c>
      <c r="AX53" s="3">
        <v>4</v>
      </c>
      <c r="AY53" s="3">
        <v>3</v>
      </c>
      <c r="AZ53" s="3">
        <v>2</v>
      </c>
      <c r="BA53" s="3">
        <v>1</v>
      </c>
      <c r="BB53" s="3">
        <v>16</v>
      </c>
      <c r="BC53" s="3">
        <v>15</v>
      </c>
      <c r="BD53" s="3">
        <v>14</v>
      </c>
      <c r="BE53" s="3">
        <v>13</v>
      </c>
      <c r="BF53" s="3">
        <v>12</v>
      </c>
      <c r="BG53" s="3">
        <v>11</v>
      </c>
      <c r="BH53" s="31">
        <v>10</v>
      </c>
      <c r="BI53" s="8">
        <v>9</v>
      </c>
      <c r="BJ53" s="86">
        <v>8</v>
      </c>
      <c r="BK53" s="86">
        <v>7</v>
      </c>
      <c r="BL53" s="86">
        <v>6</v>
      </c>
      <c r="BM53" s="86">
        <v>5</v>
      </c>
      <c r="BN53" s="3">
        <v>4</v>
      </c>
      <c r="BO53" s="3">
        <v>3</v>
      </c>
      <c r="BP53" s="3">
        <v>2</v>
      </c>
      <c r="BQ53" s="3">
        <v>1</v>
      </c>
      <c r="BR53" s="3">
        <v>16</v>
      </c>
      <c r="BS53" s="3">
        <v>15</v>
      </c>
      <c r="BT53" s="3">
        <v>14</v>
      </c>
      <c r="BU53" s="3">
        <v>13</v>
      </c>
      <c r="BV53" s="3">
        <v>12</v>
      </c>
      <c r="BW53" s="3">
        <v>11</v>
      </c>
      <c r="BX53" s="31">
        <v>10</v>
      </c>
      <c r="BY53" s="8">
        <v>9</v>
      </c>
      <c r="BZ53" s="86">
        <v>8</v>
      </c>
      <c r="CA53" s="86">
        <v>7</v>
      </c>
      <c r="CB53" s="86">
        <v>6</v>
      </c>
      <c r="CC53" s="86">
        <v>5</v>
      </c>
      <c r="CD53" s="3">
        <v>4</v>
      </c>
      <c r="CE53" s="3">
        <v>3</v>
      </c>
      <c r="CF53" s="3">
        <v>2</v>
      </c>
      <c r="CG53" s="3">
        <v>1</v>
      </c>
      <c r="CH53" s="3">
        <v>16</v>
      </c>
      <c r="CI53" s="3">
        <v>15</v>
      </c>
      <c r="CJ53" s="3">
        <v>14</v>
      </c>
      <c r="CK53" s="3">
        <v>13</v>
      </c>
      <c r="CL53" s="3">
        <v>12</v>
      </c>
      <c r="CM53" s="3">
        <v>11</v>
      </c>
      <c r="CN53" s="31">
        <v>10</v>
      </c>
    </row>
    <row r="54" spans="2:92" hidden="1" x14ac:dyDescent="0.25">
      <c r="B54" s="284"/>
      <c r="C54" s="265">
        <v>1</v>
      </c>
      <c r="D54" s="265" t="str">
        <f t="shared" si="0"/>
        <v>SORTING_EAST_D_1_16</v>
      </c>
      <c r="E54" s="265" t="s">
        <v>35</v>
      </c>
      <c r="F54" s="49" t="s">
        <v>45</v>
      </c>
      <c r="G54" s="3" t="s">
        <v>18</v>
      </c>
      <c r="H54" s="3">
        <v>1</v>
      </c>
      <c r="I54" s="3" t="s">
        <v>47</v>
      </c>
      <c r="J54" s="90"/>
      <c r="K54" s="90">
        <f>COUNT(W54:AR54)</f>
        <v>12</v>
      </c>
      <c r="L54" s="30" t="s">
        <v>28</v>
      </c>
      <c r="M54" s="42"/>
      <c r="N54" s="133"/>
      <c r="O54" s="133"/>
      <c r="P54" s="133"/>
      <c r="Q54" s="133"/>
      <c r="R54" s="46"/>
      <c r="S54" s="46"/>
      <c r="T54" s="46"/>
      <c r="U54" s="46"/>
      <c r="V54" s="101"/>
      <c r="W54" s="321">
        <v>1</v>
      </c>
      <c r="X54" s="33">
        <f>W54+1</f>
        <v>2</v>
      </c>
      <c r="Y54" s="33">
        <f t="shared" ref="Y54:AA54" si="52">X54+1</f>
        <v>3</v>
      </c>
      <c r="Z54" s="33">
        <f t="shared" si="52"/>
        <v>4</v>
      </c>
      <c r="AA54" s="33">
        <f t="shared" si="52"/>
        <v>5</v>
      </c>
      <c r="AB54" s="282">
        <f>AA54+1</f>
        <v>6</v>
      </c>
      <c r="AC54" s="321">
        <f t="shared" ref="AC54:AN56" si="53">AB54+1</f>
        <v>7</v>
      </c>
      <c r="AD54" s="33">
        <f t="shared" si="53"/>
        <v>8</v>
      </c>
      <c r="AE54" s="33">
        <f t="shared" si="53"/>
        <v>9</v>
      </c>
      <c r="AF54" s="33">
        <f t="shared" si="53"/>
        <v>10</v>
      </c>
      <c r="AG54" s="33">
        <f t="shared" si="53"/>
        <v>11</v>
      </c>
      <c r="AH54" s="33">
        <f t="shared" si="53"/>
        <v>12</v>
      </c>
      <c r="AI54" s="61"/>
      <c r="AJ54" s="61"/>
      <c r="AK54" s="33"/>
      <c r="AL54" s="282"/>
      <c r="AM54" s="86"/>
      <c r="AN54" s="3"/>
      <c r="AO54" s="3"/>
      <c r="AP54" s="3"/>
      <c r="AQ54" s="3"/>
      <c r="AR54" s="31"/>
      <c r="AS54" s="8"/>
      <c r="AT54" s="86"/>
      <c r="AU54" s="86"/>
      <c r="AV54" s="86"/>
      <c r="AW54" s="86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1"/>
      <c r="BI54" s="8"/>
      <c r="BJ54" s="86"/>
      <c r="BK54" s="86"/>
      <c r="BL54" s="86"/>
      <c r="BM54" s="86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1"/>
      <c r="BY54" s="8"/>
      <c r="BZ54" s="86"/>
      <c r="CA54" s="86"/>
      <c r="CB54" s="86"/>
      <c r="CC54" s="86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1"/>
    </row>
    <row r="55" spans="2:92" hidden="1" x14ac:dyDescent="0.25">
      <c r="B55" s="284"/>
      <c r="C55" s="265">
        <v>2</v>
      </c>
      <c r="D55" s="265" t="str">
        <f t="shared" si="0"/>
        <v>TRANSFER_EAST_D_1_16</v>
      </c>
      <c r="E55" s="265" t="s">
        <v>21</v>
      </c>
      <c r="F55" s="49" t="s">
        <v>21</v>
      </c>
      <c r="G55" s="3" t="s">
        <v>18</v>
      </c>
      <c r="H55" s="3">
        <v>1</v>
      </c>
      <c r="I55" s="3" t="s">
        <v>47</v>
      </c>
      <c r="J55" s="90"/>
      <c r="K55" s="90">
        <f>COUNT(W55:AR55)</f>
        <v>14</v>
      </c>
      <c r="L55" s="30" t="s">
        <v>28</v>
      </c>
      <c r="M55" s="42"/>
      <c r="N55" s="133"/>
      <c r="O55" s="133"/>
      <c r="P55" s="133"/>
      <c r="Q55" s="133"/>
      <c r="R55" s="46"/>
      <c r="S55" s="46"/>
      <c r="T55" s="46"/>
      <c r="U55" s="46"/>
      <c r="V55" s="101"/>
      <c r="W55" s="319">
        <v>1</v>
      </c>
      <c r="X55" s="3">
        <f t="shared" ref="X55:AA55" si="54">W55+1</f>
        <v>2</v>
      </c>
      <c r="Y55" s="3">
        <f t="shared" si="54"/>
        <v>3</v>
      </c>
      <c r="Z55" s="3">
        <f t="shared" si="54"/>
        <v>4</v>
      </c>
      <c r="AA55" s="3">
        <f t="shared" si="54"/>
        <v>5</v>
      </c>
      <c r="AB55" s="280">
        <f>AA55+1</f>
        <v>6</v>
      </c>
      <c r="AC55" s="319">
        <f t="shared" si="53"/>
        <v>7</v>
      </c>
      <c r="AD55" s="3">
        <f t="shared" si="53"/>
        <v>8</v>
      </c>
      <c r="AE55" s="3">
        <f t="shared" si="53"/>
        <v>9</v>
      </c>
      <c r="AF55" s="3">
        <f t="shared" si="53"/>
        <v>10</v>
      </c>
      <c r="AG55" s="3">
        <f t="shared" si="53"/>
        <v>11</v>
      </c>
      <c r="AH55" s="3">
        <f t="shared" si="53"/>
        <v>12</v>
      </c>
      <c r="AI55" s="3">
        <f t="shared" si="53"/>
        <v>13</v>
      </c>
      <c r="AJ55" s="3">
        <f t="shared" si="53"/>
        <v>14</v>
      </c>
      <c r="AK55" s="4"/>
      <c r="AL55" s="283"/>
      <c r="AM55" s="86"/>
      <c r="AN55" s="3"/>
      <c r="AO55" s="3"/>
      <c r="AP55" s="3"/>
      <c r="AQ55" s="3"/>
      <c r="AR55" s="31"/>
      <c r="AS55" s="8"/>
      <c r="AT55" s="86"/>
      <c r="AU55" s="86"/>
      <c r="AV55" s="86"/>
      <c r="AW55" s="86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1"/>
      <c r="BI55" s="8"/>
      <c r="BJ55" s="86"/>
      <c r="BK55" s="86"/>
      <c r="BL55" s="86"/>
      <c r="BM55" s="86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1"/>
      <c r="BY55" s="8"/>
      <c r="BZ55" s="86"/>
      <c r="CA55" s="86"/>
      <c r="CB55" s="86"/>
      <c r="CC55" s="86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1"/>
    </row>
    <row r="56" spans="2:92" hidden="1" x14ac:dyDescent="0.25">
      <c r="B56" s="284"/>
      <c r="C56" s="265">
        <v>3</v>
      </c>
      <c r="D56" s="265" t="str">
        <f t="shared" si="0"/>
        <v>SUPPLY_EAST_D_1_16</v>
      </c>
      <c r="E56" s="265" t="s">
        <v>0</v>
      </c>
      <c r="F56" s="34" t="s">
        <v>0</v>
      </c>
      <c r="G56" s="3" t="s">
        <v>18</v>
      </c>
      <c r="H56" s="3">
        <v>1</v>
      </c>
      <c r="I56" s="3" t="s">
        <v>47</v>
      </c>
      <c r="J56" s="90"/>
      <c r="K56" s="90">
        <f>COUNT(AC56:BH56)</f>
        <v>12</v>
      </c>
      <c r="L56" s="30" t="s">
        <v>28</v>
      </c>
      <c r="M56" s="42"/>
      <c r="N56" s="133"/>
      <c r="O56" s="133"/>
      <c r="P56" s="133"/>
      <c r="Q56" s="133"/>
      <c r="R56" s="46"/>
      <c r="S56" s="46"/>
      <c r="T56" s="46"/>
      <c r="U56" s="46"/>
      <c r="V56" s="101"/>
      <c r="W56" s="320"/>
      <c r="X56" s="46"/>
      <c r="Y56" s="46"/>
      <c r="Z56" s="46"/>
      <c r="AA56" s="46"/>
      <c r="AB56" s="340"/>
      <c r="AC56" s="319">
        <v>1</v>
      </c>
      <c r="AD56" s="3">
        <f t="shared" si="53"/>
        <v>2</v>
      </c>
      <c r="AE56" s="3">
        <f t="shared" si="53"/>
        <v>3</v>
      </c>
      <c r="AF56" s="3">
        <f>AE56+1</f>
        <v>4</v>
      </c>
      <c r="AG56" s="3">
        <f t="shared" si="53"/>
        <v>5</v>
      </c>
      <c r="AH56" s="3">
        <f t="shared" si="53"/>
        <v>6</v>
      </c>
      <c r="AI56" s="3">
        <f t="shared" si="53"/>
        <v>7</v>
      </c>
      <c r="AJ56" s="3">
        <f t="shared" si="53"/>
        <v>8</v>
      </c>
      <c r="AK56" s="3">
        <f t="shared" si="53"/>
        <v>9</v>
      </c>
      <c r="AL56" s="280">
        <f t="shared" si="53"/>
        <v>10</v>
      </c>
      <c r="AM56" s="86">
        <f t="shared" si="53"/>
        <v>11</v>
      </c>
      <c r="AN56" s="86">
        <f t="shared" si="53"/>
        <v>12</v>
      </c>
      <c r="AO56" s="258"/>
      <c r="AP56" s="4"/>
      <c r="AQ56" s="4"/>
      <c r="AR56" s="21"/>
      <c r="AS56" s="9"/>
      <c r="AT56" s="93"/>
      <c r="AU56" s="93"/>
      <c r="AV56" s="93"/>
      <c r="AW56" s="93"/>
      <c r="AX56" s="4"/>
      <c r="AY56" s="4"/>
      <c r="AZ56" s="4"/>
      <c r="BA56" s="4"/>
      <c r="BB56" s="3"/>
      <c r="BC56" s="3"/>
      <c r="BD56" s="3"/>
      <c r="BE56" s="3"/>
      <c r="BF56" s="3"/>
      <c r="BG56" s="3"/>
      <c r="BH56" s="31"/>
      <c r="BI56" s="8"/>
      <c r="BJ56" s="86"/>
      <c r="BK56" s="86"/>
      <c r="BL56" s="86"/>
      <c r="BM56" s="86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1"/>
      <c r="BY56" s="8"/>
      <c r="BZ56" s="86"/>
      <c r="CA56" s="86"/>
      <c r="CB56" s="86"/>
      <c r="CC56" s="86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1"/>
    </row>
    <row r="57" spans="2:92" x14ac:dyDescent="0.25">
      <c r="B57" s="284"/>
      <c r="C57" s="265">
        <v>4</v>
      </c>
      <c r="D57" s="265" t="str">
        <f t="shared" si="0"/>
        <v>EMPTY_EAST_D_1_16</v>
      </c>
      <c r="E57" s="265" t="s">
        <v>0</v>
      </c>
      <c r="F57" s="34" t="s">
        <v>32</v>
      </c>
      <c r="G57" s="3" t="s">
        <v>18</v>
      </c>
      <c r="H57" s="3">
        <v>1</v>
      </c>
      <c r="I57" s="3" t="s">
        <v>47</v>
      </c>
      <c r="J57" s="90"/>
      <c r="K57" s="90">
        <f>COUNT(M57:AR57)</f>
        <v>25</v>
      </c>
      <c r="L57" s="30" t="s">
        <v>28</v>
      </c>
      <c r="M57" s="8">
        <v>1</v>
      </c>
      <c r="N57" s="86">
        <f>M57+1</f>
        <v>2</v>
      </c>
      <c r="O57" s="86">
        <f t="shared" ref="O57:Z58" si="55">N57+1</f>
        <v>3</v>
      </c>
      <c r="P57" s="86">
        <f t="shared" si="55"/>
        <v>4</v>
      </c>
      <c r="Q57" s="86">
        <f t="shared" si="55"/>
        <v>5</v>
      </c>
      <c r="R57" s="86">
        <f t="shared" si="55"/>
        <v>6</v>
      </c>
      <c r="S57" s="86">
        <f t="shared" si="55"/>
        <v>7</v>
      </c>
      <c r="T57" s="86">
        <f t="shared" si="55"/>
        <v>8</v>
      </c>
      <c r="U57" s="86">
        <f t="shared" si="55"/>
        <v>9</v>
      </c>
      <c r="V57" s="336">
        <f t="shared" si="55"/>
        <v>10</v>
      </c>
      <c r="W57" s="319">
        <f t="shared" si="55"/>
        <v>11</v>
      </c>
      <c r="X57" s="3">
        <f t="shared" si="55"/>
        <v>12</v>
      </c>
      <c r="Y57" s="3">
        <f>X57+1</f>
        <v>13</v>
      </c>
      <c r="Z57" s="3">
        <f t="shared" ref="Z57:AA57" si="56">Y57+1</f>
        <v>14</v>
      </c>
      <c r="AA57" s="3">
        <f t="shared" si="56"/>
        <v>15</v>
      </c>
      <c r="AB57" s="280">
        <f>AA57+1</f>
        <v>16</v>
      </c>
      <c r="AC57" s="319">
        <f t="shared" ref="AC57:AM58" si="57">AB57+1</f>
        <v>17</v>
      </c>
      <c r="AD57" s="3">
        <f t="shared" si="57"/>
        <v>18</v>
      </c>
      <c r="AE57" s="3">
        <f t="shared" si="57"/>
        <v>19</v>
      </c>
      <c r="AF57" s="3">
        <f t="shared" si="57"/>
        <v>20</v>
      </c>
      <c r="AG57" s="3">
        <f t="shared" si="57"/>
        <v>21</v>
      </c>
      <c r="AH57" s="3">
        <f t="shared" si="57"/>
        <v>22</v>
      </c>
      <c r="AI57" s="3">
        <f t="shared" si="57"/>
        <v>23</v>
      </c>
      <c r="AJ57" s="3">
        <f t="shared" si="57"/>
        <v>24</v>
      </c>
      <c r="AK57" s="3">
        <f t="shared" si="57"/>
        <v>25</v>
      </c>
      <c r="AL57" s="340"/>
      <c r="AM57" s="347"/>
      <c r="AN57" s="3"/>
      <c r="AO57" s="33"/>
      <c r="AP57" s="3"/>
      <c r="AQ57" s="3"/>
      <c r="AR57" s="31"/>
      <c r="AS57" s="8"/>
      <c r="AT57" s="86"/>
      <c r="AU57" s="86"/>
      <c r="AV57" s="86"/>
      <c r="AW57" s="86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1"/>
      <c r="BI57" s="8"/>
      <c r="BJ57" s="86"/>
      <c r="BK57" s="86"/>
      <c r="BL57" s="86"/>
      <c r="BM57" s="86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1"/>
      <c r="BY57" s="8"/>
      <c r="BZ57" s="86"/>
      <c r="CA57" s="86"/>
      <c r="CB57" s="86"/>
      <c r="CC57" s="86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1"/>
    </row>
    <row r="58" spans="2:92" hidden="1" x14ac:dyDescent="0.25">
      <c r="B58" s="284"/>
      <c r="C58" s="265">
        <v>5</v>
      </c>
      <c r="D58" s="265" t="str">
        <f t="shared" si="0"/>
        <v>PREPARE_EAST_D_1_16</v>
      </c>
      <c r="E58" s="265" t="s">
        <v>0</v>
      </c>
      <c r="F58" s="49" t="s">
        <v>46</v>
      </c>
      <c r="G58" s="3" t="s">
        <v>18</v>
      </c>
      <c r="H58" s="3">
        <v>1</v>
      </c>
      <c r="I58" s="3" t="s">
        <v>47</v>
      </c>
      <c r="J58" s="90"/>
      <c r="K58" s="90">
        <f>COUNT(M58:AR58)</f>
        <v>27</v>
      </c>
      <c r="L58" s="30" t="s">
        <v>28</v>
      </c>
      <c r="M58" s="8">
        <v>1</v>
      </c>
      <c r="N58" s="86">
        <f>M58+1</f>
        <v>2</v>
      </c>
      <c r="O58" s="86">
        <f t="shared" si="55"/>
        <v>3</v>
      </c>
      <c r="P58" s="86">
        <f t="shared" si="55"/>
        <v>4</v>
      </c>
      <c r="Q58" s="86">
        <f t="shared" si="55"/>
        <v>5</v>
      </c>
      <c r="R58" s="86">
        <f t="shared" si="55"/>
        <v>6</v>
      </c>
      <c r="S58" s="86">
        <f t="shared" si="55"/>
        <v>7</v>
      </c>
      <c r="T58" s="86">
        <f t="shared" si="55"/>
        <v>8</v>
      </c>
      <c r="U58" s="86">
        <f t="shared" si="55"/>
        <v>9</v>
      </c>
      <c r="V58" s="336">
        <f t="shared" si="55"/>
        <v>10</v>
      </c>
      <c r="W58" s="319">
        <f t="shared" si="55"/>
        <v>11</v>
      </c>
      <c r="X58" s="3">
        <f t="shared" si="55"/>
        <v>12</v>
      </c>
      <c r="Y58" s="3">
        <f t="shared" si="55"/>
        <v>13</v>
      </c>
      <c r="Z58" s="3">
        <f t="shared" si="55"/>
        <v>14</v>
      </c>
      <c r="AA58" s="3">
        <f>Z58+1</f>
        <v>15</v>
      </c>
      <c r="AB58" s="280">
        <f t="shared" ref="AB58:AC58" si="58">AA58+1</f>
        <v>16</v>
      </c>
      <c r="AC58" s="319">
        <f t="shared" si="58"/>
        <v>17</v>
      </c>
      <c r="AD58" s="3">
        <f>AC58+1</f>
        <v>18</v>
      </c>
      <c r="AE58" s="3">
        <f t="shared" si="57"/>
        <v>19</v>
      </c>
      <c r="AF58" s="3">
        <f t="shared" si="57"/>
        <v>20</v>
      </c>
      <c r="AG58" s="3">
        <f t="shared" si="57"/>
        <v>21</v>
      </c>
      <c r="AH58" s="3">
        <f t="shared" si="57"/>
        <v>22</v>
      </c>
      <c r="AI58" s="3">
        <f t="shared" si="57"/>
        <v>23</v>
      </c>
      <c r="AJ58" s="3">
        <f t="shared" si="57"/>
        <v>24</v>
      </c>
      <c r="AK58" s="3">
        <f t="shared" si="57"/>
        <v>25</v>
      </c>
      <c r="AL58" s="280">
        <f t="shared" si="57"/>
        <v>26</v>
      </c>
      <c r="AM58" s="86">
        <f t="shared" si="57"/>
        <v>27</v>
      </c>
      <c r="AN58" s="4"/>
      <c r="AO58" s="3"/>
      <c r="AP58" s="3"/>
      <c r="AQ58" s="3"/>
      <c r="AR58" s="31"/>
      <c r="AS58" s="8"/>
      <c r="AT58" s="86"/>
      <c r="AU58" s="86"/>
      <c r="AV58" s="86"/>
      <c r="AW58" s="86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1"/>
      <c r="BI58" s="8"/>
      <c r="BJ58" s="86"/>
      <c r="BK58" s="86"/>
      <c r="BL58" s="86"/>
      <c r="BM58" s="86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1"/>
      <c r="BY58" s="8"/>
      <c r="BZ58" s="86"/>
      <c r="CA58" s="86"/>
      <c r="CB58" s="86"/>
      <c r="CC58" s="86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1"/>
    </row>
    <row r="59" spans="2:92" hidden="1" x14ac:dyDescent="0.25">
      <c r="B59" s="284"/>
      <c r="C59" s="265">
        <v>6</v>
      </c>
      <c r="D59" s="265" t="str">
        <f t="shared" si="0"/>
        <v>COUNTDOWN_EAST_D_1_16</v>
      </c>
      <c r="E59" s="265"/>
      <c r="F59" s="34" t="s">
        <v>33</v>
      </c>
      <c r="G59" s="3" t="s">
        <v>18</v>
      </c>
      <c r="H59" s="3">
        <v>1</v>
      </c>
      <c r="I59" s="3" t="s">
        <v>47</v>
      </c>
      <c r="J59" s="32"/>
      <c r="K59" s="32"/>
      <c r="L59" s="30" t="s">
        <v>28</v>
      </c>
      <c r="M59" s="8">
        <v>10</v>
      </c>
      <c r="N59" s="86">
        <v>9</v>
      </c>
      <c r="O59" s="86">
        <v>8</v>
      </c>
      <c r="P59" s="86">
        <v>7</v>
      </c>
      <c r="Q59" s="86">
        <v>6</v>
      </c>
      <c r="R59" s="3">
        <v>5</v>
      </c>
      <c r="S59" s="3">
        <v>4</v>
      </c>
      <c r="T59" s="3">
        <v>3</v>
      </c>
      <c r="U59" s="3">
        <v>2</v>
      </c>
      <c r="V59" s="30">
        <v>1</v>
      </c>
      <c r="W59" s="319">
        <v>16</v>
      </c>
      <c r="X59" s="3">
        <v>15</v>
      </c>
      <c r="Y59" s="3">
        <v>14</v>
      </c>
      <c r="Z59" s="3">
        <v>13</v>
      </c>
      <c r="AA59" s="3">
        <v>12</v>
      </c>
      <c r="AB59" s="280">
        <v>11</v>
      </c>
      <c r="AC59" s="319">
        <v>10</v>
      </c>
      <c r="AD59" s="3">
        <v>9</v>
      </c>
      <c r="AE59" s="3">
        <v>8</v>
      </c>
      <c r="AF59" s="3">
        <v>7</v>
      </c>
      <c r="AG59" s="3">
        <v>6</v>
      </c>
      <c r="AH59" s="3">
        <v>5</v>
      </c>
      <c r="AI59" s="3">
        <v>4</v>
      </c>
      <c r="AJ59" s="3">
        <v>3</v>
      </c>
      <c r="AK59" s="3">
        <v>2</v>
      </c>
      <c r="AL59" s="280">
        <v>1</v>
      </c>
      <c r="AM59" s="86">
        <v>16</v>
      </c>
      <c r="AN59" s="3">
        <v>15</v>
      </c>
      <c r="AO59" s="3">
        <v>14</v>
      </c>
      <c r="AP59" s="3">
        <v>13</v>
      </c>
      <c r="AQ59" s="3">
        <v>12</v>
      </c>
      <c r="AR59" s="31">
        <v>11</v>
      </c>
      <c r="AS59" s="8">
        <v>10</v>
      </c>
      <c r="AT59" s="86">
        <v>9</v>
      </c>
      <c r="AU59" s="86">
        <v>8</v>
      </c>
      <c r="AV59" s="86">
        <v>7</v>
      </c>
      <c r="AW59" s="86">
        <v>6</v>
      </c>
      <c r="AX59" s="3">
        <v>5</v>
      </c>
      <c r="AY59" s="3">
        <v>4</v>
      </c>
      <c r="AZ59" s="3">
        <v>3</v>
      </c>
      <c r="BA59" s="3">
        <v>2</v>
      </c>
      <c r="BB59" s="3">
        <v>1</v>
      </c>
      <c r="BC59" s="3">
        <v>16</v>
      </c>
      <c r="BD59" s="3">
        <v>15</v>
      </c>
      <c r="BE59" s="3">
        <v>14</v>
      </c>
      <c r="BF59" s="3">
        <v>13</v>
      </c>
      <c r="BG59" s="3">
        <v>12</v>
      </c>
      <c r="BH59" s="31">
        <v>11</v>
      </c>
      <c r="BI59" s="8">
        <v>10</v>
      </c>
      <c r="BJ59" s="86">
        <v>9</v>
      </c>
      <c r="BK59" s="86">
        <v>8</v>
      </c>
      <c r="BL59" s="86">
        <v>7</v>
      </c>
      <c r="BM59" s="86">
        <v>6</v>
      </c>
      <c r="BN59" s="3">
        <v>5</v>
      </c>
      <c r="BO59" s="3">
        <v>4</v>
      </c>
      <c r="BP59" s="3">
        <v>3</v>
      </c>
      <c r="BQ59" s="3">
        <v>2</v>
      </c>
      <c r="BR59" s="3">
        <v>1</v>
      </c>
      <c r="BS59" s="3">
        <v>16</v>
      </c>
      <c r="BT59" s="3">
        <v>15</v>
      </c>
      <c r="BU59" s="3">
        <v>14</v>
      </c>
      <c r="BV59" s="3">
        <v>13</v>
      </c>
      <c r="BW59" s="3">
        <v>12</v>
      </c>
      <c r="BX59" s="31">
        <v>11</v>
      </c>
      <c r="BY59" s="8">
        <v>10</v>
      </c>
      <c r="BZ59" s="86">
        <v>9</v>
      </c>
      <c r="CA59" s="86">
        <v>8</v>
      </c>
      <c r="CB59" s="86">
        <v>7</v>
      </c>
      <c r="CC59" s="86">
        <v>6</v>
      </c>
      <c r="CD59" s="3">
        <v>5</v>
      </c>
      <c r="CE59" s="3">
        <v>4</v>
      </c>
      <c r="CF59" s="3">
        <v>3</v>
      </c>
      <c r="CG59" s="3">
        <v>2</v>
      </c>
      <c r="CH59" s="3">
        <v>1</v>
      </c>
      <c r="CI59" s="3">
        <v>16</v>
      </c>
      <c r="CJ59" s="3">
        <v>15</v>
      </c>
      <c r="CK59" s="3">
        <v>14</v>
      </c>
      <c r="CL59" s="3">
        <v>13</v>
      </c>
      <c r="CM59" s="3">
        <v>12</v>
      </c>
      <c r="CN59" s="31">
        <v>11</v>
      </c>
    </row>
    <row r="60" spans="2:92" hidden="1" x14ac:dyDescent="0.25">
      <c r="B60" s="284"/>
      <c r="C60" s="265">
        <v>1</v>
      </c>
      <c r="D60" s="265" t="str">
        <f t="shared" si="0"/>
        <v>SORTING_EAST_K_2_16</v>
      </c>
      <c r="E60" s="265" t="s">
        <v>35</v>
      </c>
      <c r="F60" s="49" t="s">
        <v>45</v>
      </c>
      <c r="G60" s="3" t="s">
        <v>18</v>
      </c>
      <c r="H60" s="3">
        <v>2</v>
      </c>
      <c r="I60" s="3" t="s">
        <v>12</v>
      </c>
      <c r="J60" s="37"/>
      <c r="K60" s="90">
        <f>COUNT(W60:AR60)</f>
        <v>14</v>
      </c>
      <c r="L60" s="30"/>
      <c r="M60" s="323"/>
      <c r="N60" s="324"/>
      <c r="O60" s="324"/>
      <c r="P60" s="324"/>
      <c r="Q60" s="324"/>
      <c r="R60" s="256"/>
      <c r="S60" s="256"/>
      <c r="T60" s="256"/>
      <c r="U60" s="256"/>
      <c r="V60" s="325"/>
      <c r="W60" s="321">
        <v>1</v>
      </c>
      <c r="X60" s="33">
        <f>W60+1</f>
        <v>2</v>
      </c>
      <c r="Y60" s="33">
        <f t="shared" ref="Y60:AO64" si="59">X60+1</f>
        <v>3</v>
      </c>
      <c r="Z60" s="33">
        <f t="shared" si="59"/>
        <v>4</v>
      </c>
      <c r="AA60" s="33">
        <f t="shared" si="59"/>
        <v>5</v>
      </c>
      <c r="AB60" s="282">
        <f t="shared" si="59"/>
        <v>6</v>
      </c>
      <c r="AC60" s="321">
        <f t="shared" si="59"/>
        <v>7</v>
      </c>
      <c r="AD60" s="33">
        <f t="shared" si="59"/>
        <v>8</v>
      </c>
      <c r="AE60" s="33">
        <f t="shared" si="59"/>
        <v>9</v>
      </c>
      <c r="AF60" s="33">
        <f t="shared" si="59"/>
        <v>10</v>
      </c>
      <c r="AG60" s="33">
        <f t="shared" si="59"/>
        <v>11</v>
      </c>
      <c r="AH60" s="33">
        <f t="shared" si="59"/>
        <v>12</v>
      </c>
      <c r="AI60" s="33">
        <f t="shared" si="59"/>
        <v>13</v>
      </c>
      <c r="AJ60" s="33">
        <f t="shared" si="59"/>
        <v>14</v>
      </c>
      <c r="AK60" s="61"/>
      <c r="AL60" s="294"/>
      <c r="AM60" s="290"/>
      <c r="AN60" s="284"/>
      <c r="AO60" s="284"/>
      <c r="AP60" s="284"/>
      <c r="AQ60" s="284"/>
      <c r="AR60" s="295"/>
      <c r="AS60" s="292"/>
      <c r="AT60" s="290"/>
      <c r="AU60" s="290"/>
      <c r="AV60" s="290"/>
      <c r="AW60" s="290"/>
      <c r="AX60" s="284"/>
      <c r="AY60" s="284"/>
      <c r="AZ60" s="284"/>
      <c r="BA60" s="284"/>
      <c r="BB60" s="284"/>
      <c r="BC60" s="284"/>
      <c r="BD60" s="284"/>
      <c r="BE60" s="284"/>
      <c r="BF60" s="284"/>
      <c r="BG60" s="284"/>
      <c r="BH60" s="295"/>
      <c r="BI60" s="8"/>
      <c r="BJ60" s="86"/>
      <c r="BK60" s="86"/>
      <c r="BL60" s="86"/>
      <c r="BM60" s="86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1"/>
      <c r="BY60" s="8"/>
      <c r="BZ60" s="86"/>
      <c r="CA60" s="86"/>
      <c r="CB60" s="86"/>
      <c r="CC60" s="86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1"/>
    </row>
    <row r="61" spans="2:92" hidden="1" x14ac:dyDescent="0.25">
      <c r="B61" s="284"/>
      <c r="C61" s="265">
        <v>2</v>
      </c>
      <c r="D61" s="265" t="str">
        <f t="shared" si="0"/>
        <v>TRANSFER_EAST_K_2_16</v>
      </c>
      <c r="E61" s="265" t="s">
        <v>21</v>
      </c>
      <c r="F61" s="49" t="s">
        <v>21</v>
      </c>
      <c r="G61" s="3" t="s">
        <v>18</v>
      </c>
      <c r="H61" s="3">
        <v>2</v>
      </c>
      <c r="I61" s="3" t="s">
        <v>12</v>
      </c>
      <c r="J61" s="37"/>
      <c r="K61" s="90">
        <f>COUNT(W61:AR61)</f>
        <v>16</v>
      </c>
      <c r="L61" s="30"/>
      <c r="M61" s="323"/>
      <c r="N61" s="324"/>
      <c r="O61" s="324"/>
      <c r="P61" s="324"/>
      <c r="Q61" s="324"/>
      <c r="R61" s="256"/>
      <c r="S61" s="256"/>
      <c r="T61" s="256"/>
      <c r="U61" s="256"/>
      <c r="V61" s="325"/>
      <c r="W61" s="328">
        <v>1</v>
      </c>
      <c r="X61" s="3">
        <f>W61+1</f>
        <v>2</v>
      </c>
      <c r="Y61" s="3">
        <f t="shared" si="59"/>
        <v>3</v>
      </c>
      <c r="Z61" s="3">
        <f t="shared" si="59"/>
        <v>4</v>
      </c>
      <c r="AA61" s="3">
        <f t="shared" si="59"/>
        <v>5</v>
      </c>
      <c r="AB61" s="280">
        <f t="shared" si="59"/>
        <v>6</v>
      </c>
      <c r="AC61" s="319">
        <f t="shared" si="59"/>
        <v>7</v>
      </c>
      <c r="AD61" s="3">
        <f t="shared" si="59"/>
        <v>8</v>
      </c>
      <c r="AE61" s="3">
        <f t="shared" si="59"/>
        <v>9</v>
      </c>
      <c r="AF61" s="3">
        <f t="shared" si="59"/>
        <v>10</v>
      </c>
      <c r="AG61" s="3">
        <f t="shared" si="59"/>
        <v>11</v>
      </c>
      <c r="AH61" s="3">
        <f t="shared" si="59"/>
        <v>12</v>
      </c>
      <c r="AI61" s="3">
        <f t="shared" si="59"/>
        <v>13</v>
      </c>
      <c r="AJ61" s="3">
        <f t="shared" si="59"/>
        <v>14</v>
      </c>
      <c r="AK61" s="3">
        <f t="shared" si="59"/>
        <v>15</v>
      </c>
      <c r="AL61" s="280">
        <f t="shared" si="59"/>
        <v>16</v>
      </c>
      <c r="AM61" s="93"/>
      <c r="AN61" s="3"/>
      <c r="AO61" s="284"/>
      <c r="AP61" s="284"/>
      <c r="AQ61" s="284"/>
      <c r="AR61" s="295"/>
      <c r="AS61" s="292"/>
      <c r="AT61" s="290"/>
      <c r="AU61" s="290"/>
      <c r="AV61" s="290"/>
      <c r="AW61" s="290"/>
      <c r="AX61" s="284"/>
      <c r="AY61" s="284"/>
      <c r="AZ61" s="284"/>
      <c r="BA61" s="284"/>
      <c r="BB61" s="284"/>
      <c r="BC61" s="284"/>
      <c r="BD61" s="284"/>
      <c r="BE61" s="284"/>
      <c r="BF61" s="284"/>
      <c r="BG61" s="284"/>
      <c r="BH61" s="295"/>
      <c r="BI61" s="8"/>
      <c r="BJ61" s="86"/>
      <c r="BK61" s="86"/>
      <c r="BL61" s="86"/>
      <c r="BM61" s="86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1"/>
      <c r="BY61" s="8"/>
      <c r="BZ61" s="86"/>
      <c r="CA61" s="86"/>
      <c r="CB61" s="86"/>
      <c r="CC61" s="86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1"/>
    </row>
    <row r="62" spans="2:92" hidden="1" x14ac:dyDescent="0.25">
      <c r="B62" s="284"/>
      <c r="C62" s="265">
        <v>3</v>
      </c>
      <c r="D62" s="265" t="str">
        <f t="shared" si="0"/>
        <v>SUPPLY_EAST_K_2_16</v>
      </c>
      <c r="E62" s="265" t="s">
        <v>0</v>
      </c>
      <c r="F62" s="34" t="s">
        <v>0</v>
      </c>
      <c r="G62" s="3" t="s">
        <v>18</v>
      </c>
      <c r="H62" s="3">
        <v>2</v>
      </c>
      <c r="I62" s="3" t="s">
        <v>12</v>
      </c>
      <c r="J62" s="90"/>
      <c r="K62" s="90">
        <f>COUNT(AC62:BH62)</f>
        <v>14</v>
      </c>
      <c r="L62" s="30"/>
      <c r="M62" s="323"/>
      <c r="N62" s="324"/>
      <c r="O62" s="324"/>
      <c r="P62" s="324"/>
      <c r="Q62" s="324"/>
      <c r="R62" s="256"/>
      <c r="S62" s="256"/>
      <c r="T62" s="256"/>
      <c r="U62" s="256"/>
      <c r="V62" s="325"/>
      <c r="W62" s="326"/>
      <c r="X62" s="256"/>
      <c r="Y62" s="256"/>
      <c r="Z62" s="256"/>
      <c r="AA62" s="256"/>
      <c r="AB62" s="341"/>
      <c r="AC62" s="319">
        <v>1</v>
      </c>
      <c r="AD62" s="3">
        <f>AC62+1</f>
        <v>2</v>
      </c>
      <c r="AE62" s="3">
        <f t="shared" si="59"/>
        <v>3</v>
      </c>
      <c r="AF62" s="3">
        <f t="shared" si="59"/>
        <v>4</v>
      </c>
      <c r="AG62" s="3">
        <f t="shared" si="59"/>
        <v>5</v>
      </c>
      <c r="AH62" s="3">
        <f t="shared" si="59"/>
        <v>6</v>
      </c>
      <c r="AI62" s="3">
        <f t="shared" si="59"/>
        <v>7</v>
      </c>
      <c r="AJ62" s="3">
        <f t="shared" si="59"/>
        <v>8</v>
      </c>
      <c r="AK62" s="3">
        <f t="shared" si="59"/>
        <v>9</v>
      </c>
      <c r="AL62" s="280">
        <f t="shared" si="59"/>
        <v>10</v>
      </c>
      <c r="AM62" s="86">
        <f t="shared" si="59"/>
        <v>11</v>
      </c>
      <c r="AN62" s="86">
        <f t="shared" si="59"/>
        <v>12</v>
      </c>
      <c r="AO62" s="86">
        <f t="shared" ref="AO62:AP62" si="60">AN62+1</f>
        <v>13</v>
      </c>
      <c r="AP62" s="86">
        <f t="shared" si="60"/>
        <v>14</v>
      </c>
      <c r="AQ62" s="4"/>
      <c r="AR62" s="21"/>
      <c r="AS62" s="9"/>
      <c r="AT62" s="93"/>
      <c r="AU62" s="93"/>
      <c r="AV62" s="93"/>
      <c r="AW62" s="93"/>
      <c r="AX62" s="4"/>
      <c r="AY62" s="4"/>
      <c r="AZ62" s="4"/>
      <c r="BA62" s="4"/>
      <c r="BB62" s="4"/>
      <c r="BC62" s="4"/>
      <c r="BD62" s="284"/>
      <c r="BE62" s="284"/>
      <c r="BF62" s="284"/>
      <c r="BG62" s="284"/>
      <c r="BH62" s="295"/>
      <c r="BI62" s="8"/>
      <c r="BJ62" s="86"/>
      <c r="BK62" s="86"/>
      <c r="BL62" s="86"/>
      <c r="BM62" s="86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1"/>
      <c r="BY62" s="8"/>
      <c r="BZ62" s="86"/>
      <c r="CA62" s="86"/>
      <c r="CB62" s="86"/>
      <c r="CC62" s="86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1"/>
    </row>
    <row r="63" spans="2:92" x14ac:dyDescent="0.25">
      <c r="B63" s="284"/>
      <c r="C63" s="265">
        <v>4</v>
      </c>
      <c r="D63" s="265" t="str">
        <f t="shared" si="0"/>
        <v>EMPTY_EAST_K_2_16</v>
      </c>
      <c r="E63" s="265" t="s">
        <v>0</v>
      </c>
      <c r="F63" s="34" t="s">
        <v>32</v>
      </c>
      <c r="G63" s="3" t="s">
        <v>18</v>
      </c>
      <c r="H63" s="3">
        <v>2</v>
      </c>
      <c r="I63" s="3" t="s">
        <v>12</v>
      </c>
      <c r="J63" s="90"/>
      <c r="K63" s="90">
        <f>COUNT(M63:AR63)</f>
        <v>27</v>
      </c>
      <c r="L63" s="30"/>
      <c r="M63" s="292">
        <v>1</v>
      </c>
      <c r="N63" s="86">
        <f>M63+1</f>
        <v>2</v>
      </c>
      <c r="O63" s="86">
        <f t="shared" ref="O63:AD64" si="61">N63+1</f>
        <v>3</v>
      </c>
      <c r="P63" s="86">
        <f t="shared" si="61"/>
        <v>4</v>
      </c>
      <c r="Q63" s="86">
        <f t="shared" si="61"/>
        <v>5</v>
      </c>
      <c r="R63" s="86">
        <f t="shared" si="61"/>
        <v>6</v>
      </c>
      <c r="S63" s="86">
        <f t="shared" si="61"/>
        <v>7</v>
      </c>
      <c r="T63" s="86">
        <f t="shared" si="61"/>
        <v>8</v>
      </c>
      <c r="U63" s="86">
        <f t="shared" si="61"/>
        <v>9</v>
      </c>
      <c r="V63" s="336">
        <f t="shared" si="61"/>
        <v>10</v>
      </c>
      <c r="W63" s="319">
        <f t="shared" si="61"/>
        <v>11</v>
      </c>
      <c r="X63" s="3">
        <f t="shared" si="61"/>
        <v>12</v>
      </c>
      <c r="Y63" s="3">
        <f t="shared" si="61"/>
        <v>13</v>
      </c>
      <c r="Z63" s="3">
        <f t="shared" si="61"/>
        <v>14</v>
      </c>
      <c r="AA63" s="3">
        <f t="shared" si="61"/>
        <v>15</v>
      </c>
      <c r="AB63" s="280">
        <f t="shared" si="61"/>
        <v>16</v>
      </c>
      <c r="AC63" s="319">
        <f t="shared" si="61"/>
        <v>17</v>
      </c>
      <c r="AD63" s="3">
        <f t="shared" si="61"/>
        <v>18</v>
      </c>
      <c r="AE63" s="3">
        <f t="shared" si="59"/>
        <v>19</v>
      </c>
      <c r="AF63" s="3">
        <f t="shared" si="59"/>
        <v>20</v>
      </c>
      <c r="AG63" s="3">
        <f t="shared" si="59"/>
        <v>21</v>
      </c>
      <c r="AH63" s="3">
        <f t="shared" si="59"/>
        <v>22</v>
      </c>
      <c r="AI63" s="3">
        <f t="shared" si="59"/>
        <v>23</v>
      </c>
      <c r="AJ63" s="3">
        <f t="shared" si="59"/>
        <v>24</v>
      </c>
      <c r="AK63" s="3">
        <f t="shared" si="59"/>
        <v>25</v>
      </c>
      <c r="AL63" s="280">
        <f t="shared" si="59"/>
        <v>26</v>
      </c>
      <c r="AM63" s="86">
        <f t="shared" si="59"/>
        <v>27</v>
      </c>
      <c r="AN63" s="324"/>
      <c r="AO63" s="258"/>
      <c r="AP63" s="284"/>
      <c r="AQ63" s="284"/>
      <c r="AR63" s="295"/>
      <c r="AS63" s="292"/>
      <c r="AT63" s="290"/>
      <c r="AU63" s="290"/>
      <c r="AV63" s="290"/>
      <c r="AW63" s="290"/>
      <c r="AX63" s="284"/>
      <c r="AY63" s="284"/>
      <c r="AZ63" s="284"/>
      <c r="BA63" s="284"/>
      <c r="BB63" s="284"/>
      <c r="BC63" s="284"/>
      <c r="BD63" s="284"/>
      <c r="BE63" s="284"/>
      <c r="BF63" s="284"/>
      <c r="BG63" s="284"/>
      <c r="BH63" s="295"/>
      <c r="BI63" s="8"/>
      <c r="BJ63" s="86"/>
      <c r="BK63" s="86"/>
      <c r="BL63" s="86"/>
      <c r="BM63" s="86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1"/>
      <c r="BY63" s="8"/>
      <c r="BZ63" s="86"/>
      <c r="CA63" s="86"/>
      <c r="CB63" s="86"/>
      <c r="CC63" s="86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1"/>
    </row>
    <row r="64" spans="2:92" hidden="1" x14ac:dyDescent="0.25">
      <c r="B64" s="284"/>
      <c r="C64" s="265">
        <v>5</v>
      </c>
      <c r="D64" s="265" t="str">
        <f t="shared" si="0"/>
        <v>PREPARE_EAST_K_2_16</v>
      </c>
      <c r="E64" s="265" t="s">
        <v>0</v>
      </c>
      <c r="F64" s="49" t="s">
        <v>46</v>
      </c>
      <c r="G64" s="3" t="s">
        <v>18</v>
      </c>
      <c r="H64" s="3">
        <v>2</v>
      </c>
      <c r="I64" s="3" t="s">
        <v>12</v>
      </c>
      <c r="J64" s="37"/>
      <c r="K64" s="90">
        <f>COUNT(M64:AR64)</f>
        <v>29</v>
      </c>
      <c r="L64" s="30"/>
      <c r="M64" s="292">
        <v>1</v>
      </c>
      <c r="N64" s="86">
        <f>M64+1</f>
        <v>2</v>
      </c>
      <c r="O64" s="86">
        <f t="shared" si="61"/>
        <v>3</v>
      </c>
      <c r="P64" s="86">
        <f t="shared" si="61"/>
        <v>4</v>
      </c>
      <c r="Q64" s="86">
        <f t="shared" si="61"/>
        <v>5</v>
      </c>
      <c r="R64" s="86">
        <f t="shared" si="61"/>
        <v>6</v>
      </c>
      <c r="S64" s="86">
        <f t="shared" si="61"/>
        <v>7</v>
      </c>
      <c r="T64" s="86">
        <f t="shared" si="61"/>
        <v>8</v>
      </c>
      <c r="U64" s="86">
        <f t="shared" si="61"/>
        <v>9</v>
      </c>
      <c r="V64" s="336">
        <f t="shared" si="61"/>
        <v>10</v>
      </c>
      <c r="W64" s="319">
        <f t="shared" si="61"/>
        <v>11</v>
      </c>
      <c r="X64" s="3">
        <f t="shared" si="61"/>
        <v>12</v>
      </c>
      <c r="Y64" s="3">
        <f t="shared" si="61"/>
        <v>13</v>
      </c>
      <c r="Z64" s="3">
        <f t="shared" si="61"/>
        <v>14</v>
      </c>
      <c r="AA64" s="3">
        <f t="shared" si="61"/>
        <v>15</v>
      </c>
      <c r="AB64" s="280">
        <f t="shared" si="61"/>
        <v>16</v>
      </c>
      <c r="AC64" s="319">
        <f t="shared" si="61"/>
        <v>17</v>
      </c>
      <c r="AD64" s="3">
        <f t="shared" si="61"/>
        <v>18</v>
      </c>
      <c r="AE64" s="3">
        <f t="shared" si="59"/>
        <v>19</v>
      </c>
      <c r="AF64" s="3">
        <f t="shared" si="59"/>
        <v>20</v>
      </c>
      <c r="AG64" s="3">
        <f t="shared" si="59"/>
        <v>21</v>
      </c>
      <c r="AH64" s="3">
        <f t="shared" si="59"/>
        <v>22</v>
      </c>
      <c r="AI64" s="3">
        <f t="shared" si="59"/>
        <v>23</v>
      </c>
      <c r="AJ64" s="3">
        <f t="shared" si="59"/>
        <v>24</v>
      </c>
      <c r="AK64" s="3">
        <f t="shared" si="59"/>
        <v>25</v>
      </c>
      <c r="AL64" s="280">
        <f t="shared" si="59"/>
        <v>26</v>
      </c>
      <c r="AM64" s="86">
        <f t="shared" si="59"/>
        <v>27</v>
      </c>
      <c r="AN64" s="86">
        <f t="shared" si="59"/>
        <v>28</v>
      </c>
      <c r="AO64" s="86">
        <f t="shared" si="59"/>
        <v>29</v>
      </c>
      <c r="AP64" s="258"/>
      <c r="AQ64" s="284"/>
      <c r="AR64" s="295"/>
      <c r="AS64" s="292"/>
      <c r="AT64" s="290"/>
      <c r="AU64" s="290"/>
      <c r="AV64" s="290"/>
      <c r="AW64" s="290"/>
      <c r="AX64" s="284"/>
      <c r="AY64" s="284"/>
      <c r="AZ64" s="284"/>
      <c r="BA64" s="284"/>
      <c r="BB64" s="284"/>
      <c r="BC64" s="284"/>
      <c r="BD64" s="284"/>
      <c r="BE64" s="284"/>
      <c r="BF64" s="284"/>
      <c r="BG64" s="284"/>
      <c r="BH64" s="295"/>
      <c r="BI64" s="8"/>
      <c r="BJ64" s="86"/>
      <c r="BK64" s="86"/>
      <c r="BL64" s="86"/>
      <c r="BM64" s="86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1"/>
      <c r="BY64" s="8"/>
      <c r="BZ64" s="86"/>
      <c r="CA64" s="86"/>
      <c r="CB64" s="86"/>
      <c r="CC64" s="86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1"/>
    </row>
    <row r="65" spans="1:92" hidden="1" x14ac:dyDescent="0.25">
      <c r="B65" s="284"/>
      <c r="C65" s="265">
        <v>6</v>
      </c>
      <c r="D65" s="265" t="str">
        <f t="shared" si="0"/>
        <v>COUNTDOWN_EAST_K_2_16</v>
      </c>
      <c r="E65" s="265"/>
      <c r="F65" s="34" t="s">
        <v>33</v>
      </c>
      <c r="G65" s="3" t="s">
        <v>18</v>
      </c>
      <c r="H65" s="3">
        <v>2</v>
      </c>
      <c r="I65" s="3" t="s">
        <v>12</v>
      </c>
      <c r="J65" s="32"/>
      <c r="K65" s="32"/>
      <c r="L65" s="30"/>
      <c r="M65" s="8"/>
      <c r="N65" s="86"/>
      <c r="O65" s="86"/>
      <c r="P65" s="86"/>
      <c r="Q65" s="86"/>
      <c r="R65" s="3"/>
      <c r="S65" s="3"/>
      <c r="T65" s="3"/>
      <c r="U65" s="3"/>
      <c r="V65" s="30"/>
      <c r="W65" s="319"/>
      <c r="X65" s="3"/>
      <c r="Y65" s="3"/>
      <c r="Z65" s="3"/>
      <c r="AA65" s="3"/>
      <c r="AB65" s="280"/>
      <c r="AC65" s="319"/>
      <c r="AD65" s="3"/>
      <c r="AE65" s="3"/>
      <c r="AF65" s="3"/>
      <c r="AG65" s="3"/>
      <c r="AH65" s="3"/>
      <c r="AI65" s="3"/>
      <c r="AJ65" s="3"/>
      <c r="AK65" s="3"/>
      <c r="AL65" s="280"/>
      <c r="AM65" s="86"/>
      <c r="AN65" s="3"/>
      <c r="AO65" s="3"/>
      <c r="AP65" s="3"/>
      <c r="AQ65" s="3"/>
      <c r="AR65" s="31"/>
      <c r="AS65" s="8"/>
      <c r="AT65" s="86"/>
      <c r="AU65" s="86"/>
      <c r="AV65" s="86"/>
      <c r="AW65" s="86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1"/>
      <c r="BI65" s="8"/>
      <c r="BJ65" s="86"/>
      <c r="BK65" s="86"/>
      <c r="BL65" s="86"/>
      <c r="BM65" s="86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1"/>
      <c r="BY65" s="8"/>
      <c r="BZ65" s="86"/>
      <c r="CA65" s="86"/>
      <c r="CB65" s="86"/>
      <c r="CC65" s="86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1"/>
    </row>
    <row r="66" spans="1:92" hidden="1" x14ac:dyDescent="0.25">
      <c r="B66" s="265">
        <v>8</v>
      </c>
      <c r="C66" s="265">
        <v>1</v>
      </c>
      <c r="D66" s="265" t="str">
        <f t="shared" si="0"/>
        <v>SORTING_WEST_H_1_16</v>
      </c>
      <c r="E66" s="265" t="s">
        <v>35</v>
      </c>
      <c r="F66" s="49" t="s">
        <v>45</v>
      </c>
      <c r="G66" s="3" t="s">
        <v>19</v>
      </c>
      <c r="H66" s="3">
        <v>1</v>
      </c>
      <c r="I66" s="3" t="s">
        <v>9</v>
      </c>
      <c r="J66" s="37"/>
      <c r="K66" s="90">
        <f>COUNT(W66:AR66)</f>
        <v>0</v>
      </c>
      <c r="L66" s="30" t="s">
        <v>28</v>
      </c>
      <c r="M66" s="323"/>
      <c r="N66" s="324"/>
      <c r="O66" s="324"/>
      <c r="P66" s="324"/>
      <c r="Q66" s="324"/>
      <c r="R66" s="256"/>
      <c r="S66" s="256"/>
      <c r="T66" s="256"/>
      <c r="U66" s="256"/>
      <c r="V66" s="325"/>
      <c r="W66" s="327"/>
      <c r="X66" s="258"/>
      <c r="Y66" s="284"/>
      <c r="Z66" s="284"/>
      <c r="AA66" s="284"/>
      <c r="AB66" s="293"/>
      <c r="AC66" s="328"/>
      <c r="AD66" s="284"/>
      <c r="AE66" s="284"/>
      <c r="AF66" s="284"/>
      <c r="AG66" s="284"/>
      <c r="AH66" s="284"/>
      <c r="AI66" s="284"/>
      <c r="AJ66" s="284"/>
      <c r="AK66" s="284"/>
      <c r="AL66" s="293"/>
      <c r="AM66" s="290"/>
      <c r="AN66" s="284"/>
      <c r="AO66" s="284"/>
      <c r="AP66" s="284"/>
      <c r="AQ66" s="284"/>
      <c r="AR66" s="295"/>
      <c r="AS66" s="292"/>
      <c r="AT66" s="290"/>
      <c r="AU66" s="290"/>
      <c r="AV66" s="290"/>
      <c r="AW66" s="290"/>
      <c r="AX66" s="284"/>
      <c r="AY66" s="284"/>
      <c r="AZ66" s="284"/>
      <c r="BA66" s="284"/>
      <c r="BB66" s="284"/>
      <c r="BC66" s="284"/>
      <c r="BD66" s="284"/>
      <c r="BE66" s="284"/>
      <c r="BF66" s="284"/>
      <c r="BG66" s="284"/>
      <c r="BH66" s="295"/>
      <c r="BI66" s="292"/>
      <c r="BJ66" s="290"/>
      <c r="BK66" s="290"/>
      <c r="BL66" s="290"/>
      <c r="BM66" s="290"/>
      <c r="BN66" s="284"/>
      <c r="BO66" s="284"/>
      <c r="BP66" s="284"/>
      <c r="BQ66" s="284"/>
      <c r="BR66" s="284"/>
      <c r="BS66" s="284"/>
      <c r="BT66" s="284"/>
      <c r="BU66" s="284"/>
      <c r="BV66" s="284"/>
      <c r="BW66" s="284"/>
      <c r="BX66" s="295"/>
      <c r="BY66" s="292"/>
      <c r="BZ66" s="290"/>
      <c r="CA66" s="290"/>
      <c r="CB66" s="290"/>
      <c r="CC66" s="290"/>
      <c r="CD66" s="284"/>
      <c r="CE66" s="284"/>
      <c r="CF66" s="284"/>
      <c r="CG66" s="284"/>
      <c r="CH66" s="284"/>
      <c r="CI66" s="284"/>
      <c r="CJ66" s="284"/>
      <c r="CK66" s="284"/>
      <c r="CL66" s="284"/>
      <c r="CM66" s="284"/>
      <c r="CN66" s="295"/>
    </row>
    <row r="67" spans="1:92" hidden="1" x14ac:dyDescent="0.25">
      <c r="B67" s="265">
        <v>8</v>
      </c>
      <c r="C67" s="265">
        <v>2</v>
      </c>
      <c r="D67" s="265" t="str">
        <f t="shared" si="0"/>
        <v>TRANSFER_WEST_H_1_16</v>
      </c>
      <c r="E67" s="265" t="s">
        <v>21</v>
      </c>
      <c r="F67" s="49" t="s">
        <v>21</v>
      </c>
      <c r="G67" s="3" t="s">
        <v>19</v>
      </c>
      <c r="H67" s="3">
        <v>1</v>
      </c>
      <c r="I67" s="3" t="s">
        <v>9</v>
      </c>
      <c r="J67" s="37"/>
      <c r="K67" s="90">
        <f>COUNT(W67:AR67)</f>
        <v>2</v>
      </c>
      <c r="L67" s="30" t="s">
        <v>28</v>
      </c>
      <c r="M67" s="323"/>
      <c r="N67" s="324"/>
      <c r="O67" s="324"/>
      <c r="P67" s="324"/>
      <c r="Q67" s="324"/>
      <c r="R67" s="256"/>
      <c r="S67" s="256"/>
      <c r="T67" s="256"/>
      <c r="U67" s="256"/>
      <c r="V67" s="325"/>
      <c r="W67" s="328">
        <v>1</v>
      </c>
      <c r="X67" s="3">
        <f>W67+1</f>
        <v>2</v>
      </c>
      <c r="Y67" s="258"/>
      <c r="Z67" s="258"/>
      <c r="AA67" s="284"/>
      <c r="AB67" s="293"/>
      <c r="AC67" s="328"/>
      <c r="AD67" s="284"/>
      <c r="AE67" s="284"/>
      <c r="AF67" s="284"/>
      <c r="AG67" s="284"/>
      <c r="AH67" s="284"/>
      <c r="AI67" s="284"/>
      <c r="AJ67" s="284"/>
      <c r="AK67" s="284"/>
      <c r="AL67" s="293"/>
      <c r="AM67" s="290"/>
      <c r="AN67" s="284"/>
      <c r="AO67" s="284"/>
      <c r="AP67" s="284"/>
      <c r="AQ67" s="284"/>
      <c r="AR67" s="295"/>
      <c r="AS67" s="292"/>
      <c r="AT67" s="290"/>
      <c r="AU67" s="290"/>
      <c r="AV67" s="290"/>
      <c r="AW67" s="290"/>
      <c r="AX67" s="284"/>
      <c r="AY67" s="284"/>
      <c r="AZ67" s="284"/>
      <c r="BA67" s="284"/>
      <c r="BB67" s="284"/>
      <c r="BC67" s="284"/>
      <c r="BD67" s="284"/>
      <c r="BE67" s="284"/>
      <c r="BF67" s="284"/>
      <c r="BG67" s="284"/>
      <c r="BH67" s="295"/>
      <c r="BI67" s="292"/>
      <c r="BJ67" s="290"/>
      <c r="BK67" s="290"/>
      <c r="BL67" s="290"/>
      <c r="BM67" s="290"/>
      <c r="BN67" s="284"/>
      <c r="BO67" s="284"/>
      <c r="BP67" s="284"/>
      <c r="BQ67" s="284"/>
      <c r="BR67" s="284"/>
      <c r="BS67" s="284"/>
      <c r="BT67" s="284"/>
      <c r="BU67" s="284"/>
      <c r="BV67" s="284"/>
      <c r="BW67" s="284"/>
      <c r="BX67" s="295"/>
      <c r="BY67" s="292"/>
      <c r="BZ67" s="290"/>
      <c r="CA67" s="290"/>
      <c r="CB67" s="290"/>
      <c r="CC67" s="290"/>
      <c r="CD67" s="284"/>
      <c r="CE67" s="284"/>
      <c r="CF67" s="284"/>
      <c r="CG67" s="284"/>
      <c r="CH67" s="284"/>
      <c r="CI67" s="284"/>
      <c r="CJ67" s="284"/>
      <c r="CK67" s="284"/>
      <c r="CL67" s="284"/>
      <c r="CM67" s="284"/>
      <c r="CN67" s="295"/>
    </row>
    <row r="68" spans="1:92" hidden="1" x14ac:dyDescent="0.25">
      <c r="B68" s="265">
        <v>8</v>
      </c>
      <c r="C68" s="265">
        <v>3</v>
      </c>
      <c r="D68" s="265" t="str">
        <f t="shared" si="0"/>
        <v>SUPPLY_WEST_H_1_16</v>
      </c>
      <c r="E68" s="265" t="s">
        <v>0</v>
      </c>
      <c r="F68" s="34" t="s">
        <v>0</v>
      </c>
      <c r="G68" s="3" t="s">
        <v>19</v>
      </c>
      <c r="H68" s="3">
        <v>1</v>
      </c>
      <c r="I68" s="3" t="s">
        <v>9</v>
      </c>
      <c r="J68" s="90"/>
      <c r="K68" s="90">
        <f>COUNT(AC68:BH68)</f>
        <v>0</v>
      </c>
      <c r="L68" s="30"/>
      <c r="M68" s="323"/>
      <c r="N68" s="324"/>
      <c r="O68" s="324"/>
      <c r="P68" s="324"/>
      <c r="Q68" s="324"/>
      <c r="R68" s="256"/>
      <c r="S68" s="256"/>
      <c r="T68" s="256"/>
      <c r="U68" s="256"/>
      <c r="V68" s="325"/>
      <c r="W68" s="326"/>
      <c r="X68" s="256"/>
      <c r="Y68" s="256"/>
      <c r="Z68" s="256"/>
      <c r="AA68" s="256"/>
      <c r="AB68" s="341"/>
      <c r="AC68" s="327"/>
      <c r="AD68" s="258"/>
      <c r="AE68" s="258"/>
      <c r="AF68" s="258"/>
      <c r="AG68" s="258"/>
      <c r="AH68" s="258"/>
      <c r="AI68" s="258"/>
      <c r="AJ68" s="258"/>
      <c r="AK68" s="258"/>
      <c r="AL68" s="300"/>
      <c r="AM68" s="299"/>
      <c r="AN68" s="258"/>
      <c r="AO68" s="284"/>
      <c r="AP68" s="284"/>
      <c r="AQ68" s="284"/>
      <c r="AR68" s="284"/>
      <c r="AS68" s="284"/>
      <c r="AT68" s="297"/>
      <c r="AU68" s="297"/>
      <c r="AV68" s="297"/>
      <c r="AW68" s="297"/>
      <c r="AX68" s="284"/>
      <c r="AY68" s="284"/>
      <c r="AZ68" s="284"/>
      <c r="BA68" s="284"/>
      <c r="BB68" s="284"/>
      <c r="BC68" s="284"/>
      <c r="BD68" s="284"/>
      <c r="BE68" s="284"/>
      <c r="BF68" s="284"/>
      <c r="BG68" s="284"/>
      <c r="BH68" s="295"/>
      <c r="BI68" s="296"/>
      <c r="BJ68" s="297"/>
      <c r="BK68" s="297"/>
      <c r="BL68" s="297"/>
      <c r="BM68" s="297"/>
      <c r="BN68" s="284"/>
      <c r="BO68" s="284"/>
      <c r="BP68" s="284"/>
      <c r="BQ68" s="284"/>
      <c r="BR68" s="284"/>
      <c r="BS68" s="284"/>
      <c r="BT68" s="284"/>
      <c r="BU68" s="284"/>
      <c r="BV68" s="284"/>
      <c r="BW68" s="284"/>
      <c r="BX68" s="295"/>
      <c r="BY68" s="292"/>
      <c r="BZ68" s="290"/>
      <c r="CA68" s="290"/>
      <c r="CB68" s="290"/>
      <c r="CC68" s="290"/>
      <c r="CD68" s="284"/>
      <c r="CE68" s="284"/>
      <c r="CF68" s="284"/>
      <c r="CG68" s="284"/>
      <c r="CH68" s="284"/>
      <c r="CI68" s="284"/>
      <c r="CJ68" s="284"/>
      <c r="CK68" s="284"/>
      <c r="CL68" s="284"/>
      <c r="CM68" s="284"/>
      <c r="CN68" s="295"/>
    </row>
    <row r="69" spans="1:92" x14ac:dyDescent="0.25">
      <c r="B69" s="265">
        <f>B68</f>
        <v>8</v>
      </c>
      <c r="C69" s="265">
        <v>4</v>
      </c>
      <c r="D69" s="265" t="str">
        <f t="shared" si="0"/>
        <v>EMPTY_WEST_H_1_16</v>
      </c>
      <c r="E69" s="265" t="s">
        <v>0</v>
      </c>
      <c r="F69" s="34" t="s">
        <v>32</v>
      </c>
      <c r="G69" s="3" t="s">
        <v>19</v>
      </c>
      <c r="H69" s="3">
        <v>1</v>
      </c>
      <c r="I69" s="3" t="s">
        <v>9</v>
      </c>
      <c r="J69" s="90"/>
      <c r="K69" s="90">
        <f>COUNT(M69:AR69)</f>
        <v>12</v>
      </c>
      <c r="L69" s="30"/>
      <c r="M69" s="292">
        <v>1</v>
      </c>
      <c r="N69" s="86">
        <f>M69+1</f>
        <v>2</v>
      </c>
      <c r="O69" s="86">
        <f t="shared" ref="O69:Z70" si="62">N69+1</f>
        <v>3</v>
      </c>
      <c r="P69" s="86">
        <f t="shared" si="62"/>
        <v>4</v>
      </c>
      <c r="Q69" s="86">
        <f t="shared" si="62"/>
        <v>5</v>
      </c>
      <c r="R69" s="86">
        <f t="shared" si="62"/>
        <v>6</v>
      </c>
      <c r="S69" s="86">
        <f t="shared" si="62"/>
        <v>7</v>
      </c>
      <c r="T69" s="86">
        <f t="shared" si="62"/>
        <v>8</v>
      </c>
      <c r="U69" s="86">
        <f t="shared" si="62"/>
        <v>9</v>
      </c>
      <c r="V69" s="336">
        <f t="shared" si="62"/>
        <v>10</v>
      </c>
      <c r="W69" s="319">
        <f t="shared" si="62"/>
        <v>11</v>
      </c>
      <c r="X69" s="3">
        <f t="shared" si="62"/>
        <v>12</v>
      </c>
      <c r="Y69" s="256"/>
      <c r="Z69" s="258"/>
      <c r="AA69" s="284"/>
      <c r="AB69" s="293"/>
      <c r="AC69" s="328"/>
      <c r="AD69" s="284"/>
      <c r="AE69" s="284"/>
      <c r="AF69" s="284"/>
      <c r="AG69" s="284"/>
      <c r="AH69" s="284"/>
      <c r="AI69" s="284"/>
      <c r="AJ69" s="284"/>
      <c r="AK69" s="284"/>
      <c r="AL69" s="293"/>
      <c r="AM69" s="290"/>
      <c r="AN69" s="284"/>
      <c r="AO69" s="284"/>
      <c r="AP69" s="284"/>
      <c r="AQ69" s="284"/>
      <c r="AR69" s="295"/>
      <c r="AS69" s="292"/>
      <c r="AT69" s="290"/>
      <c r="AU69" s="290"/>
      <c r="AV69" s="290"/>
      <c r="AW69" s="290"/>
      <c r="AX69" s="284"/>
      <c r="AY69" s="284"/>
      <c r="AZ69" s="284"/>
      <c r="BA69" s="284"/>
      <c r="BB69" s="284"/>
      <c r="BC69" s="284"/>
      <c r="BD69" s="284"/>
      <c r="BE69" s="284"/>
      <c r="BF69" s="284"/>
      <c r="BG69" s="284"/>
      <c r="BH69" s="295"/>
      <c r="BI69" s="292"/>
      <c r="BJ69" s="290"/>
      <c r="BK69" s="290"/>
      <c r="BL69" s="290"/>
      <c r="BM69" s="290"/>
      <c r="BN69" s="284"/>
      <c r="BO69" s="284"/>
      <c r="BP69" s="284"/>
      <c r="BQ69" s="284"/>
      <c r="BR69" s="284"/>
      <c r="BS69" s="284"/>
      <c r="BT69" s="284"/>
      <c r="BU69" s="284"/>
      <c r="BV69" s="284"/>
      <c r="BW69" s="284"/>
      <c r="BX69" s="295"/>
      <c r="BY69" s="292"/>
      <c r="BZ69" s="290"/>
      <c r="CA69" s="290"/>
      <c r="CB69" s="290"/>
      <c r="CC69" s="290"/>
      <c r="CD69" s="284"/>
      <c r="CE69" s="284"/>
      <c r="CF69" s="284"/>
      <c r="CG69" s="284"/>
      <c r="CH69" s="284"/>
      <c r="CI69" s="284"/>
      <c r="CJ69" s="284"/>
      <c r="CK69" s="284"/>
      <c r="CL69" s="284"/>
      <c r="CM69" s="284"/>
      <c r="CN69" s="295"/>
    </row>
    <row r="70" spans="1:92" hidden="1" x14ac:dyDescent="0.25">
      <c r="B70" s="265">
        <v>8</v>
      </c>
      <c r="C70" s="265">
        <v>5</v>
      </c>
      <c r="D70" s="265" t="str">
        <f t="shared" si="0"/>
        <v>PREPARE_WEST_H_1_16</v>
      </c>
      <c r="E70" s="265" t="s">
        <v>0</v>
      </c>
      <c r="F70" s="49" t="s">
        <v>46</v>
      </c>
      <c r="G70" s="3" t="s">
        <v>19</v>
      </c>
      <c r="H70" s="3">
        <v>1</v>
      </c>
      <c r="I70" s="3" t="s">
        <v>9</v>
      </c>
      <c r="J70" s="37"/>
      <c r="K70" s="90">
        <f>COUNT(M70:AR70)</f>
        <v>14</v>
      </c>
      <c r="L70" s="30"/>
      <c r="M70" s="292">
        <v>1</v>
      </c>
      <c r="N70" s="86">
        <f>M70+1</f>
        <v>2</v>
      </c>
      <c r="O70" s="86">
        <f t="shared" si="62"/>
        <v>3</v>
      </c>
      <c r="P70" s="86">
        <f t="shared" si="62"/>
        <v>4</v>
      </c>
      <c r="Q70" s="86">
        <f t="shared" si="62"/>
        <v>5</v>
      </c>
      <c r="R70" s="86">
        <f t="shared" si="62"/>
        <v>6</v>
      </c>
      <c r="S70" s="86">
        <f t="shared" si="62"/>
        <v>7</v>
      </c>
      <c r="T70" s="86">
        <f t="shared" si="62"/>
        <v>8</v>
      </c>
      <c r="U70" s="86">
        <f t="shared" si="62"/>
        <v>9</v>
      </c>
      <c r="V70" s="336">
        <f t="shared" si="62"/>
        <v>10</v>
      </c>
      <c r="W70" s="319">
        <f t="shared" si="62"/>
        <v>11</v>
      </c>
      <c r="X70" s="3">
        <f t="shared" si="62"/>
        <v>12</v>
      </c>
      <c r="Y70" s="3">
        <f t="shared" si="62"/>
        <v>13</v>
      </c>
      <c r="Z70" s="3">
        <f t="shared" si="62"/>
        <v>14</v>
      </c>
      <c r="AA70" s="258"/>
      <c r="AB70" s="300"/>
      <c r="AC70" s="328"/>
      <c r="AD70" s="284"/>
      <c r="AE70" s="284"/>
      <c r="AF70" s="284"/>
      <c r="AG70" s="284"/>
      <c r="AH70" s="284"/>
      <c r="AI70" s="284"/>
      <c r="AJ70" s="284"/>
      <c r="AK70" s="284"/>
      <c r="AL70" s="293"/>
      <c r="AM70" s="290"/>
      <c r="AN70" s="284"/>
      <c r="AO70" s="284"/>
      <c r="AP70" s="284"/>
      <c r="AQ70" s="284"/>
      <c r="AR70" s="295"/>
      <c r="AS70" s="292"/>
      <c r="AT70" s="290"/>
      <c r="AU70" s="290"/>
      <c r="AV70" s="290"/>
      <c r="AW70" s="290"/>
      <c r="AX70" s="284"/>
      <c r="AY70" s="284"/>
      <c r="AZ70" s="284"/>
      <c r="BA70" s="284"/>
      <c r="BB70" s="284"/>
      <c r="BC70" s="284"/>
      <c r="BD70" s="284"/>
      <c r="BE70" s="284"/>
      <c r="BF70" s="284"/>
      <c r="BG70" s="284"/>
      <c r="BH70" s="295"/>
      <c r="BI70" s="292"/>
      <c r="BJ70" s="290"/>
      <c r="BK70" s="290"/>
      <c r="BL70" s="290"/>
      <c r="BM70" s="290"/>
      <c r="BN70" s="284"/>
      <c r="BO70" s="284"/>
      <c r="BP70" s="284"/>
      <c r="BQ70" s="284"/>
      <c r="BR70" s="284"/>
      <c r="BS70" s="284"/>
      <c r="BT70" s="284"/>
      <c r="BU70" s="284"/>
      <c r="BV70" s="284"/>
      <c r="BW70" s="284"/>
      <c r="BX70" s="295"/>
      <c r="BY70" s="292"/>
      <c r="BZ70" s="290"/>
      <c r="CA70" s="290"/>
      <c r="CB70" s="290"/>
      <c r="CC70" s="290"/>
      <c r="CD70" s="284"/>
      <c r="CE70" s="284"/>
      <c r="CF70" s="284"/>
      <c r="CG70" s="284"/>
      <c r="CH70" s="284"/>
      <c r="CI70" s="284"/>
      <c r="CJ70" s="284"/>
      <c r="CK70" s="284"/>
      <c r="CL70" s="284"/>
      <c r="CM70" s="284"/>
      <c r="CN70" s="295"/>
    </row>
    <row r="71" spans="1:92" hidden="1" x14ac:dyDescent="0.25">
      <c r="B71" s="265">
        <f>B69</f>
        <v>8</v>
      </c>
      <c r="C71" s="265">
        <v>6</v>
      </c>
      <c r="D71" s="265" t="str">
        <f t="shared" si="0"/>
        <v>COUNTDOWN_WEST_H_1_16</v>
      </c>
      <c r="E71" s="265"/>
      <c r="F71" s="34" t="s">
        <v>33</v>
      </c>
      <c r="G71" s="3" t="s">
        <v>19</v>
      </c>
      <c r="H71" s="3">
        <v>1</v>
      </c>
      <c r="I71" s="3" t="s">
        <v>9</v>
      </c>
      <c r="J71" s="32"/>
      <c r="K71" s="32"/>
      <c r="L71" s="30" t="s">
        <v>28</v>
      </c>
      <c r="M71" s="292">
        <v>16</v>
      </c>
      <c r="N71" s="290">
        <v>15</v>
      </c>
      <c r="O71" s="290">
        <v>14</v>
      </c>
      <c r="P71" s="290">
        <v>13</v>
      </c>
      <c r="Q71" s="290">
        <v>12</v>
      </c>
      <c r="R71" s="284">
        <v>11</v>
      </c>
      <c r="S71" s="284">
        <v>10</v>
      </c>
      <c r="T71" s="284">
        <v>9</v>
      </c>
      <c r="U71" s="284">
        <v>8</v>
      </c>
      <c r="V71" s="298">
        <v>7</v>
      </c>
      <c r="W71" s="328">
        <v>6</v>
      </c>
      <c r="X71" s="284">
        <v>5</v>
      </c>
      <c r="Y71" s="284">
        <v>4</v>
      </c>
      <c r="Z71" s="284">
        <v>3</v>
      </c>
      <c r="AA71" s="284">
        <v>2</v>
      </c>
      <c r="AB71" s="293">
        <v>1</v>
      </c>
      <c r="AC71" s="328">
        <v>16</v>
      </c>
      <c r="AD71" s="284">
        <v>15</v>
      </c>
      <c r="AE71" s="284">
        <v>14</v>
      </c>
      <c r="AF71" s="284">
        <v>13</v>
      </c>
      <c r="AG71" s="284">
        <v>12</v>
      </c>
      <c r="AH71" s="284">
        <v>11</v>
      </c>
      <c r="AI71" s="284">
        <v>10</v>
      </c>
      <c r="AJ71" s="284">
        <v>9</v>
      </c>
      <c r="AK71" s="284">
        <v>8</v>
      </c>
      <c r="AL71" s="293">
        <v>7</v>
      </c>
      <c r="AM71" s="290">
        <v>6</v>
      </c>
      <c r="AN71" s="284">
        <v>5</v>
      </c>
      <c r="AO71" s="284">
        <v>4</v>
      </c>
      <c r="AP71" s="284">
        <v>3</v>
      </c>
      <c r="AQ71" s="284">
        <v>2</v>
      </c>
      <c r="AR71" s="295">
        <v>1</v>
      </c>
      <c r="AS71" s="296">
        <v>16</v>
      </c>
      <c r="AT71" s="297">
        <v>15</v>
      </c>
      <c r="AU71" s="297">
        <v>14</v>
      </c>
      <c r="AV71" s="297">
        <v>13</v>
      </c>
      <c r="AW71" s="297">
        <v>12</v>
      </c>
      <c r="AX71" s="284">
        <v>11</v>
      </c>
      <c r="AY71" s="284">
        <v>10</v>
      </c>
      <c r="AZ71" s="284">
        <v>9</v>
      </c>
      <c r="BA71" s="284">
        <v>8</v>
      </c>
      <c r="BB71" s="284">
        <v>7</v>
      </c>
      <c r="BC71" s="284">
        <v>6</v>
      </c>
      <c r="BD71" s="284">
        <v>5</v>
      </c>
      <c r="BE71" s="284">
        <v>4</v>
      </c>
      <c r="BF71" s="284">
        <v>3</v>
      </c>
      <c r="BG71" s="284">
        <v>2</v>
      </c>
      <c r="BH71" s="295">
        <v>1</v>
      </c>
      <c r="BI71" s="296">
        <v>16</v>
      </c>
      <c r="BJ71" s="297">
        <v>15</v>
      </c>
      <c r="BK71" s="297">
        <v>14</v>
      </c>
      <c r="BL71" s="297">
        <v>13</v>
      </c>
      <c r="BM71" s="297">
        <v>12</v>
      </c>
      <c r="BN71" s="284">
        <v>11</v>
      </c>
      <c r="BO71" s="284">
        <v>10</v>
      </c>
      <c r="BP71" s="284">
        <v>9</v>
      </c>
      <c r="BQ71" s="284">
        <v>8</v>
      </c>
      <c r="BR71" s="284">
        <v>7</v>
      </c>
      <c r="BS71" s="284">
        <v>6</v>
      </c>
      <c r="BT71" s="284">
        <v>5</v>
      </c>
      <c r="BU71" s="284">
        <v>4</v>
      </c>
      <c r="BV71" s="284">
        <v>3</v>
      </c>
      <c r="BW71" s="284">
        <v>2</v>
      </c>
      <c r="BX71" s="295">
        <v>1</v>
      </c>
      <c r="BY71" s="292">
        <v>16</v>
      </c>
      <c r="BZ71" s="290">
        <v>15</v>
      </c>
      <c r="CA71" s="290">
        <v>14</v>
      </c>
      <c r="CB71" s="290">
        <v>13</v>
      </c>
      <c r="CC71" s="290">
        <v>12</v>
      </c>
      <c r="CD71" s="284">
        <v>11</v>
      </c>
      <c r="CE71" s="284">
        <v>10</v>
      </c>
      <c r="CF71" s="284">
        <v>9</v>
      </c>
      <c r="CG71" s="284">
        <v>8</v>
      </c>
      <c r="CH71" s="284">
        <v>7</v>
      </c>
      <c r="CI71" s="284">
        <v>6</v>
      </c>
      <c r="CJ71" s="284">
        <v>5</v>
      </c>
      <c r="CK71" s="284">
        <v>4</v>
      </c>
      <c r="CL71" s="284">
        <v>3</v>
      </c>
      <c r="CM71" s="284">
        <v>2</v>
      </c>
      <c r="CN71" s="295">
        <v>1</v>
      </c>
    </row>
    <row r="72" spans="1:92" hidden="1" x14ac:dyDescent="0.25">
      <c r="B72" s="265">
        <v>9</v>
      </c>
      <c r="C72" s="265">
        <v>1</v>
      </c>
      <c r="D72" s="265" t="str">
        <f t="shared" si="0"/>
        <v>SORTING_WEST_P_2_16</v>
      </c>
      <c r="E72" s="265" t="s">
        <v>35</v>
      </c>
      <c r="F72" s="49" t="s">
        <v>45</v>
      </c>
      <c r="G72" s="3" t="s">
        <v>19</v>
      </c>
      <c r="H72" s="3">
        <v>2</v>
      </c>
      <c r="I72" s="3" t="s">
        <v>41</v>
      </c>
      <c r="J72" s="37"/>
      <c r="K72" s="90">
        <f>COUNT(W72:AR72)</f>
        <v>2</v>
      </c>
      <c r="L72" s="30"/>
      <c r="M72" s="323"/>
      <c r="N72" s="324"/>
      <c r="O72" s="324"/>
      <c r="P72" s="324"/>
      <c r="Q72" s="324"/>
      <c r="R72" s="256"/>
      <c r="S72" s="256"/>
      <c r="T72" s="256"/>
      <c r="U72" s="256"/>
      <c r="V72" s="325"/>
      <c r="W72" s="328">
        <v>1</v>
      </c>
      <c r="X72" s="33">
        <f>W72+1</f>
        <v>2</v>
      </c>
      <c r="Y72" s="258"/>
      <c r="Z72" s="258"/>
      <c r="AA72" s="284"/>
      <c r="AB72" s="293"/>
      <c r="AC72" s="328"/>
      <c r="AD72" s="284"/>
      <c r="AE72" s="284"/>
      <c r="AF72" s="284"/>
      <c r="AG72" s="284"/>
      <c r="AH72" s="284"/>
      <c r="AI72" s="284"/>
      <c r="AJ72" s="284"/>
      <c r="AK72" s="284"/>
      <c r="AL72" s="293"/>
      <c r="AM72" s="290"/>
      <c r="AN72" s="284"/>
      <c r="AO72" s="284"/>
      <c r="AP72" s="284"/>
      <c r="AQ72" s="284"/>
      <c r="AR72" s="295"/>
      <c r="AS72" s="292"/>
      <c r="AT72" s="290"/>
      <c r="AU72" s="290"/>
      <c r="AV72" s="290"/>
      <c r="AW72" s="290"/>
      <c r="AX72" s="284"/>
      <c r="AY72" s="284"/>
      <c r="AZ72" s="284"/>
      <c r="BA72" s="284"/>
      <c r="BB72" s="284"/>
      <c r="BC72" s="284"/>
      <c r="BD72" s="284"/>
      <c r="BE72" s="284"/>
      <c r="BF72" s="284"/>
      <c r="BG72" s="284"/>
      <c r="BH72" s="295"/>
      <c r="BI72" s="292"/>
      <c r="BJ72" s="290"/>
      <c r="BK72" s="290"/>
      <c r="BL72" s="290"/>
      <c r="BM72" s="290"/>
      <c r="BN72" s="284"/>
      <c r="BO72" s="284"/>
      <c r="BP72" s="284"/>
      <c r="BQ72" s="284"/>
      <c r="BR72" s="284"/>
      <c r="BS72" s="284"/>
      <c r="BT72" s="284"/>
      <c r="BU72" s="284"/>
      <c r="BV72" s="284"/>
      <c r="BW72" s="284"/>
      <c r="BX72" s="295"/>
      <c r="BY72" s="292"/>
      <c r="BZ72" s="290"/>
      <c r="CA72" s="290"/>
      <c r="CB72" s="290"/>
      <c r="CC72" s="290"/>
      <c r="CD72" s="284"/>
      <c r="CE72" s="284"/>
      <c r="CF72" s="284"/>
      <c r="CG72" s="284"/>
      <c r="CH72" s="284"/>
      <c r="CI72" s="284"/>
      <c r="CJ72" s="284"/>
      <c r="CK72" s="284"/>
      <c r="CL72" s="284"/>
      <c r="CM72" s="284"/>
      <c r="CN72" s="295"/>
    </row>
    <row r="73" spans="1:92" hidden="1" x14ac:dyDescent="0.25">
      <c r="B73" s="265">
        <v>9</v>
      </c>
      <c r="C73" s="265">
        <v>2</v>
      </c>
      <c r="D73" s="265" t="str">
        <f t="shared" si="0"/>
        <v>TRANSFER_WEST_P_2_16</v>
      </c>
      <c r="E73" s="265" t="s">
        <v>21</v>
      </c>
      <c r="F73" s="49" t="s">
        <v>21</v>
      </c>
      <c r="G73" s="3" t="s">
        <v>19</v>
      </c>
      <c r="H73" s="3">
        <v>2</v>
      </c>
      <c r="I73" s="3" t="s">
        <v>41</v>
      </c>
      <c r="J73" s="37"/>
      <c r="K73" s="90">
        <f>COUNT(W73:AR73)</f>
        <v>4</v>
      </c>
      <c r="L73" s="30"/>
      <c r="M73" s="323"/>
      <c r="N73" s="324"/>
      <c r="O73" s="324"/>
      <c r="P73" s="324"/>
      <c r="Q73" s="324"/>
      <c r="R73" s="256"/>
      <c r="S73" s="256"/>
      <c r="T73" s="256"/>
      <c r="U73" s="256"/>
      <c r="V73" s="325"/>
      <c r="W73" s="328">
        <v>1</v>
      </c>
      <c r="X73" s="3">
        <f>W73+1</f>
        <v>2</v>
      </c>
      <c r="Y73" s="3">
        <f t="shared" ref="Y73:Z73" si="63">X73+1</f>
        <v>3</v>
      </c>
      <c r="Z73" s="3">
        <f t="shared" si="63"/>
        <v>4</v>
      </c>
      <c r="AA73" s="258"/>
      <c r="AB73" s="300"/>
      <c r="AC73" s="328"/>
      <c r="AD73" s="284"/>
      <c r="AE73" s="284"/>
      <c r="AF73" s="284"/>
      <c r="AG73" s="284"/>
      <c r="AH73" s="284"/>
      <c r="AI73" s="284"/>
      <c r="AJ73" s="284"/>
      <c r="AK73" s="284"/>
      <c r="AL73" s="293"/>
      <c r="AM73" s="290"/>
      <c r="AN73" s="284"/>
      <c r="AO73" s="284"/>
      <c r="AP73" s="284"/>
      <c r="AQ73" s="284"/>
      <c r="AR73" s="295"/>
      <c r="AS73" s="292"/>
      <c r="AT73" s="290"/>
      <c r="AU73" s="290"/>
      <c r="AV73" s="290"/>
      <c r="AW73" s="290"/>
      <c r="AX73" s="284"/>
      <c r="AY73" s="284"/>
      <c r="AZ73" s="284"/>
      <c r="BA73" s="284"/>
      <c r="BB73" s="284"/>
      <c r="BC73" s="284"/>
      <c r="BD73" s="284"/>
      <c r="BE73" s="284"/>
      <c r="BF73" s="284"/>
      <c r="BG73" s="284"/>
      <c r="BH73" s="295"/>
      <c r="BI73" s="292"/>
      <c r="BJ73" s="290"/>
      <c r="BK73" s="290"/>
      <c r="BL73" s="290"/>
      <c r="BM73" s="290"/>
      <c r="BN73" s="284"/>
      <c r="BO73" s="284"/>
      <c r="BP73" s="284"/>
      <c r="BQ73" s="284"/>
      <c r="BR73" s="284"/>
      <c r="BS73" s="284"/>
      <c r="BT73" s="284"/>
      <c r="BU73" s="284"/>
      <c r="BV73" s="284"/>
      <c r="BW73" s="284"/>
      <c r="BX73" s="295"/>
      <c r="BY73" s="292"/>
      <c r="BZ73" s="290"/>
      <c r="CA73" s="290"/>
      <c r="CB73" s="290"/>
      <c r="CC73" s="290"/>
      <c r="CD73" s="284"/>
      <c r="CE73" s="284"/>
      <c r="CF73" s="284"/>
      <c r="CG73" s="284"/>
      <c r="CH73" s="284"/>
      <c r="CI73" s="284"/>
      <c r="CJ73" s="284"/>
      <c r="CK73" s="284"/>
      <c r="CL73" s="284"/>
      <c r="CM73" s="284"/>
      <c r="CN73" s="295"/>
    </row>
    <row r="74" spans="1:92" hidden="1" x14ac:dyDescent="0.25">
      <c r="B74" s="265">
        <v>9</v>
      </c>
      <c r="C74" s="265">
        <v>3</v>
      </c>
      <c r="D74" s="265" t="str">
        <f t="shared" si="0"/>
        <v>SUPPLY_WEST_P_2_16</v>
      </c>
      <c r="E74" s="265" t="s">
        <v>0</v>
      </c>
      <c r="F74" s="34" t="s">
        <v>0</v>
      </c>
      <c r="G74" s="3" t="s">
        <v>19</v>
      </c>
      <c r="H74" s="3">
        <v>2</v>
      </c>
      <c r="I74" s="3" t="s">
        <v>41</v>
      </c>
      <c r="J74" s="90"/>
      <c r="K74" s="90">
        <f>COUNT(AC74:BH74)</f>
        <v>2</v>
      </c>
      <c r="L74" s="30"/>
      <c r="M74" s="323"/>
      <c r="N74" s="324"/>
      <c r="O74" s="324"/>
      <c r="P74" s="324"/>
      <c r="Q74" s="324"/>
      <c r="R74" s="256"/>
      <c r="S74" s="256"/>
      <c r="T74" s="256"/>
      <c r="U74" s="256"/>
      <c r="V74" s="325"/>
      <c r="W74" s="326"/>
      <c r="X74" s="256"/>
      <c r="Y74" s="256"/>
      <c r="Z74" s="256"/>
      <c r="AA74" s="256"/>
      <c r="AB74" s="341"/>
      <c r="AC74" s="328">
        <v>1</v>
      </c>
      <c r="AD74" s="3">
        <f>AC74+1</f>
        <v>2</v>
      </c>
      <c r="AE74" s="258"/>
      <c r="AF74" s="258"/>
      <c r="AG74" s="258"/>
      <c r="AH74" s="258"/>
      <c r="AI74" s="258"/>
      <c r="AJ74" s="258"/>
      <c r="AK74" s="258"/>
      <c r="AL74" s="300"/>
      <c r="AM74" s="299"/>
      <c r="AN74" s="258"/>
      <c r="AO74" s="258"/>
      <c r="AP74" s="258"/>
      <c r="AQ74" s="284"/>
      <c r="AR74" s="284"/>
      <c r="AS74" s="284"/>
      <c r="AT74" s="290"/>
      <c r="AU74" s="284"/>
      <c r="AV74" s="284"/>
      <c r="AW74" s="284"/>
      <c r="AX74" s="284"/>
      <c r="AY74" s="284"/>
      <c r="AZ74" s="284"/>
      <c r="BA74" s="284"/>
      <c r="BB74" s="284"/>
      <c r="BC74" s="284"/>
      <c r="BD74" s="284"/>
      <c r="BE74" s="284"/>
      <c r="BF74" s="284"/>
      <c r="BG74" s="284"/>
      <c r="BH74" s="295"/>
      <c r="BI74" s="296"/>
      <c r="BJ74" s="297"/>
      <c r="BK74" s="297"/>
      <c r="BL74" s="297"/>
      <c r="BM74" s="297"/>
      <c r="BN74" s="284"/>
      <c r="BO74" s="284"/>
      <c r="BQ74" s="284"/>
      <c r="BR74" s="284"/>
      <c r="BS74" s="284"/>
      <c r="BT74" s="284"/>
      <c r="BU74" s="284"/>
      <c r="BV74" s="284"/>
      <c r="BW74" s="284"/>
      <c r="BX74" s="295"/>
      <c r="BY74" s="292"/>
      <c r="BZ74" s="290"/>
      <c r="CA74" s="290"/>
      <c r="CB74" s="290"/>
      <c r="CC74" s="290"/>
      <c r="CD74" s="284"/>
      <c r="CE74" s="284"/>
      <c r="CG74" s="284"/>
      <c r="CH74" s="284"/>
      <c r="CI74" s="284"/>
      <c r="CJ74" s="284"/>
      <c r="CK74" s="284"/>
      <c r="CL74" s="284"/>
      <c r="CM74" s="284"/>
      <c r="CN74" s="295"/>
    </row>
    <row r="75" spans="1:92" x14ac:dyDescent="0.25">
      <c r="B75" s="265">
        <f>B74</f>
        <v>9</v>
      </c>
      <c r="C75" s="265">
        <v>4</v>
      </c>
      <c r="D75" s="265" t="str">
        <f t="shared" si="0"/>
        <v>EMPTY_WEST_P_2_16</v>
      </c>
      <c r="E75" s="265" t="s">
        <v>0</v>
      </c>
      <c r="F75" s="34" t="s">
        <v>32</v>
      </c>
      <c r="G75" s="3" t="s">
        <v>19</v>
      </c>
      <c r="H75" s="3">
        <v>2</v>
      </c>
      <c r="I75" s="3" t="s">
        <v>41</v>
      </c>
      <c r="J75" s="90"/>
      <c r="K75" s="90">
        <f>COUNT(M75:AR75)</f>
        <v>14</v>
      </c>
      <c r="L75" s="30"/>
      <c r="M75" s="292">
        <v>1</v>
      </c>
      <c r="N75" s="86">
        <f>M75+1</f>
        <v>2</v>
      </c>
      <c r="O75" s="86">
        <f t="shared" ref="O75:AB76" si="64">N75+1</f>
        <v>3</v>
      </c>
      <c r="P75" s="86">
        <f t="shared" si="64"/>
        <v>4</v>
      </c>
      <c r="Q75" s="86">
        <f t="shared" si="64"/>
        <v>5</v>
      </c>
      <c r="R75" s="86">
        <f t="shared" si="64"/>
        <v>6</v>
      </c>
      <c r="S75" s="86">
        <f t="shared" si="64"/>
        <v>7</v>
      </c>
      <c r="T75" s="86">
        <f t="shared" si="64"/>
        <v>8</v>
      </c>
      <c r="U75" s="86">
        <f t="shared" si="64"/>
        <v>9</v>
      </c>
      <c r="V75" s="336">
        <f t="shared" si="64"/>
        <v>10</v>
      </c>
      <c r="W75" s="319">
        <f t="shared" si="64"/>
        <v>11</v>
      </c>
      <c r="X75" s="3">
        <f t="shared" si="64"/>
        <v>12</v>
      </c>
      <c r="Y75" s="3">
        <f t="shared" si="64"/>
        <v>13</v>
      </c>
      <c r="Z75" s="3">
        <f t="shared" si="64"/>
        <v>14</v>
      </c>
      <c r="AA75" s="256"/>
      <c r="AB75" s="300"/>
      <c r="AC75" s="328"/>
      <c r="AD75" s="284"/>
      <c r="AE75" s="284"/>
      <c r="AF75" s="284"/>
      <c r="AG75" s="284"/>
      <c r="AH75" s="284"/>
      <c r="AI75" s="284"/>
      <c r="AJ75" s="284"/>
      <c r="AK75" s="284"/>
      <c r="AL75" s="293"/>
      <c r="AM75" s="290"/>
      <c r="AN75" s="284"/>
      <c r="AO75" s="284"/>
      <c r="AP75" s="284"/>
      <c r="AQ75" s="284"/>
      <c r="AR75" s="295"/>
      <c r="AS75" s="292"/>
      <c r="AT75" s="290"/>
      <c r="AU75" s="290"/>
      <c r="AV75" s="290"/>
      <c r="AW75" s="290"/>
      <c r="AX75" s="284"/>
      <c r="AY75" s="284"/>
      <c r="AZ75" s="284"/>
      <c r="BA75" s="284"/>
      <c r="BB75" s="284"/>
      <c r="BC75" s="284"/>
      <c r="BD75" s="284"/>
      <c r="BE75" s="284"/>
      <c r="BF75" s="284"/>
      <c r="BG75" s="284"/>
      <c r="BH75" s="295"/>
      <c r="BI75" s="292"/>
      <c r="BJ75" s="290"/>
      <c r="BK75" s="290"/>
      <c r="BL75" s="290"/>
      <c r="BM75" s="290"/>
      <c r="BN75" s="284"/>
      <c r="BO75" s="284"/>
      <c r="BP75" s="284"/>
      <c r="BQ75" s="284"/>
      <c r="BR75" s="284"/>
      <c r="BS75" s="284"/>
      <c r="BT75" s="284"/>
      <c r="BU75" s="284"/>
      <c r="BV75" s="284"/>
      <c r="BW75" s="284"/>
      <c r="BX75" s="295"/>
      <c r="BY75" s="292"/>
      <c r="BZ75" s="290"/>
      <c r="CA75" s="290"/>
      <c r="CB75" s="290"/>
      <c r="CC75" s="290"/>
      <c r="CD75" s="284"/>
      <c r="CE75" s="284"/>
      <c r="CF75" s="284"/>
      <c r="CG75" s="284"/>
      <c r="CH75" s="284"/>
      <c r="CI75" s="284"/>
      <c r="CJ75" s="284"/>
      <c r="CK75" s="284"/>
      <c r="CL75" s="284"/>
      <c r="CM75" s="284"/>
      <c r="CN75" s="295"/>
    </row>
    <row r="76" spans="1:92" hidden="1" x14ac:dyDescent="0.25">
      <c r="B76" s="265">
        <v>9</v>
      </c>
      <c r="C76" s="265">
        <v>5</v>
      </c>
      <c r="D76" s="265" t="str">
        <f t="shared" ref="D76:D119" si="65">F76&amp;"_"&amp;G76&amp;"_"&amp;I76&amp;"_"&amp;H76&amp;"_"&amp;$D$1</f>
        <v>PREPARE_WEST_P_2_16</v>
      </c>
      <c r="E76" s="265" t="s">
        <v>0</v>
      </c>
      <c r="F76" s="49" t="s">
        <v>46</v>
      </c>
      <c r="G76" s="3" t="s">
        <v>19</v>
      </c>
      <c r="H76" s="3">
        <v>2</v>
      </c>
      <c r="I76" s="3" t="s">
        <v>41</v>
      </c>
      <c r="J76" s="37"/>
      <c r="K76" s="90">
        <f>COUNT(M76:AR76)</f>
        <v>16</v>
      </c>
      <c r="L76" s="30"/>
      <c r="M76" s="292">
        <v>1</v>
      </c>
      <c r="N76" s="86">
        <f>M76+1</f>
        <v>2</v>
      </c>
      <c r="O76" s="86">
        <f t="shared" si="64"/>
        <v>3</v>
      </c>
      <c r="P76" s="86">
        <f t="shared" si="64"/>
        <v>4</v>
      </c>
      <c r="Q76" s="86">
        <f t="shared" si="64"/>
        <v>5</v>
      </c>
      <c r="R76" s="86">
        <f t="shared" si="64"/>
        <v>6</v>
      </c>
      <c r="S76" s="86">
        <f t="shared" si="64"/>
        <v>7</v>
      </c>
      <c r="T76" s="86">
        <f t="shared" si="64"/>
        <v>8</v>
      </c>
      <c r="U76" s="86">
        <f t="shared" si="64"/>
        <v>9</v>
      </c>
      <c r="V76" s="336">
        <f t="shared" si="64"/>
        <v>10</v>
      </c>
      <c r="W76" s="319">
        <f t="shared" si="64"/>
        <v>11</v>
      </c>
      <c r="X76" s="3">
        <f t="shared" si="64"/>
        <v>12</v>
      </c>
      <c r="Y76" s="3">
        <f t="shared" si="64"/>
        <v>13</v>
      </c>
      <c r="Z76" s="3">
        <f t="shared" si="64"/>
        <v>14</v>
      </c>
      <c r="AA76" s="3">
        <f t="shared" si="64"/>
        <v>15</v>
      </c>
      <c r="AB76" s="280">
        <f t="shared" si="64"/>
        <v>16</v>
      </c>
      <c r="AC76" s="327"/>
      <c r="AD76" s="258"/>
      <c r="AE76" s="284"/>
      <c r="AF76" s="284"/>
      <c r="AG76" s="284"/>
      <c r="AH76" s="284"/>
      <c r="AI76" s="284"/>
      <c r="AJ76" s="284"/>
      <c r="AK76" s="284"/>
      <c r="AL76" s="293"/>
      <c r="AM76" s="290"/>
      <c r="AN76" s="284"/>
      <c r="AO76" s="284"/>
      <c r="AP76" s="284"/>
      <c r="AQ76" s="284"/>
      <c r="AR76" s="295"/>
      <c r="AS76" s="292"/>
      <c r="AT76" s="290"/>
      <c r="AU76" s="290"/>
      <c r="AV76" s="290"/>
      <c r="AW76" s="290"/>
      <c r="AX76" s="284"/>
      <c r="AY76" s="284"/>
      <c r="AZ76" s="284"/>
      <c r="BA76" s="284"/>
      <c r="BB76" s="284"/>
      <c r="BC76" s="284"/>
      <c r="BD76" s="284"/>
      <c r="BE76" s="284"/>
      <c r="BF76" s="284"/>
      <c r="BG76" s="284"/>
      <c r="BH76" s="295"/>
      <c r="BI76" s="292"/>
      <c r="BJ76" s="290"/>
      <c r="BK76" s="290"/>
      <c r="BL76" s="290"/>
      <c r="BM76" s="290"/>
      <c r="BN76" s="284"/>
      <c r="BO76" s="284"/>
      <c r="BP76" s="284"/>
      <c r="BQ76" s="284"/>
      <c r="BR76" s="284"/>
      <c r="BS76" s="284"/>
      <c r="BT76" s="284"/>
      <c r="BU76" s="284"/>
      <c r="BV76" s="284"/>
      <c r="BW76" s="284"/>
      <c r="BX76" s="295"/>
      <c r="BY76" s="292"/>
      <c r="BZ76" s="290"/>
      <c r="CA76" s="290"/>
      <c r="CB76" s="290"/>
      <c r="CC76" s="290"/>
      <c r="CD76" s="284"/>
      <c r="CE76" s="284"/>
      <c r="CF76" s="284"/>
      <c r="CG76" s="284"/>
      <c r="CH76" s="284"/>
      <c r="CI76" s="284"/>
      <c r="CJ76" s="284"/>
      <c r="CK76" s="284"/>
      <c r="CL76" s="284"/>
      <c r="CM76" s="284"/>
      <c r="CN76" s="295"/>
    </row>
    <row r="77" spans="1:92" hidden="1" x14ac:dyDescent="0.25">
      <c r="B77" s="265">
        <f>B75</f>
        <v>9</v>
      </c>
      <c r="C77" s="265">
        <v>6</v>
      </c>
      <c r="D77" s="265" t="str">
        <f t="shared" si="65"/>
        <v>COUNTDOWN_WEST_P_2_16</v>
      </c>
      <c r="E77" s="265"/>
      <c r="F77" s="34" t="s">
        <v>33</v>
      </c>
      <c r="G77" s="3" t="s">
        <v>19</v>
      </c>
      <c r="H77" s="3">
        <v>2</v>
      </c>
      <c r="I77" s="3" t="s">
        <v>41</v>
      </c>
      <c r="J77" s="32"/>
      <c r="K77" s="32"/>
      <c r="L77" s="30"/>
      <c r="M77" s="292">
        <v>1</v>
      </c>
      <c r="N77" s="290">
        <v>16</v>
      </c>
      <c r="O77" s="290">
        <v>15</v>
      </c>
      <c r="P77" s="290">
        <v>14</v>
      </c>
      <c r="Q77" s="290">
        <v>13</v>
      </c>
      <c r="R77" s="284">
        <v>12</v>
      </c>
      <c r="S77" s="284">
        <v>11</v>
      </c>
      <c r="T77" s="284">
        <v>10</v>
      </c>
      <c r="U77" s="284">
        <v>9</v>
      </c>
      <c r="V77" s="298">
        <v>8</v>
      </c>
      <c r="W77" s="328">
        <v>7</v>
      </c>
      <c r="X77" s="284">
        <v>6</v>
      </c>
      <c r="Y77" s="284">
        <v>5</v>
      </c>
      <c r="Z77" s="284">
        <v>4</v>
      </c>
      <c r="AA77" s="284">
        <v>3</v>
      </c>
      <c r="AB77" s="293">
        <v>2</v>
      </c>
      <c r="AC77" s="328">
        <v>1</v>
      </c>
      <c r="AD77" s="284">
        <v>16</v>
      </c>
      <c r="AE77" s="284">
        <v>15</v>
      </c>
      <c r="AF77" s="284">
        <v>14</v>
      </c>
      <c r="AG77" s="284">
        <v>13</v>
      </c>
      <c r="AH77" s="284">
        <v>12</v>
      </c>
      <c r="AI77" s="284">
        <v>11</v>
      </c>
      <c r="AJ77" s="284">
        <v>10</v>
      </c>
      <c r="AK77" s="284">
        <v>9</v>
      </c>
      <c r="AL77" s="293">
        <v>8</v>
      </c>
      <c r="AM77" s="290">
        <v>7</v>
      </c>
      <c r="AN77" s="284">
        <v>6</v>
      </c>
      <c r="AO77" s="284">
        <v>5</v>
      </c>
      <c r="AP77" s="284">
        <v>4</v>
      </c>
      <c r="AQ77" s="284">
        <v>3</v>
      </c>
      <c r="AR77" s="295">
        <v>2</v>
      </c>
      <c r="AS77" s="296">
        <v>1</v>
      </c>
      <c r="AT77" s="297">
        <v>16</v>
      </c>
      <c r="AU77" s="297">
        <v>15</v>
      </c>
      <c r="AV77" s="297">
        <v>14</v>
      </c>
      <c r="AW77" s="297">
        <v>13</v>
      </c>
      <c r="AX77" s="284">
        <v>12</v>
      </c>
      <c r="AY77" s="284">
        <v>11</v>
      </c>
      <c r="AZ77" s="284">
        <v>10</v>
      </c>
      <c r="BA77" s="284">
        <v>9</v>
      </c>
      <c r="BB77" s="284">
        <v>8</v>
      </c>
      <c r="BC77" s="284">
        <v>7</v>
      </c>
      <c r="BD77" s="284">
        <v>6</v>
      </c>
      <c r="BE77" s="284">
        <v>5</v>
      </c>
      <c r="BF77" s="284">
        <v>4</v>
      </c>
      <c r="BG77" s="284">
        <v>3</v>
      </c>
      <c r="BH77" s="295">
        <v>2</v>
      </c>
      <c r="BI77" s="296">
        <v>1</v>
      </c>
      <c r="BJ77" s="297">
        <v>16</v>
      </c>
      <c r="BK77" s="297">
        <v>15</v>
      </c>
      <c r="BL77" s="297">
        <v>14</v>
      </c>
      <c r="BM77" s="297">
        <v>13</v>
      </c>
      <c r="BN77" s="284">
        <v>12</v>
      </c>
      <c r="BO77" s="284">
        <v>11</v>
      </c>
      <c r="BP77" s="284">
        <v>10</v>
      </c>
      <c r="BQ77" s="284">
        <v>9</v>
      </c>
      <c r="BR77" s="284">
        <v>8</v>
      </c>
      <c r="BS77" s="284">
        <v>7</v>
      </c>
      <c r="BT77" s="284">
        <v>6</v>
      </c>
      <c r="BU77" s="284">
        <v>5</v>
      </c>
      <c r="BV77" s="284">
        <v>4</v>
      </c>
      <c r="BW77" s="284">
        <v>3</v>
      </c>
      <c r="BX77" s="295">
        <v>2</v>
      </c>
      <c r="BY77" s="292">
        <v>1</v>
      </c>
      <c r="BZ77" s="290">
        <v>16</v>
      </c>
      <c r="CA77" s="290">
        <v>15</v>
      </c>
      <c r="CB77" s="290">
        <v>14</v>
      </c>
      <c r="CC77" s="290">
        <v>13</v>
      </c>
      <c r="CD77" s="284">
        <v>12</v>
      </c>
      <c r="CE77" s="284">
        <v>11</v>
      </c>
      <c r="CF77" s="284">
        <v>10</v>
      </c>
      <c r="CG77" s="284">
        <v>9</v>
      </c>
      <c r="CH77" s="284">
        <v>8</v>
      </c>
      <c r="CI77" s="284">
        <v>7</v>
      </c>
      <c r="CJ77" s="284">
        <v>6</v>
      </c>
      <c r="CK77" s="284">
        <v>5</v>
      </c>
      <c r="CL77" s="284">
        <v>4</v>
      </c>
      <c r="CM77" s="284">
        <v>3</v>
      </c>
      <c r="CN77" s="295">
        <v>2</v>
      </c>
    </row>
    <row r="78" spans="1:92" hidden="1" x14ac:dyDescent="0.25">
      <c r="A78" s="286" t="s">
        <v>8</v>
      </c>
      <c r="B78" s="265">
        <v>10</v>
      </c>
      <c r="C78" s="265">
        <v>1</v>
      </c>
      <c r="D78" s="265" t="str">
        <f t="shared" si="65"/>
        <v>SORTING_WEST_O_1_16</v>
      </c>
      <c r="E78" s="265" t="s">
        <v>35</v>
      </c>
      <c r="F78" s="49" t="s">
        <v>45</v>
      </c>
      <c r="G78" s="3" t="s">
        <v>19</v>
      </c>
      <c r="H78" s="3">
        <v>1</v>
      </c>
      <c r="I78" s="3" t="s">
        <v>40</v>
      </c>
      <c r="J78" s="37"/>
      <c r="K78" s="90">
        <f>COUNT(W78:AR78)</f>
        <v>4</v>
      </c>
      <c r="L78" s="30" t="s">
        <v>28</v>
      </c>
      <c r="M78" s="323"/>
      <c r="N78" s="324"/>
      <c r="O78" s="324"/>
      <c r="P78" s="324"/>
      <c r="Q78" s="324"/>
      <c r="R78" s="256"/>
      <c r="S78" s="256"/>
      <c r="T78" s="256"/>
      <c r="U78" s="256"/>
      <c r="V78" s="325"/>
      <c r="W78" s="328">
        <v>1</v>
      </c>
      <c r="X78" s="33">
        <f>W78+1</f>
        <v>2</v>
      </c>
      <c r="Y78" s="33">
        <f t="shared" ref="Y78:AB79" si="66">X78+1</f>
        <v>3</v>
      </c>
      <c r="Z78" s="33">
        <f t="shared" si="66"/>
        <v>4</v>
      </c>
      <c r="AA78" s="258"/>
      <c r="AB78" s="300"/>
      <c r="AC78" s="328"/>
      <c r="AD78" s="284"/>
      <c r="AE78" s="284"/>
      <c r="AF78" s="284"/>
      <c r="AG78" s="284"/>
      <c r="AH78" s="284"/>
      <c r="AI78" s="284"/>
      <c r="AJ78" s="284"/>
      <c r="AK78" s="284"/>
      <c r="AL78" s="293"/>
      <c r="AM78" s="290"/>
      <c r="AN78" s="284"/>
      <c r="AO78" s="284"/>
      <c r="AP78" s="284"/>
      <c r="AQ78" s="284"/>
      <c r="AR78" s="295"/>
      <c r="AS78" s="292"/>
      <c r="AT78" s="290"/>
      <c r="AU78" s="290"/>
      <c r="AV78" s="290"/>
      <c r="AW78" s="290"/>
      <c r="AX78" s="284"/>
      <c r="AY78" s="284"/>
      <c r="AZ78" s="284"/>
      <c r="BA78" s="284"/>
      <c r="BB78" s="284"/>
      <c r="BC78" s="284"/>
      <c r="BD78" s="284"/>
      <c r="BE78" s="284"/>
      <c r="BF78" s="284"/>
      <c r="BG78" s="284"/>
      <c r="BH78" s="295"/>
      <c r="BI78" s="292"/>
      <c r="BJ78" s="290"/>
      <c r="BK78" s="290"/>
      <c r="BL78" s="290"/>
      <c r="BM78" s="290"/>
      <c r="BN78" s="284"/>
      <c r="BO78" s="284"/>
      <c r="BP78" s="284"/>
      <c r="BQ78" s="284"/>
      <c r="BR78" s="284"/>
      <c r="BS78" s="284"/>
      <c r="BT78" s="284"/>
      <c r="BU78" s="284"/>
      <c r="BV78" s="284"/>
      <c r="BW78" s="284"/>
      <c r="BX78" s="295"/>
      <c r="BY78" s="292"/>
      <c r="BZ78" s="290"/>
      <c r="CA78" s="290"/>
      <c r="CB78" s="290"/>
      <c r="CC78" s="290"/>
      <c r="CD78" s="284"/>
      <c r="CE78" s="284"/>
      <c r="CF78" s="284"/>
      <c r="CG78" s="284"/>
      <c r="CH78" s="284"/>
      <c r="CI78" s="284"/>
      <c r="CJ78" s="284"/>
      <c r="CK78" s="284"/>
      <c r="CL78" s="284"/>
      <c r="CM78" s="284"/>
      <c r="CN78" s="295"/>
    </row>
    <row r="79" spans="1:92" hidden="1" x14ac:dyDescent="0.25">
      <c r="A79" s="286" t="s">
        <v>8</v>
      </c>
      <c r="B79" s="265">
        <v>10</v>
      </c>
      <c r="C79" s="265">
        <v>2</v>
      </c>
      <c r="D79" s="265" t="str">
        <f t="shared" si="65"/>
        <v>TRANSFER_WEST_O_1_16</v>
      </c>
      <c r="E79" s="265" t="s">
        <v>21</v>
      </c>
      <c r="F79" s="49" t="s">
        <v>21</v>
      </c>
      <c r="G79" s="3" t="s">
        <v>19</v>
      </c>
      <c r="H79" s="3">
        <v>1</v>
      </c>
      <c r="I79" s="3" t="s">
        <v>40</v>
      </c>
      <c r="J79" s="37"/>
      <c r="K79" s="90">
        <f>COUNT(W79:AR79)</f>
        <v>6</v>
      </c>
      <c r="L79" s="30" t="s">
        <v>28</v>
      </c>
      <c r="M79" s="323"/>
      <c r="N79" s="324"/>
      <c r="O79" s="324"/>
      <c r="P79" s="324"/>
      <c r="Q79" s="324"/>
      <c r="R79" s="256"/>
      <c r="S79" s="256"/>
      <c r="T79" s="256"/>
      <c r="U79" s="256"/>
      <c r="V79" s="325"/>
      <c r="W79" s="328">
        <v>1</v>
      </c>
      <c r="X79" s="3">
        <f>W79+1</f>
        <v>2</v>
      </c>
      <c r="Y79" s="3">
        <f t="shared" si="66"/>
        <v>3</v>
      </c>
      <c r="Z79" s="3">
        <f t="shared" si="66"/>
        <v>4</v>
      </c>
      <c r="AA79" s="3">
        <f t="shared" si="66"/>
        <v>5</v>
      </c>
      <c r="AB79" s="280">
        <f t="shared" si="66"/>
        <v>6</v>
      </c>
      <c r="AC79" s="327"/>
      <c r="AD79" s="258"/>
      <c r="AE79" s="284"/>
      <c r="AF79" s="284"/>
      <c r="AG79" s="284"/>
      <c r="AH79" s="284"/>
      <c r="AI79" s="284"/>
      <c r="AJ79" s="284"/>
      <c r="AK79" s="284"/>
      <c r="AL79" s="293"/>
      <c r="AM79" s="290"/>
      <c r="AN79" s="284"/>
      <c r="AO79" s="284"/>
      <c r="AP79" s="284"/>
      <c r="AQ79" s="284"/>
      <c r="AR79" s="295"/>
      <c r="AS79" s="292"/>
      <c r="AT79" s="290"/>
      <c r="AU79" s="290"/>
      <c r="AV79" s="290"/>
      <c r="AW79" s="290"/>
      <c r="AX79" s="284"/>
      <c r="AY79" s="284"/>
      <c r="AZ79" s="284"/>
      <c r="BA79" s="284"/>
      <c r="BB79" s="284"/>
      <c r="BC79" s="284"/>
      <c r="BD79" s="284"/>
      <c r="BE79" s="284"/>
      <c r="BF79" s="284"/>
      <c r="BG79" s="284"/>
      <c r="BH79" s="295"/>
      <c r="BI79" s="292"/>
      <c r="BJ79" s="290"/>
      <c r="BK79" s="290"/>
      <c r="BL79" s="290"/>
      <c r="BM79" s="290"/>
      <c r="BN79" s="284"/>
      <c r="BO79" s="284"/>
      <c r="BP79" s="284"/>
      <c r="BQ79" s="284"/>
      <c r="BR79" s="284"/>
      <c r="BS79" s="284"/>
      <c r="BT79" s="284"/>
      <c r="BU79" s="284"/>
      <c r="BV79" s="284"/>
      <c r="BW79" s="284"/>
      <c r="BX79" s="295"/>
      <c r="BY79" s="292"/>
      <c r="BZ79" s="290"/>
      <c r="CA79" s="290"/>
      <c r="CB79" s="290"/>
      <c r="CC79" s="290"/>
      <c r="CD79" s="284"/>
      <c r="CE79" s="284"/>
      <c r="CF79" s="284"/>
      <c r="CG79" s="284"/>
      <c r="CH79" s="284"/>
      <c r="CI79" s="284"/>
      <c r="CJ79" s="284"/>
      <c r="CK79" s="284"/>
      <c r="CL79" s="284"/>
      <c r="CM79" s="284"/>
      <c r="CN79" s="295"/>
    </row>
    <row r="80" spans="1:92" hidden="1" x14ac:dyDescent="0.25">
      <c r="A80" s="286" t="s">
        <v>8</v>
      </c>
      <c r="B80" s="265">
        <v>10</v>
      </c>
      <c r="C80" s="265">
        <v>3</v>
      </c>
      <c r="D80" s="265" t="str">
        <f t="shared" si="65"/>
        <v>SUPPLY_WEST_O_1_16</v>
      </c>
      <c r="E80" s="265" t="s">
        <v>0</v>
      </c>
      <c r="F80" s="34" t="s">
        <v>0</v>
      </c>
      <c r="G80" s="3" t="s">
        <v>19</v>
      </c>
      <c r="H80" s="3">
        <v>1</v>
      </c>
      <c r="I80" s="3" t="s">
        <v>40</v>
      </c>
      <c r="J80" s="90"/>
      <c r="K80" s="90">
        <f>COUNT(AC80:BH80)</f>
        <v>4</v>
      </c>
      <c r="L80" s="30"/>
      <c r="M80" s="323"/>
      <c r="N80" s="324"/>
      <c r="O80" s="324"/>
      <c r="P80" s="324"/>
      <c r="Q80" s="324"/>
      <c r="R80" s="256"/>
      <c r="S80" s="256"/>
      <c r="T80" s="256"/>
      <c r="U80" s="256"/>
      <c r="V80" s="325"/>
      <c r="W80" s="326"/>
      <c r="X80" s="256"/>
      <c r="Y80" s="256"/>
      <c r="Z80" s="256"/>
      <c r="AA80" s="256"/>
      <c r="AB80" s="341"/>
      <c r="AC80" s="328">
        <v>1</v>
      </c>
      <c r="AD80" s="3">
        <f>AC80+1</f>
        <v>2</v>
      </c>
      <c r="AE80" s="3">
        <f t="shared" ref="AE80:AF80" si="67">AD80+1</f>
        <v>3</v>
      </c>
      <c r="AF80" s="3">
        <f t="shared" si="67"/>
        <v>4</v>
      </c>
      <c r="AG80" s="258"/>
      <c r="AH80" s="258"/>
      <c r="AI80" s="258"/>
      <c r="AJ80" s="258"/>
      <c r="AK80" s="258"/>
      <c r="AL80" s="300"/>
      <c r="AM80" s="299"/>
      <c r="AN80" s="258"/>
      <c r="AO80" s="258"/>
      <c r="AP80" s="258"/>
      <c r="AQ80" s="258"/>
      <c r="AR80" s="331"/>
      <c r="AS80" s="284"/>
      <c r="AT80" s="284"/>
      <c r="AU80" s="284"/>
      <c r="AV80" s="284"/>
      <c r="AW80" s="284"/>
      <c r="AX80" s="284"/>
      <c r="AY80" s="284"/>
      <c r="AZ80" s="284"/>
      <c r="BA80" s="284"/>
      <c r="BB80" s="284"/>
      <c r="BC80" s="284"/>
      <c r="BD80" s="284"/>
      <c r="BE80" s="284"/>
      <c r="BF80" s="284"/>
      <c r="BG80" s="284"/>
      <c r="BH80" s="295"/>
      <c r="BI80" s="292"/>
      <c r="BJ80" s="314"/>
      <c r="BK80" s="314"/>
      <c r="BL80" s="314"/>
      <c r="BM80" s="314"/>
      <c r="BO80" s="284"/>
      <c r="BP80" s="284"/>
      <c r="BQ80" s="284"/>
      <c r="BR80" s="284"/>
      <c r="BS80" s="284"/>
      <c r="BT80" s="284"/>
      <c r="BU80" s="284"/>
      <c r="BV80" s="284"/>
      <c r="BW80" s="284"/>
      <c r="BX80" s="295"/>
      <c r="BY80" s="292"/>
      <c r="BZ80" s="314"/>
      <c r="CA80" s="314"/>
      <c r="CB80" s="314"/>
      <c r="CC80" s="314"/>
      <c r="CE80" s="284"/>
      <c r="CF80" s="284"/>
      <c r="CG80" s="284"/>
      <c r="CH80" s="284"/>
      <c r="CI80" s="284"/>
      <c r="CJ80" s="284"/>
      <c r="CK80" s="284"/>
      <c r="CL80" s="284"/>
      <c r="CM80" s="284"/>
      <c r="CN80" s="295"/>
    </row>
    <row r="81" spans="1:92" x14ac:dyDescent="0.25">
      <c r="A81" s="286" t="s">
        <v>8</v>
      </c>
      <c r="B81" s="265">
        <f>B80</f>
        <v>10</v>
      </c>
      <c r="C81" s="265">
        <v>4</v>
      </c>
      <c r="D81" s="265" t="str">
        <f t="shared" si="65"/>
        <v>EMPTY_WEST_O_1_16</v>
      </c>
      <c r="E81" s="265" t="s">
        <v>0</v>
      </c>
      <c r="F81" s="34" t="s">
        <v>32</v>
      </c>
      <c r="G81" s="3" t="s">
        <v>19</v>
      </c>
      <c r="H81" s="3">
        <v>1</v>
      </c>
      <c r="I81" s="3" t="s">
        <v>40</v>
      </c>
      <c r="J81" s="90"/>
      <c r="K81" s="90">
        <f>COUNT(M81:AR81)</f>
        <v>16</v>
      </c>
      <c r="L81" s="30"/>
      <c r="M81" s="292">
        <v>1</v>
      </c>
      <c r="N81" s="86">
        <f>M81+1</f>
        <v>2</v>
      </c>
      <c r="O81" s="86">
        <f t="shared" ref="O81:AD82" si="68">N81+1</f>
        <v>3</v>
      </c>
      <c r="P81" s="86">
        <f t="shared" si="68"/>
        <v>4</v>
      </c>
      <c r="Q81" s="86">
        <f t="shared" si="68"/>
        <v>5</v>
      </c>
      <c r="R81" s="86">
        <f t="shared" si="68"/>
        <v>6</v>
      </c>
      <c r="S81" s="86">
        <f t="shared" si="68"/>
        <v>7</v>
      </c>
      <c r="T81" s="86">
        <f t="shared" si="68"/>
        <v>8</v>
      </c>
      <c r="U81" s="86">
        <f t="shared" si="68"/>
        <v>9</v>
      </c>
      <c r="V81" s="336">
        <f t="shared" si="68"/>
        <v>10</v>
      </c>
      <c r="W81" s="319">
        <f t="shared" si="68"/>
        <v>11</v>
      </c>
      <c r="X81" s="3">
        <f t="shared" si="68"/>
        <v>12</v>
      </c>
      <c r="Y81" s="3">
        <f t="shared" si="68"/>
        <v>13</v>
      </c>
      <c r="Z81" s="3">
        <f t="shared" si="68"/>
        <v>14</v>
      </c>
      <c r="AA81" s="3">
        <f t="shared" si="68"/>
        <v>15</v>
      </c>
      <c r="AB81" s="280">
        <f t="shared" si="68"/>
        <v>16</v>
      </c>
      <c r="AC81" s="326"/>
      <c r="AD81" s="258"/>
      <c r="AE81" s="284"/>
      <c r="AF81" s="284"/>
      <c r="AG81" s="284"/>
      <c r="AH81" s="284"/>
      <c r="AI81" s="284"/>
      <c r="AJ81" s="284"/>
      <c r="AK81" s="284"/>
      <c r="AL81" s="293"/>
      <c r="AM81" s="290"/>
      <c r="AN81" s="284"/>
      <c r="AO81" s="284"/>
      <c r="AP81" s="284"/>
      <c r="AQ81" s="284"/>
      <c r="AR81" s="295"/>
      <c r="AS81" s="292"/>
      <c r="AT81" s="284"/>
      <c r="AU81" s="284"/>
      <c r="AV81" s="284"/>
      <c r="AW81" s="284"/>
      <c r="AX81" s="298"/>
      <c r="AY81" s="284"/>
      <c r="AZ81" s="284"/>
      <c r="BA81" s="284"/>
      <c r="BB81" s="284"/>
      <c r="BC81" s="284"/>
      <c r="BD81" s="284"/>
      <c r="BE81" s="284"/>
      <c r="BF81" s="284"/>
      <c r="BG81" s="284"/>
      <c r="BH81" s="295"/>
      <c r="BI81" s="292"/>
      <c r="BJ81" s="297"/>
      <c r="BK81" s="297"/>
      <c r="BL81" s="297"/>
      <c r="BM81" s="297"/>
      <c r="BN81" s="298"/>
      <c r="BO81" s="284"/>
      <c r="BP81" s="284"/>
      <c r="BQ81" s="284"/>
      <c r="BR81" s="284"/>
      <c r="BS81" s="284"/>
      <c r="BT81" s="284"/>
      <c r="BU81" s="284"/>
      <c r="BV81" s="284"/>
      <c r="BW81" s="284"/>
      <c r="BX81" s="295"/>
      <c r="BY81" s="292"/>
      <c r="BZ81" s="290"/>
      <c r="CA81" s="290"/>
      <c r="CB81" s="290"/>
      <c r="CC81" s="290"/>
      <c r="CD81" s="284"/>
      <c r="CE81" s="284"/>
      <c r="CF81" s="284"/>
      <c r="CG81" s="284"/>
      <c r="CH81" s="284"/>
      <c r="CI81" s="284"/>
      <c r="CJ81" s="284"/>
      <c r="CK81" s="284"/>
      <c r="CL81" s="284"/>
      <c r="CM81" s="284"/>
      <c r="CN81" s="295"/>
    </row>
    <row r="82" spans="1:92" hidden="1" x14ac:dyDescent="0.25">
      <c r="A82" s="286" t="s">
        <v>8</v>
      </c>
      <c r="B82" s="265">
        <v>10</v>
      </c>
      <c r="C82" s="265">
        <v>5</v>
      </c>
      <c r="D82" s="265" t="str">
        <f t="shared" si="65"/>
        <v>PREPARE_WEST_O_1_16</v>
      </c>
      <c r="E82" s="265" t="s">
        <v>0</v>
      </c>
      <c r="F82" s="49" t="s">
        <v>46</v>
      </c>
      <c r="G82" s="3" t="s">
        <v>19</v>
      </c>
      <c r="H82" s="3">
        <v>1</v>
      </c>
      <c r="I82" s="3" t="s">
        <v>40</v>
      </c>
      <c r="J82" s="37"/>
      <c r="K82" s="90">
        <f>COUNT(M82:AR82)</f>
        <v>18</v>
      </c>
      <c r="L82" s="30"/>
      <c r="M82" s="292">
        <v>1</v>
      </c>
      <c r="N82" s="86">
        <f>M82+1</f>
        <v>2</v>
      </c>
      <c r="O82" s="86">
        <f t="shared" si="68"/>
        <v>3</v>
      </c>
      <c r="P82" s="86">
        <f t="shared" si="68"/>
        <v>4</v>
      </c>
      <c r="Q82" s="86">
        <f t="shared" si="68"/>
        <v>5</v>
      </c>
      <c r="R82" s="86">
        <f t="shared" si="68"/>
        <v>6</v>
      </c>
      <c r="S82" s="86">
        <f t="shared" si="68"/>
        <v>7</v>
      </c>
      <c r="T82" s="86">
        <f t="shared" si="68"/>
        <v>8</v>
      </c>
      <c r="U82" s="86">
        <f t="shared" si="68"/>
        <v>9</v>
      </c>
      <c r="V82" s="336">
        <f t="shared" si="68"/>
        <v>10</v>
      </c>
      <c r="W82" s="319">
        <f t="shared" si="68"/>
        <v>11</v>
      </c>
      <c r="X82" s="3">
        <f t="shared" si="68"/>
        <v>12</v>
      </c>
      <c r="Y82" s="3">
        <f t="shared" si="68"/>
        <v>13</v>
      </c>
      <c r="Z82" s="3">
        <f t="shared" si="68"/>
        <v>14</v>
      </c>
      <c r="AA82" s="3">
        <f t="shared" si="68"/>
        <v>15</v>
      </c>
      <c r="AB82" s="280">
        <f t="shared" si="68"/>
        <v>16</v>
      </c>
      <c r="AC82" s="319">
        <f t="shared" si="68"/>
        <v>17</v>
      </c>
      <c r="AD82" s="3">
        <f t="shared" si="68"/>
        <v>18</v>
      </c>
      <c r="AE82" s="258"/>
      <c r="AF82" s="258"/>
      <c r="AG82" s="284"/>
      <c r="AH82" s="284"/>
      <c r="AI82" s="284"/>
      <c r="AJ82" s="284"/>
      <c r="AK82" s="284"/>
      <c r="AL82" s="293"/>
      <c r="AM82" s="290"/>
      <c r="AN82" s="284"/>
      <c r="AO82" s="284"/>
      <c r="AP82" s="284"/>
      <c r="AQ82" s="284"/>
      <c r="AR82" s="295"/>
      <c r="AS82" s="292"/>
      <c r="AT82" s="290"/>
      <c r="AU82" s="290"/>
      <c r="AV82" s="290"/>
      <c r="AW82" s="290"/>
      <c r="AX82" s="284"/>
      <c r="AY82" s="284"/>
      <c r="AZ82" s="284"/>
      <c r="BA82" s="284"/>
      <c r="BB82" s="284"/>
      <c r="BC82" s="284"/>
      <c r="BD82" s="284"/>
      <c r="BE82" s="284"/>
      <c r="BF82" s="284"/>
      <c r="BG82" s="284"/>
      <c r="BH82" s="295"/>
      <c r="BI82" s="292"/>
      <c r="BJ82" s="290"/>
      <c r="BK82" s="290"/>
      <c r="BL82" s="290"/>
      <c r="BM82" s="290"/>
      <c r="BN82" s="284"/>
      <c r="BO82" s="284"/>
      <c r="BP82" s="284"/>
      <c r="BQ82" s="284"/>
      <c r="BR82" s="284"/>
      <c r="BS82" s="284"/>
      <c r="BT82" s="284"/>
      <c r="BU82" s="284"/>
      <c r="BV82" s="284"/>
      <c r="BW82" s="284"/>
      <c r="BX82" s="295"/>
      <c r="BY82" s="292"/>
      <c r="BZ82" s="290"/>
      <c r="CA82" s="290"/>
      <c r="CB82" s="290"/>
      <c r="CC82" s="290"/>
      <c r="CD82" s="284"/>
      <c r="CE82" s="284"/>
      <c r="CF82" s="284"/>
      <c r="CG82" s="284"/>
      <c r="CH82" s="284"/>
      <c r="CI82" s="284"/>
      <c r="CJ82" s="284"/>
      <c r="CK82" s="284"/>
      <c r="CL82" s="284"/>
      <c r="CM82" s="284"/>
      <c r="CN82" s="295"/>
    </row>
    <row r="83" spans="1:92" hidden="1" x14ac:dyDescent="0.25">
      <c r="A83" s="286" t="s">
        <v>8</v>
      </c>
      <c r="B83" s="265">
        <f>B81</f>
        <v>10</v>
      </c>
      <c r="C83" s="265">
        <v>6</v>
      </c>
      <c r="D83" s="265" t="str">
        <f t="shared" si="65"/>
        <v>COUNTDOWN_WEST_O_1_16</v>
      </c>
      <c r="E83" s="265"/>
      <c r="F83" s="34" t="s">
        <v>33</v>
      </c>
      <c r="G83" s="3" t="s">
        <v>19</v>
      </c>
      <c r="H83" s="3">
        <v>1</v>
      </c>
      <c r="I83" s="3" t="s">
        <v>40</v>
      </c>
      <c r="J83" s="32"/>
      <c r="K83" s="32"/>
      <c r="L83" s="30" t="s">
        <v>28</v>
      </c>
      <c r="M83" s="292">
        <v>3</v>
      </c>
      <c r="N83" s="290">
        <v>2</v>
      </c>
      <c r="O83" s="290">
        <v>1</v>
      </c>
      <c r="P83" s="290">
        <v>16</v>
      </c>
      <c r="Q83" s="290">
        <v>15</v>
      </c>
      <c r="R83" s="284">
        <v>14</v>
      </c>
      <c r="S83" s="284">
        <v>13</v>
      </c>
      <c r="T83" s="284">
        <v>12</v>
      </c>
      <c r="U83" s="284">
        <v>11</v>
      </c>
      <c r="V83" s="298">
        <v>10</v>
      </c>
      <c r="W83" s="328">
        <v>9</v>
      </c>
      <c r="X83" s="284">
        <v>8</v>
      </c>
      <c r="Y83" s="284">
        <v>7</v>
      </c>
      <c r="Z83" s="284">
        <v>6</v>
      </c>
      <c r="AA83" s="284">
        <v>5</v>
      </c>
      <c r="AB83" s="293">
        <v>4</v>
      </c>
      <c r="AC83" s="328">
        <v>3</v>
      </c>
      <c r="AD83" s="284">
        <v>2</v>
      </c>
      <c r="AE83" s="284">
        <v>1</v>
      </c>
      <c r="AF83" s="284">
        <v>16</v>
      </c>
      <c r="AG83" s="284">
        <v>15</v>
      </c>
      <c r="AH83" s="284">
        <v>14</v>
      </c>
      <c r="AI83" s="284">
        <v>13</v>
      </c>
      <c r="AJ83" s="284">
        <v>12</v>
      </c>
      <c r="AK83" s="284">
        <v>11</v>
      </c>
      <c r="AL83" s="293">
        <v>10</v>
      </c>
      <c r="AM83" s="290">
        <v>9</v>
      </c>
      <c r="AN83" s="284">
        <v>8</v>
      </c>
      <c r="AO83" s="284">
        <v>7</v>
      </c>
      <c r="AP83" s="284">
        <v>6</v>
      </c>
      <c r="AQ83" s="284">
        <v>5</v>
      </c>
      <c r="AR83" s="295">
        <v>4</v>
      </c>
      <c r="AS83" s="292">
        <v>3</v>
      </c>
      <c r="AT83" s="297">
        <v>2</v>
      </c>
      <c r="AU83" s="297">
        <v>1</v>
      </c>
      <c r="AV83" s="297">
        <v>16</v>
      </c>
      <c r="AW83" s="297">
        <v>15</v>
      </c>
      <c r="AX83" s="298">
        <v>14</v>
      </c>
      <c r="AY83" s="284">
        <v>13</v>
      </c>
      <c r="AZ83" s="284">
        <v>12</v>
      </c>
      <c r="BA83" s="284">
        <v>11</v>
      </c>
      <c r="BB83" s="284">
        <v>10</v>
      </c>
      <c r="BC83" s="284">
        <v>9</v>
      </c>
      <c r="BD83" s="284">
        <v>8</v>
      </c>
      <c r="BE83" s="284">
        <v>7</v>
      </c>
      <c r="BF83" s="284">
        <v>6</v>
      </c>
      <c r="BG83" s="284">
        <v>5</v>
      </c>
      <c r="BH83" s="295">
        <v>4</v>
      </c>
      <c r="BI83" s="292">
        <v>3</v>
      </c>
      <c r="BJ83" s="297">
        <v>2</v>
      </c>
      <c r="BK83" s="297">
        <v>1</v>
      </c>
      <c r="BL83" s="297">
        <v>16</v>
      </c>
      <c r="BM83" s="297">
        <v>15</v>
      </c>
      <c r="BN83" s="298">
        <v>14</v>
      </c>
      <c r="BO83" s="284">
        <v>13</v>
      </c>
      <c r="BP83" s="284">
        <v>12</v>
      </c>
      <c r="BQ83" s="284">
        <v>11</v>
      </c>
      <c r="BR83" s="284">
        <v>10</v>
      </c>
      <c r="BS83" s="284">
        <v>9</v>
      </c>
      <c r="BT83" s="284">
        <v>8</v>
      </c>
      <c r="BU83" s="284">
        <v>7</v>
      </c>
      <c r="BV83" s="284">
        <v>6</v>
      </c>
      <c r="BW83" s="284">
        <v>5</v>
      </c>
      <c r="BX83" s="295">
        <v>4</v>
      </c>
      <c r="BY83" s="292">
        <v>3</v>
      </c>
      <c r="BZ83" s="290">
        <v>2</v>
      </c>
      <c r="CA83" s="290">
        <v>1</v>
      </c>
      <c r="CB83" s="290">
        <v>16</v>
      </c>
      <c r="CC83" s="290">
        <v>15</v>
      </c>
      <c r="CD83" s="284">
        <v>14</v>
      </c>
      <c r="CE83" s="284">
        <v>13</v>
      </c>
      <c r="CF83" s="284">
        <v>12</v>
      </c>
      <c r="CG83" s="284">
        <v>11</v>
      </c>
      <c r="CH83" s="284">
        <v>10</v>
      </c>
      <c r="CI83" s="284">
        <v>9</v>
      </c>
      <c r="CJ83" s="284">
        <v>8</v>
      </c>
      <c r="CK83" s="284">
        <v>7</v>
      </c>
      <c r="CL83" s="284">
        <v>6</v>
      </c>
      <c r="CM83" s="284">
        <v>5</v>
      </c>
      <c r="CN83" s="295">
        <v>4</v>
      </c>
    </row>
    <row r="84" spans="1:92" hidden="1" x14ac:dyDescent="0.25">
      <c r="B84" s="265">
        <v>11</v>
      </c>
      <c r="C84" s="265">
        <v>1</v>
      </c>
      <c r="D84" s="265" t="str">
        <f t="shared" si="65"/>
        <v>SORTING_WEST_L_2_16</v>
      </c>
      <c r="E84" s="265" t="s">
        <v>35</v>
      </c>
      <c r="F84" s="49" t="s">
        <v>45</v>
      </c>
      <c r="G84" s="3" t="s">
        <v>19</v>
      </c>
      <c r="H84" s="3">
        <v>2</v>
      </c>
      <c r="I84" s="3" t="s">
        <v>13</v>
      </c>
      <c r="J84" s="37"/>
      <c r="K84" s="90">
        <f>COUNT(W84:AR84)</f>
        <v>6</v>
      </c>
      <c r="L84" s="30" t="s">
        <v>28</v>
      </c>
      <c r="M84" s="323"/>
      <c r="N84" s="324"/>
      <c r="O84" s="324"/>
      <c r="P84" s="324"/>
      <c r="Q84" s="324"/>
      <c r="R84" s="256"/>
      <c r="S84" s="256"/>
      <c r="T84" s="256"/>
      <c r="U84" s="256"/>
      <c r="V84" s="325"/>
      <c r="W84" s="328">
        <v>1</v>
      </c>
      <c r="X84" s="33">
        <f>W84+1</f>
        <v>2</v>
      </c>
      <c r="Y84" s="33">
        <f t="shared" ref="Y84:AD85" si="69">X84+1</f>
        <v>3</v>
      </c>
      <c r="Z84" s="33">
        <f t="shared" si="69"/>
        <v>4</v>
      </c>
      <c r="AA84" s="33">
        <f t="shared" si="69"/>
        <v>5</v>
      </c>
      <c r="AB84" s="282">
        <f t="shared" si="69"/>
        <v>6</v>
      </c>
      <c r="AC84" s="327"/>
      <c r="AD84" s="258"/>
      <c r="AE84" s="284"/>
      <c r="AF84" s="284"/>
      <c r="AG84" s="284"/>
      <c r="AH84" s="284"/>
      <c r="AI84" s="284"/>
      <c r="AJ84" s="284"/>
      <c r="AK84" s="284"/>
      <c r="AL84" s="293"/>
      <c r="AM84" s="290"/>
      <c r="AN84" s="284"/>
      <c r="AO84" s="284"/>
      <c r="AP84" s="284"/>
      <c r="AQ84" s="284"/>
      <c r="AR84" s="329"/>
      <c r="AS84" s="292"/>
      <c r="AT84" s="290"/>
      <c r="AU84" s="290"/>
      <c r="AV84" s="290"/>
      <c r="AW84" s="290"/>
      <c r="AX84" s="284"/>
      <c r="AY84" s="284"/>
      <c r="AZ84" s="284"/>
      <c r="BA84" s="284"/>
      <c r="BB84" s="284"/>
      <c r="BC84" s="284"/>
      <c r="BD84" s="284"/>
      <c r="BE84" s="284"/>
      <c r="BF84" s="284"/>
      <c r="BG84" s="284"/>
      <c r="BH84" s="295"/>
      <c r="BI84" s="292"/>
      <c r="BJ84" s="290"/>
      <c r="BK84" s="290"/>
      <c r="BL84" s="290"/>
      <c r="BM84" s="290"/>
      <c r="BN84" s="284"/>
      <c r="BO84" s="284"/>
      <c r="BP84" s="284"/>
      <c r="BQ84" s="284"/>
      <c r="BR84" s="284"/>
      <c r="BS84" s="284"/>
      <c r="BT84" s="284"/>
      <c r="BU84" s="284"/>
      <c r="BV84" s="284"/>
      <c r="BW84" s="284"/>
      <c r="BX84" s="295"/>
      <c r="BY84" s="292"/>
      <c r="BZ84" s="290"/>
      <c r="CA84" s="290"/>
      <c r="CB84" s="290"/>
      <c r="CC84" s="290"/>
      <c r="CD84" s="284"/>
      <c r="CE84" s="284"/>
      <c r="CF84" s="284"/>
      <c r="CG84" s="284"/>
      <c r="CH84" s="284"/>
      <c r="CI84" s="284"/>
      <c r="CJ84" s="284"/>
      <c r="CK84" s="284"/>
      <c r="CL84" s="284"/>
      <c r="CM84" s="284"/>
      <c r="CN84" s="295"/>
    </row>
    <row r="85" spans="1:92" hidden="1" x14ac:dyDescent="0.25">
      <c r="B85" s="265">
        <v>11</v>
      </c>
      <c r="C85" s="265">
        <v>2</v>
      </c>
      <c r="D85" s="265" t="str">
        <f t="shared" si="65"/>
        <v>TRANSFER_WEST_L_2_16</v>
      </c>
      <c r="E85" s="265" t="s">
        <v>21</v>
      </c>
      <c r="F85" s="49" t="s">
        <v>21</v>
      </c>
      <c r="G85" s="3" t="s">
        <v>19</v>
      </c>
      <c r="H85" s="3">
        <v>2</v>
      </c>
      <c r="I85" s="3" t="s">
        <v>13</v>
      </c>
      <c r="J85" s="37"/>
      <c r="K85" s="90">
        <f>COUNT(W85:AR85)</f>
        <v>8</v>
      </c>
      <c r="L85" s="30" t="s">
        <v>28</v>
      </c>
      <c r="M85" s="323"/>
      <c r="N85" s="324"/>
      <c r="O85" s="324"/>
      <c r="P85" s="324"/>
      <c r="Q85" s="324"/>
      <c r="R85" s="256"/>
      <c r="S85" s="256"/>
      <c r="T85" s="256"/>
      <c r="U85" s="256"/>
      <c r="V85" s="325"/>
      <c r="W85" s="328">
        <v>1</v>
      </c>
      <c r="X85" s="3">
        <f>W85+1</f>
        <v>2</v>
      </c>
      <c r="Y85" s="3">
        <f t="shared" si="69"/>
        <v>3</v>
      </c>
      <c r="Z85" s="3">
        <f t="shared" si="69"/>
        <v>4</v>
      </c>
      <c r="AA85" s="3">
        <f t="shared" si="69"/>
        <v>5</v>
      </c>
      <c r="AB85" s="280">
        <f t="shared" si="69"/>
        <v>6</v>
      </c>
      <c r="AC85" s="319">
        <f t="shared" si="69"/>
        <v>7</v>
      </c>
      <c r="AD85" s="3">
        <f t="shared" si="69"/>
        <v>8</v>
      </c>
      <c r="AE85" s="258"/>
      <c r="AF85" s="258"/>
      <c r="AG85" s="284"/>
      <c r="AH85" s="284"/>
      <c r="AI85" s="284"/>
      <c r="AJ85" s="284"/>
      <c r="AK85" s="284"/>
      <c r="AL85" s="293"/>
      <c r="AM85" s="290"/>
      <c r="AN85" s="284"/>
      <c r="AO85" s="284"/>
      <c r="AP85" s="284"/>
      <c r="AQ85" s="284"/>
      <c r="AR85" s="329"/>
      <c r="AS85" s="292"/>
      <c r="AT85" s="290"/>
      <c r="AU85" s="290"/>
      <c r="AV85" s="290"/>
      <c r="AW85" s="290"/>
      <c r="AX85" s="284"/>
      <c r="AY85" s="284"/>
      <c r="AZ85" s="284"/>
      <c r="BA85" s="284"/>
      <c r="BB85" s="284"/>
      <c r="BC85" s="284"/>
      <c r="BD85" s="284"/>
      <c r="BE85" s="284"/>
      <c r="BF85" s="284"/>
      <c r="BG85" s="284"/>
      <c r="BH85" s="295"/>
      <c r="BI85" s="292"/>
      <c r="BJ85" s="290"/>
      <c r="BK85" s="290"/>
      <c r="BL85" s="290"/>
      <c r="BM85" s="290"/>
      <c r="BN85" s="284"/>
      <c r="BO85" s="284"/>
      <c r="BP85" s="284"/>
      <c r="BQ85" s="284"/>
      <c r="BR85" s="284"/>
      <c r="BS85" s="284"/>
      <c r="BT85" s="284"/>
      <c r="BU85" s="284"/>
      <c r="BV85" s="284"/>
      <c r="BW85" s="284"/>
      <c r="BX85" s="295"/>
      <c r="BY85" s="292"/>
      <c r="BZ85" s="290"/>
      <c r="CA85" s="290"/>
      <c r="CB85" s="290"/>
      <c r="CC85" s="290"/>
      <c r="CD85" s="284"/>
      <c r="CE85" s="284"/>
      <c r="CF85" s="284"/>
      <c r="CG85" s="284"/>
      <c r="CH85" s="284"/>
      <c r="CI85" s="284"/>
      <c r="CJ85" s="284"/>
      <c r="CK85" s="284"/>
      <c r="CL85" s="284"/>
      <c r="CM85" s="284"/>
      <c r="CN85" s="295"/>
    </row>
    <row r="86" spans="1:92" hidden="1" x14ac:dyDescent="0.25">
      <c r="B86" s="265">
        <v>11</v>
      </c>
      <c r="C86" s="265">
        <v>3</v>
      </c>
      <c r="D86" s="265" t="str">
        <f t="shared" si="65"/>
        <v>SUPPLY_WEST_L_2_16</v>
      </c>
      <c r="E86" s="265" t="s">
        <v>0</v>
      </c>
      <c r="F86" s="34" t="s">
        <v>0</v>
      </c>
      <c r="G86" s="3" t="s">
        <v>19</v>
      </c>
      <c r="H86" s="3">
        <v>2</v>
      </c>
      <c r="I86" s="3" t="s">
        <v>13</v>
      </c>
      <c r="J86" s="90"/>
      <c r="K86" s="90">
        <f>COUNT(AC86:BH86)</f>
        <v>6</v>
      </c>
      <c r="L86" s="30"/>
      <c r="M86" s="323"/>
      <c r="N86" s="324"/>
      <c r="O86" s="324"/>
      <c r="P86" s="324"/>
      <c r="Q86" s="324"/>
      <c r="R86" s="256"/>
      <c r="S86" s="256"/>
      <c r="T86" s="256"/>
      <c r="U86" s="256"/>
      <c r="V86" s="325"/>
      <c r="W86" s="326"/>
      <c r="X86" s="256"/>
      <c r="Y86" s="256"/>
      <c r="Z86" s="256"/>
      <c r="AA86" s="256"/>
      <c r="AB86" s="341"/>
      <c r="AC86" s="328">
        <v>1</v>
      </c>
      <c r="AD86" s="3">
        <f>AC86+1</f>
        <v>2</v>
      </c>
      <c r="AE86" s="3">
        <f t="shared" ref="AE86:AH86" si="70">AD86+1</f>
        <v>3</v>
      </c>
      <c r="AF86" s="3">
        <f t="shared" si="70"/>
        <v>4</v>
      </c>
      <c r="AG86" s="3">
        <f t="shared" si="70"/>
        <v>5</v>
      </c>
      <c r="AH86" s="3">
        <f t="shared" si="70"/>
        <v>6</v>
      </c>
      <c r="AI86" s="258"/>
      <c r="AJ86" s="258"/>
      <c r="AK86" s="258"/>
      <c r="AL86" s="300"/>
      <c r="AM86" s="299"/>
      <c r="AN86" s="258"/>
      <c r="AO86" s="258"/>
      <c r="AP86" s="258"/>
      <c r="AQ86" s="258"/>
      <c r="AR86" s="331"/>
      <c r="AS86" s="258"/>
      <c r="AT86" s="258"/>
      <c r="AU86" s="284"/>
      <c r="AV86" s="284"/>
      <c r="AW86" s="284"/>
      <c r="AX86" s="284"/>
      <c r="AY86" s="284"/>
      <c r="AZ86" s="284"/>
      <c r="BA86" s="284"/>
      <c r="BB86" s="284"/>
      <c r="BC86" s="284"/>
      <c r="BD86" s="284"/>
      <c r="BF86" s="284"/>
      <c r="BG86" s="284"/>
      <c r="BH86" s="295"/>
      <c r="BI86" s="292"/>
      <c r="BJ86" s="290"/>
      <c r="BK86" s="290"/>
      <c r="BL86" s="290"/>
      <c r="BM86" s="290"/>
      <c r="BN86" s="284"/>
      <c r="BO86" s="284"/>
      <c r="BP86" s="284"/>
      <c r="BQ86" s="284"/>
      <c r="BR86" s="284"/>
      <c r="BS86" s="284"/>
      <c r="BT86" s="284"/>
      <c r="BV86" s="284"/>
      <c r="BW86" s="284"/>
      <c r="BX86" s="295"/>
      <c r="BY86" s="292"/>
      <c r="BZ86" s="290"/>
      <c r="CA86" s="290"/>
      <c r="CB86" s="290"/>
      <c r="CC86" s="290"/>
      <c r="CD86" s="284"/>
      <c r="CE86" s="284"/>
      <c r="CF86" s="284"/>
      <c r="CG86" s="284"/>
      <c r="CH86" s="284"/>
      <c r="CI86" s="284"/>
      <c r="CJ86" s="284"/>
      <c r="CK86" s="284"/>
      <c r="CL86" s="284"/>
      <c r="CM86" s="284"/>
      <c r="CN86" s="295"/>
    </row>
    <row r="87" spans="1:92" x14ac:dyDescent="0.25">
      <c r="B87" s="265">
        <f>B86</f>
        <v>11</v>
      </c>
      <c r="C87" s="265">
        <v>4</v>
      </c>
      <c r="D87" s="265" t="str">
        <f t="shared" si="65"/>
        <v>EMPTY_WEST_L_2_16</v>
      </c>
      <c r="E87" s="265" t="s">
        <v>0</v>
      </c>
      <c r="F87" s="34" t="s">
        <v>32</v>
      </c>
      <c r="G87" s="3" t="s">
        <v>19</v>
      </c>
      <c r="H87" s="3">
        <v>2</v>
      </c>
      <c r="I87" s="3" t="s">
        <v>13</v>
      </c>
      <c r="J87" s="90"/>
      <c r="K87" s="90">
        <f>COUNT(M87:AR87)</f>
        <v>18</v>
      </c>
      <c r="L87" s="30"/>
      <c r="M87" s="292">
        <v>1</v>
      </c>
      <c r="N87" s="86">
        <f>M87+1</f>
        <v>2</v>
      </c>
      <c r="O87" s="86">
        <f t="shared" ref="O87:AD88" si="71">N87+1</f>
        <v>3</v>
      </c>
      <c r="P87" s="86">
        <f t="shared" si="71"/>
        <v>4</v>
      </c>
      <c r="Q87" s="86">
        <f t="shared" si="71"/>
        <v>5</v>
      </c>
      <c r="R87" s="86">
        <f t="shared" si="71"/>
        <v>6</v>
      </c>
      <c r="S87" s="86">
        <f t="shared" si="71"/>
        <v>7</v>
      </c>
      <c r="T87" s="86">
        <f t="shared" si="71"/>
        <v>8</v>
      </c>
      <c r="U87" s="86">
        <f t="shared" si="71"/>
        <v>9</v>
      </c>
      <c r="V87" s="336">
        <f t="shared" si="71"/>
        <v>10</v>
      </c>
      <c r="W87" s="319">
        <f t="shared" si="71"/>
        <v>11</v>
      </c>
      <c r="X87" s="3">
        <f t="shared" si="71"/>
        <v>12</v>
      </c>
      <c r="Y87" s="3">
        <f t="shared" si="71"/>
        <v>13</v>
      </c>
      <c r="Z87" s="3">
        <f t="shared" si="71"/>
        <v>14</v>
      </c>
      <c r="AA87" s="3">
        <f t="shared" si="71"/>
        <v>15</v>
      </c>
      <c r="AB87" s="280">
        <f t="shared" si="71"/>
        <v>16</v>
      </c>
      <c r="AC87" s="319">
        <f t="shared" si="71"/>
        <v>17</v>
      </c>
      <c r="AD87" s="3">
        <f t="shared" si="71"/>
        <v>18</v>
      </c>
      <c r="AE87" s="256"/>
      <c r="AF87" s="258"/>
      <c r="AG87" s="284"/>
      <c r="AH87" s="284"/>
      <c r="AI87" s="284"/>
      <c r="AJ87" s="284"/>
      <c r="AK87" s="284"/>
      <c r="AL87" s="293"/>
      <c r="AM87" s="290"/>
      <c r="AN87" s="284"/>
      <c r="AO87" s="284"/>
      <c r="AP87" s="284"/>
      <c r="AQ87" s="284"/>
      <c r="AR87" s="329"/>
      <c r="AS87" s="292"/>
      <c r="AT87" s="290"/>
      <c r="AU87" s="290"/>
      <c r="AV87" s="290"/>
      <c r="AW87" s="290"/>
      <c r="AX87" s="284"/>
      <c r="AY87" s="284"/>
      <c r="AZ87" s="284"/>
      <c r="BA87" s="284"/>
      <c r="BB87" s="284"/>
      <c r="BC87" s="284"/>
      <c r="BD87" s="284"/>
      <c r="BE87" s="284"/>
      <c r="BF87" s="284"/>
      <c r="BG87" s="284"/>
      <c r="BH87" s="295"/>
      <c r="BI87" s="292"/>
      <c r="BJ87" s="290"/>
      <c r="BK87" s="290"/>
      <c r="BL87" s="290"/>
      <c r="BM87" s="290"/>
      <c r="BN87" s="284"/>
      <c r="BO87" s="284"/>
      <c r="BP87" s="284"/>
      <c r="BQ87" s="284"/>
      <c r="BR87" s="284"/>
      <c r="BS87" s="284"/>
      <c r="BT87" s="284"/>
      <c r="BU87" s="284"/>
      <c r="BV87" s="284"/>
      <c r="BW87" s="284"/>
      <c r="BX87" s="295"/>
      <c r="BY87" s="292"/>
      <c r="BZ87" s="290"/>
      <c r="CA87" s="290"/>
      <c r="CB87" s="290"/>
      <c r="CC87" s="290"/>
      <c r="CD87" s="284"/>
      <c r="CE87" s="284"/>
      <c r="CF87" s="284"/>
      <c r="CG87" s="284"/>
      <c r="CH87" s="284"/>
      <c r="CI87" s="284"/>
      <c r="CJ87" s="284"/>
      <c r="CK87" s="284"/>
      <c r="CL87" s="284"/>
      <c r="CM87" s="284"/>
      <c r="CN87" s="295"/>
    </row>
    <row r="88" spans="1:92" hidden="1" x14ac:dyDescent="0.25">
      <c r="B88" s="265">
        <v>11</v>
      </c>
      <c r="C88" s="265">
        <v>5</v>
      </c>
      <c r="D88" s="265" t="str">
        <f t="shared" si="65"/>
        <v>PREPARE_WEST_L_2_16</v>
      </c>
      <c r="E88" s="265" t="s">
        <v>0</v>
      </c>
      <c r="F88" s="49" t="s">
        <v>46</v>
      </c>
      <c r="G88" s="3" t="s">
        <v>19</v>
      </c>
      <c r="H88" s="3">
        <v>2</v>
      </c>
      <c r="I88" s="3" t="s">
        <v>13</v>
      </c>
      <c r="J88" s="37"/>
      <c r="K88" s="90">
        <f>COUNT(M88:AR88)</f>
        <v>20</v>
      </c>
      <c r="L88" s="30"/>
      <c r="M88" s="292">
        <v>1</v>
      </c>
      <c r="N88" s="86">
        <f>M88+1</f>
        <v>2</v>
      </c>
      <c r="O88" s="86">
        <f t="shared" si="71"/>
        <v>3</v>
      </c>
      <c r="P88" s="86">
        <f t="shared" si="71"/>
        <v>4</v>
      </c>
      <c r="Q88" s="86">
        <f t="shared" si="71"/>
        <v>5</v>
      </c>
      <c r="R88" s="86">
        <f t="shared" si="71"/>
        <v>6</v>
      </c>
      <c r="S88" s="86">
        <f t="shared" si="71"/>
        <v>7</v>
      </c>
      <c r="T88" s="86">
        <f t="shared" si="71"/>
        <v>8</v>
      </c>
      <c r="U88" s="86">
        <f t="shared" si="71"/>
        <v>9</v>
      </c>
      <c r="V88" s="336">
        <f t="shared" si="71"/>
        <v>10</v>
      </c>
      <c r="W88" s="319">
        <f t="shared" si="71"/>
        <v>11</v>
      </c>
      <c r="X88" s="3">
        <f t="shared" si="71"/>
        <v>12</v>
      </c>
      <c r="Y88" s="3">
        <f t="shared" si="71"/>
        <v>13</v>
      </c>
      <c r="Z88" s="3">
        <f t="shared" si="71"/>
        <v>14</v>
      </c>
      <c r="AA88" s="3">
        <f t="shared" si="71"/>
        <v>15</v>
      </c>
      <c r="AB88" s="280">
        <f t="shared" si="71"/>
        <v>16</v>
      </c>
      <c r="AC88" s="319">
        <f t="shared" si="71"/>
        <v>17</v>
      </c>
      <c r="AD88" s="3">
        <f t="shared" si="71"/>
        <v>18</v>
      </c>
      <c r="AE88" s="3">
        <f t="shared" ref="AE88:AF88" si="72">AD88+1</f>
        <v>19</v>
      </c>
      <c r="AF88" s="3">
        <f t="shared" si="72"/>
        <v>20</v>
      </c>
      <c r="AG88" s="258"/>
      <c r="AH88" s="258"/>
      <c r="AI88" s="284"/>
      <c r="AJ88" s="284"/>
      <c r="AK88" s="284"/>
      <c r="AL88" s="293"/>
      <c r="AM88" s="290"/>
      <c r="AN88" s="284"/>
      <c r="AO88" s="284"/>
      <c r="AP88" s="284"/>
      <c r="AQ88" s="284"/>
      <c r="AR88" s="290"/>
      <c r="AS88" s="292"/>
      <c r="AT88" s="297"/>
      <c r="AU88" s="297"/>
      <c r="AV88" s="284"/>
      <c r="AW88" s="284"/>
      <c r="AX88" s="284"/>
      <c r="AY88" s="284"/>
      <c r="AZ88" s="284"/>
      <c r="BA88" s="284"/>
      <c r="BB88" s="284"/>
      <c r="BC88" s="284"/>
      <c r="BD88" s="284"/>
      <c r="BE88" s="284"/>
      <c r="BF88" s="284"/>
      <c r="BG88" s="284"/>
      <c r="BH88" s="295"/>
      <c r="BI88" s="292"/>
      <c r="BJ88" s="290"/>
      <c r="BK88" s="290"/>
      <c r="BL88" s="290"/>
      <c r="BM88" s="290"/>
      <c r="BN88" s="284"/>
      <c r="BO88" s="284"/>
      <c r="BP88" s="284"/>
      <c r="BQ88" s="284"/>
      <c r="BR88" s="284"/>
      <c r="BS88" s="284"/>
      <c r="BT88" s="284"/>
      <c r="BU88" s="284"/>
      <c r="BV88" s="284"/>
      <c r="BW88" s="284"/>
      <c r="BX88" s="295"/>
      <c r="BY88" s="292"/>
      <c r="BZ88" s="290"/>
      <c r="CA88" s="290"/>
      <c r="CB88" s="290"/>
      <c r="CC88" s="290"/>
      <c r="CD88" s="284"/>
      <c r="CE88" s="284"/>
      <c r="CF88" s="284"/>
      <c r="CG88" s="284"/>
      <c r="CH88" s="284"/>
      <c r="CI88" s="284"/>
      <c r="CJ88" s="284"/>
      <c r="CK88" s="284"/>
      <c r="CL88" s="284"/>
      <c r="CM88" s="284"/>
      <c r="CN88" s="295"/>
    </row>
    <row r="89" spans="1:92" hidden="1" x14ac:dyDescent="0.25">
      <c r="B89" s="265">
        <f>B87</f>
        <v>11</v>
      </c>
      <c r="C89" s="265">
        <v>6</v>
      </c>
      <c r="D89" s="265" t="str">
        <f t="shared" si="65"/>
        <v>COUNTDOWN_WEST_L_2_16</v>
      </c>
      <c r="E89" s="265"/>
      <c r="F89" s="34" t="s">
        <v>33</v>
      </c>
      <c r="G89" s="3" t="s">
        <v>19</v>
      </c>
      <c r="H89" s="3">
        <v>2</v>
      </c>
      <c r="I89" s="3" t="s">
        <v>13</v>
      </c>
      <c r="J89" s="32"/>
      <c r="K89" s="32"/>
      <c r="L89" s="30" t="s">
        <v>28</v>
      </c>
      <c r="M89" s="292">
        <v>4</v>
      </c>
      <c r="N89" s="290">
        <v>3</v>
      </c>
      <c r="O89" s="290">
        <v>2</v>
      </c>
      <c r="P89" s="290">
        <v>1</v>
      </c>
      <c r="Q89" s="290">
        <v>16</v>
      </c>
      <c r="R89" s="284">
        <v>15</v>
      </c>
      <c r="S89" s="284">
        <v>14</v>
      </c>
      <c r="T89" s="284">
        <v>13</v>
      </c>
      <c r="U89" s="284">
        <v>12</v>
      </c>
      <c r="V89" s="298">
        <v>11</v>
      </c>
      <c r="W89" s="328">
        <v>10</v>
      </c>
      <c r="X89" s="284">
        <v>9</v>
      </c>
      <c r="Y89" s="284">
        <v>8</v>
      </c>
      <c r="Z89" s="284">
        <v>7</v>
      </c>
      <c r="AA89" s="284">
        <v>6</v>
      </c>
      <c r="AB89" s="293">
        <v>5</v>
      </c>
      <c r="AC89" s="328">
        <v>4</v>
      </c>
      <c r="AD89" s="284">
        <v>3</v>
      </c>
      <c r="AE89" s="284">
        <v>2</v>
      </c>
      <c r="AF89" s="284">
        <v>1</v>
      </c>
      <c r="AG89" s="284">
        <v>16</v>
      </c>
      <c r="AH89" s="284">
        <v>15</v>
      </c>
      <c r="AI89" s="284">
        <v>14</v>
      </c>
      <c r="AJ89" s="284">
        <v>13</v>
      </c>
      <c r="AK89" s="284">
        <v>12</v>
      </c>
      <c r="AL89" s="293">
        <v>11</v>
      </c>
      <c r="AM89" s="290">
        <v>10</v>
      </c>
      <c r="AN89" s="284">
        <v>9</v>
      </c>
      <c r="AO89" s="284">
        <v>8</v>
      </c>
      <c r="AP89" s="284">
        <v>7</v>
      </c>
      <c r="AQ89" s="284">
        <v>6</v>
      </c>
      <c r="AR89" s="295">
        <v>5</v>
      </c>
      <c r="AS89" s="292">
        <v>4</v>
      </c>
      <c r="AT89" s="290">
        <v>3</v>
      </c>
      <c r="AU89" s="290">
        <v>2</v>
      </c>
      <c r="AV89" s="290">
        <v>1</v>
      </c>
      <c r="AW89" s="290">
        <v>16</v>
      </c>
      <c r="AX89" s="284">
        <v>15</v>
      </c>
      <c r="AY89" s="284">
        <v>14</v>
      </c>
      <c r="AZ89" s="284">
        <v>13</v>
      </c>
      <c r="BA89" s="284">
        <v>12</v>
      </c>
      <c r="BB89" s="284">
        <v>11</v>
      </c>
      <c r="BC89" s="284">
        <v>10</v>
      </c>
      <c r="BD89" s="284">
        <v>9</v>
      </c>
      <c r="BE89" s="284">
        <v>8</v>
      </c>
      <c r="BF89" s="284">
        <v>7</v>
      </c>
      <c r="BG89" s="284">
        <v>6</v>
      </c>
      <c r="BH89" s="295">
        <v>5</v>
      </c>
      <c r="BI89" s="292">
        <v>4</v>
      </c>
      <c r="BJ89" s="290">
        <v>3</v>
      </c>
      <c r="BK89" s="290">
        <v>2</v>
      </c>
      <c r="BL89" s="290">
        <v>1</v>
      </c>
      <c r="BM89" s="290">
        <v>16</v>
      </c>
      <c r="BN89" s="284">
        <v>15</v>
      </c>
      <c r="BO89" s="284">
        <v>14</v>
      </c>
      <c r="BP89" s="284">
        <v>13</v>
      </c>
      <c r="BQ89" s="284">
        <v>12</v>
      </c>
      <c r="BR89" s="284">
        <v>11</v>
      </c>
      <c r="BS89" s="284">
        <v>10</v>
      </c>
      <c r="BT89" s="284">
        <v>9</v>
      </c>
      <c r="BU89" s="284">
        <v>8</v>
      </c>
      <c r="BV89" s="284">
        <v>7</v>
      </c>
      <c r="BW89" s="284">
        <v>6</v>
      </c>
      <c r="BX89" s="295">
        <v>5</v>
      </c>
      <c r="BY89" s="292">
        <v>4</v>
      </c>
      <c r="BZ89" s="290">
        <v>3</v>
      </c>
      <c r="CA89" s="290">
        <v>2</v>
      </c>
      <c r="CB89" s="290">
        <v>1</v>
      </c>
      <c r="CC89" s="290">
        <v>16</v>
      </c>
      <c r="CD89" s="284">
        <v>15</v>
      </c>
      <c r="CE89" s="284">
        <v>14</v>
      </c>
      <c r="CF89" s="284">
        <v>13</v>
      </c>
      <c r="CG89" s="284">
        <v>12</v>
      </c>
      <c r="CH89" s="284">
        <v>11</v>
      </c>
      <c r="CI89" s="284">
        <v>10</v>
      </c>
      <c r="CJ89" s="284">
        <v>9</v>
      </c>
      <c r="CK89" s="284">
        <v>8</v>
      </c>
      <c r="CL89" s="284">
        <v>7</v>
      </c>
      <c r="CM89" s="284">
        <v>6</v>
      </c>
      <c r="CN89" s="295">
        <v>5</v>
      </c>
    </row>
    <row r="90" spans="1:92" hidden="1" x14ac:dyDescent="0.25">
      <c r="B90" s="265">
        <v>14</v>
      </c>
      <c r="C90" s="265">
        <v>1</v>
      </c>
      <c r="D90" s="265" t="str">
        <f t="shared" si="65"/>
        <v>SORTING_WEST_N_1_16</v>
      </c>
      <c r="E90" s="265" t="s">
        <v>35</v>
      </c>
      <c r="F90" s="49" t="s">
        <v>45</v>
      </c>
      <c r="G90" s="3" t="s">
        <v>19</v>
      </c>
      <c r="H90" s="3">
        <v>1</v>
      </c>
      <c r="I90" s="3" t="s">
        <v>15</v>
      </c>
      <c r="J90" s="37"/>
      <c r="K90" s="90">
        <f>COUNT(W90:AR90)</f>
        <v>8</v>
      </c>
      <c r="L90" s="30"/>
      <c r="M90" s="323"/>
      <c r="N90" s="324"/>
      <c r="O90" s="324"/>
      <c r="P90" s="324"/>
      <c r="Q90" s="324"/>
      <c r="R90" s="256"/>
      <c r="S90" s="256"/>
      <c r="T90" s="256"/>
      <c r="U90" s="256"/>
      <c r="V90" s="325"/>
      <c r="W90" s="328">
        <v>1</v>
      </c>
      <c r="X90" s="33">
        <f>W90+1</f>
        <v>2</v>
      </c>
      <c r="Y90" s="33">
        <f t="shared" ref="Y90:AJ92" si="73">X90+1</f>
        <v>3</v>
      </c>
      <c r="Z90" s="33">
        <f t="shared" si="73"/>
        <v>4</v>
      </c>
      <c r="AA90" s="33">
        <f t="shared" si="73"/>
        <v>5</v>
      </c>
      <c r="AB90" s="282">
        <f t="shared" si="73"/>
        <v>6</v>
      </c>
      <c r="AC90" s="321">
        <f t="shared" si="73"/>
        <v>7</v>
      </c>
      <c r="AD90" s="33">
        <f t="shared" si="73"/>
        <v>8</v>
      </c>
      <c r="AE90" s="258"/>
      <c r="AF90" s="258"/>
      <c r="AG90" s="284"/>
      <c r="AH90" s="284"/>
      <c r="AI90" s="284"/>
      <c r="AJ90" s="284"/>
      <c r="AK90" s="284"/>
      <c r="AL90" s="293"/>
      <c r="AM90" s="290"/>
      <c r="AN90" s="284"/>
      <c r="AO90" s="284"/>
      <c r="AP90" s="284"/>
      <c r="AQ90" s="284"/>
      <c r="AR90" s="295"/>
      <c r="AS90" s="292"/>
      <c r="AT90" s="290"/>
      <c r="AU90" s="290"/>
      <c r="AV90" s="290"/>
      <c r="AW90" s="290"/>
      <c r="AX90" s="284"/>
      <c r="AY90" s="284"/>
      <c r="AZ90" s="284"/>
      <c r="BA90" s="284"/>
      <c r="BB90" s="284"/>
      <c r="BC90" s="284"/>
      <c r="BD90" s="284"/>
      <c r="BE90" s="284"/>
      <c r="BF90" s="284"/>
      <c r="BG90" s="284"/>
      <c r="BH90" s="295"/>
      <c r="BI90" s="292"/>
      <c r="BJ90" s="290"/>
      <c r="BK90" s="290"/>
      <c r="BL90" s="290"/>
      <c r="BM90" s="290"/>
      <c r="BN90" s="284"/>
      <c r="BO90" s="284"/>
      <c r="BP90" s="284"/>
      <c r="BQ90" s="284"/>
      <c r="BR90" s="284"/>
      <c r="BS90" s="284"/>
      <c r="BT90" s="284"/>
      <c r="BU90" s="284"/>
      <c r="BV90" s="284"/>
      <c r="BW90" s="284"/>
      <c r="BX90" s="295"/>
      <c r="BY90" s="292"/>
      <c r="BZ90" s="290"/>
      <c r="CA90" s="290"/>
      <c r="CB90" s="290"/>
      <c r="CC90" s="290"/>
      <c r="CD90" s="284"/>
      <c r="CE90" s="284"/>
      <c r="CF90" s="284"/>
      <c r="CG90" s="284"/>
      <c r="CH90" s="284"/>
      <c r="CI90" s="284"/>
      <c r="CJ90" s="284"/>
      <c r="CK90" s="284"/>
      <c r="CL90" s="284"/>
      <c r="CM90" s="284"/>
      <c r="CN90" s="295"/>
    </row>
    <row r="91" spans="1:92" hidden="1" x14ac:dyDescent="0.25">
      <c r="B91" s="265">
        <v>14</v>
      </c>
      <c r="C91" s="265">
        <v>2</v>
      </c>
      <c r="D91" s="265" t="str">
        <f t="shared" si="65"/>
        <v>TRANSFER_WEST_N_1_16</v>
      </c>
      <c r="E91" s="265" t="s">
        <v>21</v>
      </c>
      <c r="F91" s="49" t="s">
        <v>21</v>
      </c>
      <c r="G91" s="3" t="s">
        <v>19</v>
      </c>
      <c r="H91" s="3">
        <v>1</v>
      </c>
      <c r="I91" s="3" t="s">
        <v>15</v>
      </c>
      <c r="J91" s="37"/>
      <c r="K91" s="90">
        <f>COUNT(W91:AR91)</f>
        <v>10</v>
      </c>
      <c r="L91" s="30"/>
      <c r="M91" s="323"/>
      <c r="N91" s="324"/>
      <c r="O91" s="324"/>
      <c r="P91" s="324"/>
      <c r="Q91" s="324"/>
      <c r="R91" s="256"/>
      <c r="S91" s="256"/>
      <c r="T91" s="256"/>
      <c r="U91" s="256"/>
      <c r="V91" s="325"/>
      <c r="W91" s="328">
        <v>1</v>
      </c>
      <c r="X91" s="3">
        <f>W91+1</f>
        <v>2</v>
      </c>
      <c r="Y91" s="3">
        <f t="shared" si="73"/>
        <v>3</v>
      </c>
      <c r="Z91" s="3">
        <f t="shared" si="73"/>
        <v>4</v>
      </c>
      <c r="AA91" s="3">
        <f t="shared" si="73"/>
        <v>5</v>
      </c>
      <c r="AB91" s="280">
        <f t="shared" si="73"/>
        <v>6</v>
      </c>
      <c r="AC91" s="319">
        <f t="shared" si="73"/>
        <v>7</v>
      </c>
      <c r="AD91" s="3">
        <f t="shared" si="73"/>
        <v>8</v>
      </c>
      <c r="AE91" s="3">
        <f t="shared" si="73"/>
        <v>9</v>
      </c>
      <c r="AF91" s="3">
        <f t="shared" si="73"/>
        <v>10</v>
      </c>
      <c r="AG91" s="258"/>
      <c r="AH91" s="258"/>
      <c r="AI91" s="284"/>
      <c r="AJ91" s="284"/>
      <c r="AK91" s="284"/>
      <c r="AL91" s="293"/>
      <c r="AM91" s="290"/>
      <c r="AN91" s="284"/>
      <c r="AO91" s="284"/>
      <c r="AP91" s="284"/>
      <c r="AQ91" s="284"/>
      <c r="AR91" s="295"/>
      <c r="AS91" s="292"/>
      <c r="AT91" s="290"/>
      <c r="AU91" s="290"/>
      <c r="AV91" s="290"/>
      <c r="AW91" s="290"/>
      <c r="AX91" s="284"/>
      <c r="AY91" s="284"/>
      <c r="AZ91" s="284"/>
      <c r="BA91" s="284"/>
      <c r="BB91" s="284"/>
      <c r="BC91" s="284"/>
      <c r="BD91" s="284"/>
      <c r="BE91" s="284"/>
      <c r="BF91" s="284"/>
      <c r="BG91" s="284"/>
      <c r="BH91" s="295"/>
      <c r="BI91" s="292"/>
      <c r="BJ91" s="290"/>
      <c r="BK91" s="290"/>
      <c r="BL91" s="290"/>
      <c r="BM91" s="290"/>
      <c r="BN91" s="284"/>
      <c r="BO91" s="284"/>
      <c r="BP91" s="284"/>
      <c r="BQ91" s="284"/>
      <c r="BR91" s="284"/>
      <c r="BS91" s="284"/>
      <c r="BT91" s="284"/>
      <c r="BU91" s="284"/>
      <c r="BV91" s="284"/>
      <c r="BW91" s="284"/>
      <c r="BX91" s="295"/>
      <c r="BY91" s="292"/>
      <c r="BZ91" s="290"/>
      <c r="CA91" s="290"/>
      <c r="CB91" s="290"/>
      <c r="CC91" s="290"/>
      <c r="CD91" s="284"/>
      <c r="CE91" s="284"/>
      <c r="CF91" s="284"/>
      <c r="CG91" s="284"/>
      <c r="CH91" s="284"/>
      <c r="CI91" s="284"/>
      <c r="CJ91" s="284"/>
      <c r="CK91" s="284"/>
      <c r="CL91" s="284"/>
      <c r="CM91" s="284"/>
      <c r="CN91" s="295"/>
    </row>
    <row r="92" spans="1:92" hidden="1" x14ac:dyDescent="0.25">
      <c r="B92" s="265">
        <v>14</v>
      </c>
      <c r="C92" s="265">
        <v>3</v>
      </c>
      <c r="D92" s="265" t="str">
        <f t="shared" si="65"/>
        <v>SUPPLY_WEST_N_1_16</v>
      </c>
      <c r="E92" s="265" t="s">
        <v>0</v>
      </c>
      <c r="F92" s="34" t="s">
        <v>0</v>
      </c>
      <c r="G92" s="3" t="s">
        <v>19</v>
      </c>
      <c r="H92" s="3">
        <v>1</v>
      </c>
      <c r="I92" s="3" t="s">
        <v>15</v>
      </c>
      <c r="J92" s="90"/>
      <c r="K92" s="90">
        <f>COUNT(AC92:BH92)</f>
        <v>8</v>
      </c>
      <c r="L92" s="30"/>
      <c r="M92" s="323"/>
      <c r="N92" s="324"/>
      <c r="O92" s="324"/>
      <c r="P92" s="324"/>
      <c r="Q92" s="324"/>
      <c r="R92" s="256"/>
      <c r="S92" s="256"/>
      <c r="T92" s="256"/>
      <c r="U92" s="256"/>
      <c r="V92" s="325"/>
      <c r="W92" s="326"/>
      <c r="X92" s="256"/>
      <c r="Y92" s="256"/>
      <c r="Z92" s="256"/>
      <c r="AA92" s="256"/>
      <c r="AB92" s="341"/>
      <c r="AC92" s="328">
        <v>1</v>
      </c>
      <c r="AD92" s="3">
        <f>AC92+1</f>
        <v>2</v>
      </c>
      <c r="AE92" s="3">
        <f t="shared" si="73"/>
        <v>3</v>
      </c>
      <c r="AF92" s="3">
        <f t="shared" si="73"/>
        <v>4</v>
      </c>
      <c r="AG92" s="3">
        <f t="shared" si="73"/>
        <v>5</v>
      </c>
      <c r="AH92" s="3">
        <f t="shared" si="73"/>
        <v>6</v>
      </c>
      <c r="AI92" s="3">
        <f t="shared" si="73"/>
        <v>7</v>
      </c>
      <c r="AJ92" s="3">
        <f t="shared" si="73"/>
        <v>8</v>
      </c>
      <c r="AK92" s="258"/>
      <c r="AL92" s="300"/>
      <c r="AM92" s="299"/>
      <c r="AN92" s="258"/>
      <c r="AO92" s="258"/>
      <c r="AP92" s="258"/>
      <c r="AQ92" s="258"/>
      <c r="AR92" s="331"/>
      <c r="AS92" s="258"/>
      <c r="AT92" s="258"/>
      <c r="AU92" s="258"/>
      <c r="AV92" s="258"/>
      <c r="AW92" s="284"/>
      <c r="AX92" s="284"/>
      <c r="AY92" s="284"/>
      <c r="AZ92" s="284"/>
      <c r="BA92" s="284"/>
      <c r="BB92" s="284"/>
      <c r="BC92" s="284"/>
      <c r="BD92" s="284"/>
      <c r="BE92" s="284"/>
      <c r="BF92" s="284"/>
      <c r="BG92" s="284"/>
      <c r="BH92" s="295"/>
      <c r="BI92" s="296"/>
      <c r="BJ92" s="297"/>
      <c r="BK92" s="297"/>
      <c r="BL92" s="297"/>
      <c r="BM92" s="297"/>
      <c r="BN92" s="284"/>
      <c r="BO92" s="284"/>
      <c r="BP92" s="284"/>
      <c r="BR92" s="284"/>
      <c r="BS92" s="284"/>
      <c r="BT92" s="284"/>
      <c r="BU92" s="284"/>
      <c r="BV92" s="284"/>
      <c r="BW92" s="284"/>
      <c r="BX92" s="295"/>
      <c r="BY92" s="292"/>
      <c r="BZ92" s="290"/>
      <c r="CA92" s="290"/>
      <c r="CB92" s="290"/>
      <c r="CC92" s="290"/>
      <c r="CD92" s="284"/>
      <c r="CE92" s="284"/>
      <c r="CF92" s="284"/>
      <c r="CH92" s="284"/>
      <c r="CI92" s="284"/>
      <c r="CJ92" s="284"/>
      <c r="CK92" s="284"/>
      <c r="CL92" s="284"/>
      <c r="CM92" s="284"/>
      <c r="CN92" s="295"/>
    </row>
    <row r="93" spans="1:92" x14ac:dyDescent="0.25">
      <c r="B93" s="265">
        <f>B92</f>
        <v>14</v>
      </c>
      <c r="C93" s="265">
        <v>4</v>
      </c>
      <c r="D93" s="265" t="str">
        <f t="shared" si="65"/>
        <v>EMPTY_WEST_N_1_16</v>
      </c>
      <c r="E93" s="265" t="s">
        <v>0</v>
      </c>
      <c r="F93" s="34" t="s">
        <v>32</v>
      </c>
      <c r="G93" s="3" t="s">
        <v>19</v>
      </c>
      <c r="H93" s="3">
        <v>1</v>
      </c>
      <c r="I93" s="3" t="s">
        <v>15</v>
      </c>
      <c r="J93" s="90"/>
      <c r="K93" s="90">
        <f>COUNT(M93:AR93)</f>
        <v>20</v>
      </c>
      <c r="L93" s="30"/>
      <c r="M93" s="292">
        <v>1</v>
      </c>
      <c r="N93" s="86">
        <f>M93+1</f>
        <v>2</v>
      </c>
      <c r="O93" s="86">
        <f t="shared" ref="O93:AF94" si="74">N93+1</f>
        <v>3</v>
      </c>
      <c r="P93" s="86">
        <f t="shared" si="74"/>
        <v>4</v>
      </c>
      <c r="Q93" s="86">
        <f t="shared" si="74"/>
        <v>5</v>
      </c>
      <c r="R93" s="86">
        <f t="shared" si="74"/>
        <v>6</v>
      </c>
      <c r="S93" s="86">
        <f t="shared" si="74"/>
        <v>7</v>
      </c>
      <c r="T93" s="86">
        <f t="shared" si="74"/>
        <v>8</v>
      </c>
      <c r="U93" s="86">
        <f t="shared" si="74"/>
        <v>9</v>
      </c>
      <c r="V93" s="336">
        <f t="shared" si="74"/>
        <v>10</v>
      </c>
      <c r="W93" s="319">
        <f t="shared" si="74"/>
        <v>11</v>
      </c>
      <c r="X93" s="3">
        <f t="shared" si="74"/>
        <v>12</v>
      </c>
      <c r="Y93" s="3">
        <f t="shared" si="74"/>
        <v>13</v>
      </c>
      <c r="Z93" s="3">
        <f t="shared" si="74"/>
        <v>14</v>
      </c>
      <c r="AA93" s="3">
        <f t="shared" si="74"/>
        <v>15</v>
      </c>
      <c r="AB93" s="280">
        <f t="shared" si="74"/>
        <v>16</v>
      </c>
      <c r="AC93" s="319">
        <f t="shared" si="74"/>
        <v>17</v>
      </c>
      <c r="AD93" s="3">
        <f t="shared" si="74"/>
        <v>18</v>
      </c>
      <c r="AE93" s="3">
        <f t="shared" si="74"/>
        <v>19</v>
      </c>
      <c r="AF93" s="3">
        <f t="shared" si="74"/>
        <v>20</v>
      </c>
      <c r="AG93" s="256"/>
      <c r="AH93" s="258"/>
      <c r="AI93" s="284"/>
      <c r="AJ93" s="284"/>
      <c r="AK93" s="284"/>
      <c r="AL93" s="293"/>
      <c r="AM93" s="290"/>
      <c r="AN93" s="284"/>
      <c r="AO93" s="284"/>
      <c r="AP93" s="284"/>
      <c r="AQ93" s="284"/>
      <c r="AR93" s="295"/>
      <c r="AS93" s="292"/>
      <c r="AT93" s="290"/>
      <c r="AU93" s="290"/>
      <c r="AV93" s="290"/>
      <c r="AW93" s="290"/>
      <c r="AX93" s="284"/>
      <c r="AY93" s="284"/>
      <c r="AZ93" s="284"/>
      <c r="BA93" s="284"/>
      <c r="BB93" s="284"/>
      <c r="BC93" s="284"/>
      <c r="BD93" s="284"/>
      <c r="BE93" s="284"/>
      <c r="BF93" s="284"/>
      <c r="BG93" s="284"/>
      <c r="BH93" s="295"/>
      <c r="BI93" s="292"/>
      <c r="BJ93" s="290"/>
      <c r="BK93" s="290"/>
      <c r="BL93" s="290"/>
      <c r="BM93" s="290"/>
      <c r="BN93" s="284"/>
      <c r="BO93" s="284"/>
      <c r="BP93" s="284"/>
      <c r="BQ93" s="284"/>
      <c r="BR93" s="284"/>
      <c r="BS93" s="284"/>
      <c r="BT93" s="284"/>
      <c r="BU93" s="284"/>
      <c r="BV93" s="284"/>
      <c r="BW93" s="284"/>
      <c r="BX93" s="295"/>
      <c r="BY93" s="292"/>
      <c r="BZ93" s="290"/>
      <c r="CA93" s="290"/>
      <c r="CB93" s="290"/>
      <c r="CC93" s="290"/>
      <c r="CD93" s="284"/>
      <c r="CE93" s="284"/>
      <c r="CF93" s="284"/>
      <c r="CG93" s="284"/>
      <c r="CH93" s="284"/>
      <c r="CI93" s="284"/>
      <c r="CJ93" s="284"/>
      <c r="CK93" s="284"/>
      <c r="CL93" s="284"/>
      <c r="CM93" s="284"/>
      <c r="CN93" s="295"/>
    </row>
    <row r="94" spans="1:92" hidden="1" x14ac:dyDescent="0.25">
      <c r="B94" s="265">
        <v>14</v>
      </c>
      <c r="C94" s="265">
        <v>5</v>
      </c>
      <c r="D94" s="265" t="str">
        <f t="shared" si="65"/>
        <v>PREPARE_WEST_N_1_16</v>
      </c>
      <c r="E94" s="265" t="s">
        <v>0</v>
      </c>
      <c r="F94" s="49" t="s">
        <v>46</v>
      </c>
      <c r="G94" s="3" t="s">
        <v>19</v>
      </c>
      <c r="H94" s="3">
        <v>1</v>
      </c>
      <c r="I94" s="3" t="s">
        <v>15</v>
      </c>
      <c r="J94" s="37"/>
      <c r="K94" s="90">
        <f>COUNT(M94:AR94)</f>
        <v>22</v>
      </c>
      <c r="L94" s="30"/>
      <c r="M94" s="292">
        <v>1</v>
      </c>
      <c r="N94" s="86">
        <f>M94+1</f>
        <v>2</v>
      </c>
      <c r="O94" s="86">
        <f t="shared" si="74"/>
        <v>3</v>
      </c>
      <c r="P94" s="86">
        <f t="shared" si="74"/>
        <v>4</v>
      </c>
      <c r="Q94" s="86">
        <f t="shared" si="74"/>
        <v>5</v>
      </c>
      <c r="R94" s="86">
        <f t="shared" si="74"/>
        <v>6</v>
      </c>
      <c r="S94" s="86">
        <f t="shared" si="74"/>
        <v>7</v>
      </c>
      <c r="T94" s="86">
        <f t="shared" si="74"/>
        <v>8</v>
      </c>
      <c r="U94" s="86">
        <f t="shared" si="74"/>
        <v>9</v>
      </c>
      <c r="V94" s="336">
        <f t="shared" si="74"/>
        <v>10</v>
      </c>
      <c r="W94" s="319">
        <f t="shared" si="74"/>
        <v>11</v>
      </c>
      <c r="X94" s="3">
        <f t="shared" si="74"/>
        <v>12</v>
      </c>
      <c r="Y94" s="3">
        <f t="shared" si="74"/>
        <v>13</v>
      </c>
      <c r="Z94" s="3">
        <f t="shared" si="74"/>
        <v>14</v>
      </c>
      <c r="AA94" s="3">
        <f t="shared" si="74"/>
        <v>15</v>
      </c>
      <c r="AB94" s="280">
        <f t="shared" si="74"/>
        <v>16</v>
      </c>
      <c r="AC94" s="319">
        <f t="shared" si="74"/>
        <v>17</v>
      </c>
      <c r="AD94" s="3">
        <f t="shared" si="74"/>
        <v>18</v>
      </c>
      <c r="AE94" s="3">
        <f t="shared" si="74"/>
        <v>19</v>
      </c>
      <c r="AF94" s="3">
        <f t="shared" si="74"/>
        <v>20</v>
      </c>
      <c r="AG94" s="3">
        <f t="shared" ref="AG94:AH94" si="75">AF94+1</f>
        <v>21</v>
      </c>
      <c r="AH94" s="3">
        <f t="shared" si="75"/>
        <v>22</v>
      </c>
      <c r="AI94" s="258"/>
      <c r="AJ94" s="258"/>
      <c r="AK94" s="284"/>
      <c r="AL94" s="293"/>
      <c r="AM94" s="290"/>
      <c r="AN94" s="284"/>
      <c r="AO94" s="284"/>
      <c r="AP94" s="284"/>
      <c r="AQ94" s="284"/>
      <c r="AR94" s="295"/>
      <c r="AS94" s="292"/>
      <c r="AT94" s="284"/>
      <c r="AU94" s="284"/>
      <c r="AV94" s="284"/>
      <c r="AW94" s="284"/>
      <c r="AX94" s="284"/>
      <c r="AY94" s="284"/>
      <c r="AZ94" s="284"/>
      <c r="BA94" s="284"/>
      <c r="BB94" s="284"/>
      <c r="BC94" s="284"/>
      <c r="BD94" s="284"/>
      <c r="BE94" s="284"/>
      <c r="BF94" s="284"/>
      <c r="BG94" s="284"/>
      <c r="BH94" s="295"/>
      <c r="BI94" s="296"/>
      <c r="BJ94" s="284"/>
      <c r="BK94" s="284"/>
      <c r="BL94" s="284"/>
      <c r="BM94" s="284"/>
      <c r="BN94" s="284"/>
      <c r="BO94" s="284"/>
      <c r="BP94" s="284"/>
      <c r="BQ94" s="284"/>
      <c r="BR94" s="284"/>
      <c r="BS94" s="284"/>
      <c r="BT94" s="284"/>
      <c r="BU94" s="284"/>
      <c r="BV94" s="284"/>
      <c r="BW94" s="284"/>
      <c r="BX94" s="295"/>
      <c r="BY94" s="292"/>
      <c r="BZ94" s="290"/>
      <c r="CA94" s="290"/>
      <c r="CB94" s="290"/>
      <c r="CC94" s="290"/>
      <c r="CD94" s="284"/>
      <c r="CE94" s="284"/>
      <c r="CF94" s="284"/>
      <c r="CG94" s="284"/>
      <c r="CH94" s="284"/>
      <c r="CI94" s="284"/>
      <c r="CJ94" s="284"/>
      <c r="CK94" s="284"/>
      <c r="CL94" s="284"/>
      <c r="CM94" s="284"/>
      <c r="CN94" s="295"/>
    </row>
    <row r="95" spans="1:92" hidden="1" x14ac:dyDescent="0.25">
      <c r="B95" s="265">
        <f>B93</f>
        <v>14</v>
      </c>
      <c r="C95" s="265">
        <v>6</v>
      </c>
      <c r="D95" s="265" t="str">
        <f t="shared" si="65"/>
        <v>COUNTDOWN_WEST_N_1_16</v>
      </c>
      <c r="E95" s="265"/>
      <c r="F95" s="34" t="s">
        <v>33</v>
      </c>
      <c r="G95" s="3" t="s">
        <v>19</v>
      </c>
      <c r="H95" s="3">
        <v>1</v>
      </c>
      <c r="I95" s="3" t="s">
        <v>15</v>
      </c>
      <c r="J95" s="32"/>
      <c r="K95" s="32"/>
      <c r="L95" s="30"/>
      <c r="M95" s="292">
        <v>8</v>
      </c>
      <c r="N95" s="290">
        <v>7</v>
      </c>
      <c r="O95" s="290">
        <v>6</v>
      </c>
      <c r="P95" s="290">
        <v>5</v>
      </c>
      <c r="Q95" s="290">
        <v>4</v>
      </c>
      <c r="R95" s="284">
        <v>3</v>
      </c>
      <c r="S95" s="284">
        <v>2</v>
      </c>
      <c r="T95" s="284">
        <v>1</v>
      </c>
      <c r="U95" s="284">
        <v>16</v>
      </c>
      <c r="V95" s="298">
        <v>15</v>
      </c>
      <c r="W95" s="328">
        <v>14</v>
      </c>
      <c r="X95" s="284">
        <v>13</v>
      </c>
      <c r="Y95" s="284">
        <v>12</v>
      </c>
      <c r="Z95" s="284">
        <v>11</v>
      </c>
      <c r="AA95" s="284">
        <v>10</v>
      </c>
      <c r="AB95" s="293">
        <v>9</v>
      </c>
      <c r="AC95" s="328">
        <v>8</v>
      </c>
      <c r="AD95" s="284">
        <v>7</v>
      </c>
      <c r="AE95" s="284">
        <v>6</v>
      </c>
      <c r="AF95" s="284">
        <v>5</v>
      </c>
      <c r="AG95" s="284">
        <v>4</v>
      </c>
      <c r="AH95" s="284">
        <v>3</v>
      </c>
      <c r="AI95" s="284">
        <v>2</v>
      </c>
      <c r="AJ95" s="284">
        <v>1</v>
      </c>
      <c r="AK95" s="284">
        <v>16</v>
      </c>
      <c r="AL95" s="293">
        <v>15</v>
      </c>
      <c r="AM95" s="290">
        <v>14</v>
      </c>
      <c r="AN95" s="284">
        <v>13</v>
      </c>
      <c r="AO95" s="284">
        <v>12</v>
      </c>
      <c r="AP95" s="284">
        <v>11</v>
      </c>
      <c r="AQ95" s="284">
        <v>10</v>
      </c>
      <c r="AR95" s="295">
        <v>9</v>
      </c>
      <c r="AS95" s="296">
        <v>8</v>
      </c>
      <c r="AT95" s="297">
        <v>7</v>
      </c>
      <c r="AU95" s="297">
        <v>6</v>
      </c>
      <c r="AV95" s="297">
        <v>5</v>
      </c>
      <c r="AW95" s="297">
        <v>4</v>
      </c>
      <c r="AX95" s="284">
        <v>3</v>
      </c>
      <c r="AY95" s="284">
        <v>2</v>
      </c>
      <c r="AZ95" s="284">
        <v>1</v>
      </c>
      <c r="BA95" s="284">
        <v>16</v>
      </c>
      <c r="BB95" s="284">
        <v>15</v>
      </c>
      <c r="BC95" s="284">
        <v>14</v>
      </c>
      <c r="BD95" s="284">
        <v>13</v>
      </c>
      <c r="BE95" s="284">
        <v>12</v>
      </c>
      <c r="BF95" s="284">
        <v>11</v>
      </c>
      <c r="BG95" s="284">
        <v>10</v>
      </c>
      <c r="BH95" s="295">
        <v>9</v>
      </c>
      <c r="BI95" s="296">
        <v>8</v>
      </c>
      <c r="BJ95" s="297">
        <v>7</v>
      </c>
      <c r="BK95" s="297">
        <v>6</v>
      </c>
      <c r="BL95" s="297">
        <v>5</v>
      </c>
      <c r="BM95" s="297">
        <v>4</v>
      </c>
      <c r="BN95" s="284">
        <v>3</v>
      </c>
      <c r="BO95" s="284">
        <v>2</v>
      </c>
      <c r="BP95" s="284">
        <v>1</v>
      </c>
      <c r="BQ95" s="284">
        <v>16</v>
      </c>
      <c r="BR95" s="284">
        <v>15</v>
      </c>
      <c r="BS95" s="284">
        <v>14</v>
      </c>
      <c r="BT95" s="284">
        <v>13</v>
      </c>
      <c r="BU95" s="284">
        <v>12</v>
      </c>
      <c r="BV95" s="284">
        <v>11</v>
      </c>
      <c r="BW95" s="284">
        <v>10</v>
      </c>
      <c r="BX95" s="295">
        <v>9</v>
      </c>
      <c r="BY95" s="292">
        <v>8</v>
      </c>
      <c r="BZ95" s="290">
        <v>7</v>
      </c>
      <c r="CA95" s="290">
        <v>6</v>
      </c>
      <c r="CB95" s="290">
        <v>5</v>
      </c>
      <c r="CC95" s="290">
        <v>4</v>
      </c>
      <c r="CD95" s="284">
        <v>3</v>
      </c>
      <c r="CE95" s="284">
        <v>2</v>
      </c>
      <c r="CF95" s="284">
        <v>1</v>
      </c>
      <c r="CG95" s="284">
        <v>16</v>
      </c>
      <c r="CH95" s="284">
        <v>15</v>
      </c>
      <c r="CI95" s="284">
        <v>14</v>
      </c>
      <c r="CJ95" s="284">
        <v>13</v>
      </c>
      <c r="CK95" s="284">
        <v>12</v>
      </c>
      <c r="CL95" s="284">
        <v>11</v>
      </c>
      <c r="CM95" s="284">
        <v>10</v>
      </c>
      <c r="CN95" s="295">
        <v>9</v>
      </c>
    </row>
    <row r="96" spans="1:92" hidden="1" x14ac:dyDescent="0.25">
      <c r="B96" s="284"/>
      <c r="C96" s="284">
        <v>1</v>
      </c>
      <c r="D96" s="265" t="str">
        <f t="shared" si="65"/>
        <v>SORTING_WEST_J_2_16</v>
      </c>
      <c r="E96" s="284" t="s">
        <v>35</v>
      </c>
      <c r="F96" s="49" t="s">
        <v>45</v>
      </c>
      <c r="G96" s="3" t="s">
        <v>19</v>
      </c>
      <c r="H96" s="3">
        <v>2</v>
      </c>
      <c r="I96" s="3" t="s">
        <v>11</v>
      </c>
      <c r="J96" s="90"/>
      <c r="K96" s="90">
        <f>COUNT(W96:AR96)</f>
        <v>10</v>
      </c>
      <c r="L96" s="30"/>
      <c r="M96" s="323"/>
      <c r="N96" s="324"/>
      <c r="O96" s="324"/>
      <c r="P96" s="324"/>
      <c r="Q96" s="324"/>
      <c r="R96" s="256"/>
      <c r="S96" s="256"/>
      <c r="T96" s="256"/>
      <c r="U96" s="256"/>
      <c r="V96" s="325"/>
      <c r="W96" s="328">
        <v>1</v>
      </c>
      <c r="X96" s="33">
        <f>W96+1</f>
        <v>2</v>
      </c>
      <c r="Y96" s="33">
        <f t="shared" ref="Y96:AJ98" si="76">X96+1</f>
        <v>3</v>
      </c>
      <c r="Z96" s="33">
        <f t="shared" si="76"/>
        <v>4</v>
      </c>
      <c r="AA96" s="33">
        <f t="shared" si="76"/>
        <v>5</v>
      </c>
      <c r="AB96" s="282">
        <f t="shared" si="76"/>
        <v>6</v>
      </c>
      <c r="AC96" s="321">
        <f t="shared" si="76"/>
        <v>7</v>
      </c>
      <c r="AD96" s="33">
        <f t="shared" si="76"/>
        <v>8</v>
      </c>
      <c r="AE96" s="33">
        <f t="shared" si="76"/>
        <v>9</v>
      </c>
      <c r="AF96" s="33">
        <f t="shared" si="76"/>
        <v>10</v>
      </c>
      <c r="AG96" s="258"/>
      <c r="AH96" s="258"/>
      <c r="AI96" s="284"/>
      <c r="AJ96" s="284"/>
      <c r="AK96" s="284"/>
      <c r="AL96" s="293"/>
      <c r="AM96" s="290"/>
      <c r="AN96" s="284"/>
      <c r="AO96" s="284"/>
      <c r="AP96" s="284"/>
      <c r="AQ96" s="284"/>
      <c r="AR96" s="295"/>
      <c r="AS96" s="292"/>
      <c r="AT96" s="284"/>
      <c r="AU96" s="284"/>
      <c r="AV96" s="284"/>
      <c r="AW96" s="284"/>
      <c r="AX96" s="284"/>
      <c r="AY96" s="284"/>
      <c r="AZ96" s="284"/>
      <c r="BA96" s="284"/>
      <c r="BB96" s="284"/>
      <c r="BC96" s="284"/>
      <c r="BD96" s="284"/>
      <c r="BE96" s="284"/>
      <c r="BF96" s="284"/>
      <c r="BG96" s="284"/>
      <c r="BH96" s="295"/>
      <c r="BI96" s="296"/>
      <c r="BJ96" s="297"/>
      <c r="BK96" s="297"/>
      <c r="BL96" s="297"/>
      <c r="BM96" s="297"/>
      <c r="BN96" s="284"/>
      <c r="BO96" s="284"/>
      <c r="BP96" s="284"/>
      <c r="BQ96" s="284"/>
      <c r="BR96" s="284"/>
      <c r="BS96" s="284"/>
      <c r="BT96" s="284"/>
      <c r="BU96" s="284"/>
      <c r="BV96" s="284"/>
      <c r="BW96" s="284"/>
      <c r="BX96" s="295"/>
      <c r="BY96" s="292"/>
      <c r="BZ96" s="290"/>
      <c r="CA96" s="290"/>
      <c r="CB96" s="290"/>
      <c r="CC96" s="290"/>
      <c r="CD96" s="284"/>
      <c r="CE96" s="284"/>
      <c r="CF96" s="284"/>
      <c r="CG96" s="284"/>
      <c r="CH96" s="284"/>
      <c r="CI96" s="284"/>
      <c r="CJ96" s="284"/>
      <c r="CK96" s="284"/>
      <c r="CL96" s="284"/>
      <c r="CM96" s="284"/>
      <c r="CN96" s="295"/>
    </row>
    <row r="97" spans="1:92" hidden="1" x14ac:dyDescent="0.25">
      <c r="B97" s="284"/>
      <c r="C97" s="284">
        <v>2</v>
      </c>
      <c r="D97" s="265" t="str">
        <f t="shared" si="65"/>
        <v>TRANSFER_WEST_J_2_16</v>
      </c>
      <c r="E97" s="284" t="s">
        <v>21</v>
      </c>
      <c r="F97" s="34" t="s">
        <v>21</v>
      </c>
      <c r="G97" s="3" t="s">
        <v>19</v>
      </c>
      <c r="H97" s="3">
        <v>2</v>
      </c>
      <c r="I97" s="3" t="s">
        <v>11</v>
      </c>
      <c r="J97" s="90"/>
      <c r="K97" s="90">
        <f>COUNT(W97:AR97)</f>
        <v>12</v>
      </c>
      <c r="L97" s="30"/>
      <c r="M97" s="323"/>
      <c r="N97" s="324"/>
      <c r="O97" s="324"/>
      <c r="P97" s="324"/>
      <c r="Q97" s="324"/>
      <c r="R97" s="256"/>
      <c r="S97" s="256"/>
      <c r="T97" s="256"/>
      <c r="U97" s="256"/>
      <c r="V97" s="325"/>
      <c r="W97" s="328">
        <v>1</v>
      </c>
      <c r="X97" s="3">
        <f>W97+1</f>
        <v>2</v>
      </c>
      <c r="Y97" s="3">
        <f t="shared" si="76"/>
        <v>3</v>
      </c>
      <c r="Z97" s="3">
        <f t="shared" si="76"/>
        <v>4</v>
      </c>
      <c r="AA97" s="3">
        <f t="shared" si="76"/>
        <v>5</v>
      </c>
      <c r="AB97" s="280">
        <f t="shared" si="76"/>
        <v>6</v>
      </c>
      <c r="AC97" s="319">
        <f t="shared" si="76"/>
        <v>7</v>
      </c>
      <c r="AD97" s="3">
        <f t="shared" si="76"/>
        <v>8</v>
      </c>
      <c r="AE97" s="3">
        <f t="shared" si="76"/>
        <v>9</v>
      </c>
      <c r="AF97" s="3">
        <f t="shared" si="76"/>
        <v>10</v>
      </c>
      <c r="AG97" s="3">
        <f t="shared" si="76"/>
        <v>11</v>
      </c>
      <c r="AH97" s="3">
        <f t="shared" si="76"/>
        <v>12</v>
      </c>
      <c r="AI97" s="258"/>
      <c r="AJ97" s="284"/>
      <c r="AK97" s="284"/>
      <c r="AL97" s="293"/>
      <c r="AM97" s="290"/>
      <c r="AN97" s="284"/>
      <c r="AO97" s="284"/>
      <c r="AP97" s="284"/>
      <c r="AQ97" s="284"/>
      <c r="AR97" s="295"/>
      <c r="AS97" s="292"/>
      <c r="AT97" s="284"/>
      <c r="AU97" s="284"/>
      <c r="AV97" s="284"/>
      <c r="AW97" s="284"/>
      <c r="AX97" s="284"/>
      <c r="AY97" s="284"/>
      <c r="AZ97" s="284"/>
      <c r="BA97" s="284"/>
      <c r="BB97" s="284"/>
      <c r="BC97" s="284"/>
      <c r="BD97" s="284"/>
      <c r="BE97" s="284"/>
      <c r="BF97" s="284"/>
      <c r="BG97" s="284"/>
      <c r="BH97" s="295"/>
      <c r="BI97" s="296"/>
      <c r="BJ97" s="297"/>
      <c r="BK97" s="297"/>
      <c r="BL97" s="297"/>
      <c r="BM97" s="297"/>
      <c r="BN97" s="284"/>
      <c r="BO97" s="284"/>
      <c r="BP97" s="284"/>
      <c r="BQ97" s="284"/>
      <c r="BR97" s="284"/>
      <c r="BS97" s="284"/>
      <c r="BT97" s="284"/>
      <c r="BU97" s="284"/>
      <c r="BV97" s="284"/>
      <c r="BW97" s="284"/>
      <c r="BX97" s="295"/>
      <c r="BY97" s="292"/>
      <c r="BZ97" s="290"/>
      <c r="CA97" s="290"/>
      <c r="CB97" s="290"/>
      <c r="CC97" s="290"/>
      <c r="CD97" s="284"/>
      <c r="CE97" s="284"/>
      <c r="CF97" s="284"/>
      <c r="CG97" s="284"/>
      <c r="CH97" s="284"/>
      <c r="CI97" s="284"/>
      <c r="CJ97" s="284"/>
      <c r="CK97" s="284"/>
      <c r="CL97" s="284"/>
      <c r="CM97" s="284"/>
      <c r="CN97" s="295"/>
    </row>
    <row r="98" spans="1:92" hidden="1" x14ac:dyDescent="0.25">
      <c r="B98" s="284"/>
      <c r="C98" s="284">
        <v>3</v>
      </c>
      <c r="D98" s="265" t="str">
        <f t="shared" si="65"/>
        <v>SUPPLY_WEST_J_2_16</v>
      </c>
      <c r="E98" s="284" t="s">
        <v>0</v>
      </c>
      <c r="F98" s="34" t="s">
        <v>0</v>
      </c>
      <c r="G98" s="3" t="s">
        <v>19</v>
      </c>
      <c r="H98" s="3">
        <v>2</v>
      </c>
      <c r="I98" s="3" t="s">
        <v>11</v>
      </c>
      <c r="J98" s="90"/>
      <c r="K98" s="90">
        <f>COUNT(AC98:BH98)</f>
        <v>9</v>
      </c>
      <c r="L98" s="30"/>
      <c r="M98" s="323"/>
      <c r="N98" s="324"/>
      <c r="O98" s="324"/>
      <c r="P98" s="324"/>
      <c r="Q98" s="324"/>
      <c r="R98" s="256"/>
      <c r="S98" s="256"/>
      <c r="T98" s="256"/>
      <c r="U98" s="256"/>
      <c r="V98" s="325"/>
      <c r="W98" s="326"/>
      <c r="X98" s="256"/>
      <c r="Y98" s="256"/>
      <c r="Z98" s="256"/>
      <c r="AA98" s="256"/>
      <c r="AB98" s="341"/>
      <c r="AC98" s="328">
        <v>1</v>
      </c>
      <c r="AD98" s="3">
        <f>AC98+1</f>
        <v>2</v>
      </c>
      <c r="AE98" s="3">
        <f t="shared" si="76"/>
        <v>3</v>
      </c>
      <c r="AF98" s="3">
        <f t="shared" si="76"/>
        <v>4</v>
      </c>
      <c r="AG98" s="3">
        <f t="shared" si="76"/>
        <v>5</v>
      </c>
      <c r="AH98" s="3">
        <f t="shared" si="76"/>
        <v>6</v>
      </c>
      <c r="AI98" s="3">
        <f t="shared" si="76"/>
        <v>7</v>
      </c>
      <c r="AJ98" s="3">
        <f t="shared" si="76"/>
        <v>8</v>
      </c>
      <c r="AK98" s="3">
        <f>AJ98+1</f>
        <v>9</v>
      </c>
      <c r="AL98" s="300"/>
      <c r="AM98" s="299"/>
      <c r="AN98" s="258"/>
      <c r="AO98" s="258"/>
      <c r="AP98" s="258"/>
      <c r="AQ98" s="258"/>
      <c r="AR98" s="331"/>
      <c r="AS98" s="258"/>
      <c r="AT98" s="258"/>
      <c r="AU98" s="258"/>
      <c r="AV98" s="258"/>
      <c r="AW98" s="258"/>
      <c r="AX98" s="258"/>
      <c r="AY98" s="284"/>
      <c r="AZ98" s="284"/>
      <c r="BA98" s="284"/>
      <c r="BB98" s="284"/>
      <c r="BC98" s="284"/>
      <c r="BD98" s="284"/>
      <c r="BE98" s="284"/>
      <c r="BF98" s="284"/>
      <c r="BG98" s="284"/>
      <c r="BH98" s="295"/>
      <c r="BI98" s="296"/>
      <c r="BJ98" s="284"/>
      <c r="BK98" s="284"/>
      <c r="BL98" s="284"/>
      <c r="BM98" s="284"/>
      <c r="BN98" s="284"/>
      <c r="BO98" s="284"/>
      <c r="BP98" s="284"/>
      <c r="BQ98" s="284"/>
      <c r="BR98" s="284"/>
      <c r="BS98" s="284"/>
      <c r="BT98" s="284"/>
      <c r="BU98" s="284"/>
      <c r="BV98" s="284"/>
      <c r="BW98" s="284"/>
      <c r="BX98" s="295"/>
      <c r="BY98" s="292"/>
      <c r="BZ98" s="290"/>
      <c r="CA98" s="290"/>
      <c r="CB98" s="290"/>
      <c r="CC98" s="290"/>
      <c r="CD98" s="284"/>
      <c r="CE98" s="284"/>
      <c r="CF98" s="284"/>
      <c r="CG98" s="284"/>
      <c r="CH98" s="284"/>
      <c r="CI98" s="284"/>
      <c r="CJ98" s="284"/>
      <c r="CK98" s="284"/>
      <c r="CL98" s="284"/>
      <c r="CM98" s="284"/>
      <c r="CN98" s="295"/>
    </row>
    <row r="99" spans="1:92" x14ac:dyDescent="0.25">
      <c r="B99" s="284"/>
      <c r="C99" s="284">
        <v>4</v>
      </c>
      <c r="D99" s="265" t="str">
        <f t="shared" si="65"/>
        <v>EMPTY_WEST_J_2_16</v>
      </c>
      <c r="E99" s="284" t="s">
        <v>0</v>
      </c>
      <c r="F99" s="34" t="s">
        <v>32</v>
      </c>
      <c r="G99" s="3" t="s">
        <v>19</v>
      </c>
      <c r="H99" s="3">
        <v>2</v>
      </c>
      <c r="I99" s="3" t="s">
        <v>11</v>
      </c>
      <c r="J99" s="90"/>
      <c r="K99" s="90">
        <f>COUNT(M99:AR99)</f>
        <v>22</v>
      </c>
      <c r="L99" s="30"/>
      <c r="M99" s="292">
        <v>1</v>
      </c>
      <c r="N99" s="86">
        <f>M99+1</f>
        <v>2</v>
      </c>
      <c r="O99" s="86">
        <f t="shared" ref="O99:AF100" si="77">N99+1</f>
        <v>3</v>
      </c>
      <c r="P99" s="86">
        <f t="shared" si="77"/>
        <v>4</v>
      </c>
      <c r="Q99" s="86">
        <f t="shared" si="77"/>
        <v>5</v>
      </c>
      <c r="R99" s="86">
        <f t="shared" si="77"/>
        <v>6</v>
      </c>
      <c r="S99" s="86">
        <f t="shared" si="77"/>
        <v>7</v>
      </c>
      <c r="T99" s="86">
        <f t="shared" si="77"/>
        <v>8</v>
      </c>
      <c r="U99" s="86">
        <f t="shared" si="77"/>
        <v>9</v>
      </c>
      <c r="V99" s="336">
        <f t="shared" si="77"/>
        <v>10</v>
      </c>
      <c r="W99" s="319">
        <f t="shared" si="77"/>
        <v>11</v>
      </c>
      <c r="X99" s="3">
        <f t="shared" si="77"/>
        <v>12</v>
      </c>
      <c r="Y99" s="3">
        <f t="shared" si="77"/>
        <v>13</v>
      </c>
      <c r="Z99" s="3">
        <f t="shared" si="77"/>
        <v>14</v>
      </c>
      <c r="AA99" s="3">
        <f t="shared" si="77"/>
        <v>15</v>
      </c>
      <c r="AB99" s="280">
        <f t="shared" si="77"/>
        <v>16</v>
      </c>
      <c r="AC99" s="319">
        <f t="shared" si="77"/>
        <v>17</v>
      </c>
      <c r="AD99" s="3">
        <f t="shared" si="77"/>
        <v>18</v>
      </c>
      <c r="AE99" s="3">
        <f t="shared" si="77"/>
        <v>19</v>
      </c>
      <c r="AF99" s="3">
        <f t="shared" si="77"/>
        <v>20</v>
      </c>
      <c r="AG99" s="3">
        <f>AF99+1</f>
        <v>21</v>
      </c>
      <c r="AH99" s="3">
        <f>AG99+1</f>
        <v>22</v>
      </c>
      <c r="AI99" s="256"/>
      <c r="AJ99" s="258"/>
      <c r="AK99" s="284"/>
      <c r="AL99" s="293"/>
      <c r="AM99" s="290"/>
      <c r="AN99" s="284"/>
      <c r="AO99" s="284"/>
      <c r="AP99" s="284"/>
      <c r="AQ99" s="284"/>
      <c r="AR99" s="295"/>
      <c r="AS99" s="292"/>
      <c r="AT99" s="284"/>
      <c r="AU99" s="284"/>
      <c r="AV99" s="284"/>
      <c r="AW99" s="284"/>
      <c r="AX99" s="284"/>
      <c r="AY99" s="284"/>
      <c r="AZ99" s="284"/>
      <c r="BA99" s="284"/>
      <c r="BB99" s="284"/>
      <c r="BC99" s="284"/>
      <c r="BD99" s="284"/>
      <c r="BE99" s="284"/>
      <c r="BF99" s="284"/>
      <c r="BG99" s="284"/>
      <c r="BH99" s="295"/>
      <c r="BI99" s="296"/>
      <c r="BJ99" s="284"/>
      <c r="BK99" s="284"/>
      <c r="BL99" s="284"/>
      <c r="BM99" s="284"/>
      <c r="BN99" s="284"/>
      <c r="BO99" s="284"/>
      <c r="BP99" s="284"/>
      <c r="BQ99" s="284"/>
      <c r="BR99" s="284"/>
      <c r="BS99" s="284"/>
      <c r="BT99" s="284"/>
      <c r="BU99" s="284"/>
      <c r="BV99" s="284"/>
      <c r="BW99" s="284"/>
      <c r="BX99" s="295"/>
      <c r="BY99" s="292"/>
      <c r="BZ99" s="290"/>
      <c r="CA99" s="290"/>
      <c r="CB99" s="290"/>
      <c r="CC99" s="290"/>
      <c r="CD99" s="284"/>
      <c r="CE99" s="284"/>
      <c r="CF99" s="284"/>
      <c r="CG99" s="284"/>
      <c r="CH99" s="284"/>
      <c r="CI99" s="284"/>
      <c r="CJ99" s="284"/>
      <c r="CK99" s="284"/>
      <c r="CL99" s="284"/>
      <c r="CM99" s="284"/>
      <c r="CN99" s="295"/>
    </row>
    <row r="100" spans="1:92" hidden="1" x14ac:dyDescent="0.25">
      <c r="B100" s="284"/>
      <c r="C100" s="284">
        <v>5</v>
      </c>
      <c r="D100" s="265" t="str">
        <f t="shared" si="65"/>
        <v>PREPARE_WEST_J_2_16</v>
      </c>
      <c r="E100" s="284" t="s">
        <v>0</v>
      </c>
      <c r="F100" s="49" t="s">
        <v>46</v>
      </c>
      <c r="G100" s="3" t="s">
        <v>19</v>
      </c>
      <c r="H100" s="3">
        <v>2</v>
      </c>
      <c r="I100" s="3" t="s">
        <v>11</v>
      </c>
      <c r="J100" s="90"/>
      <c r="K100" s="90">
        <f>COUNT(M100:AR100)</f>
        <v>24</v>
      </c>
      <c r="L100" s="30"/>
      <c r="M100" s="292">
        <v>1</v>
      </c>
      <c r="N100" s="86">
        <f>M100+1</f>
        <v>2</v>
      </c>
      <c r="O100" s="86">
        <f t="shared" si="77"/>
        <v>3</v>
      </c>
      <c r="P100" s="86">
        <f t="shared" si="77"/>
        <v>4</v>
      </c>
      <c r="Q100" s="86">
        <f t="shared" si="77"/>
        <v>5</v>
      </c>
      <c r="R100" s="86">
        <f t="shared" si="77"/>
        <v>6</v>
      </c>
      <c r="S100" s="86">
        <f t="shared" si="77"/>
        <v>7</v>
      </c>
      <c r="T100" s="86">
        <f t="shared" si="77"/>
        <v>8</v>
      </c>
      <c r="U100" s="86">
        <f t="shared" si="77"/>
        <v>9</v>
      </c>
      <c r="V100" s="336">
        <f t="shared" si="77"/>
        <v>10</v>
      </c>
      <c r="W100" s="319">
        <f t="shared" si="77"/>
        <v>11</v>
      </c>
      <c r="X100" s="3">
        <f t="shared" si="77"/>
        <v>12</v>
      </c>
      <c r="Y100" s="3">
        <f t="shared" si="77"/>
        <v>13</v>
      </c>
      <c r="Z100" s="3">
        <f t="shared" si="77"/>
        <v>14</v>
      </c>
      <c r="AA100" s="3">
        <f t="shared" si="77"/>
        <v>15</v>
      </c>
      <c r="AB100" s="280">
        <f t="shared" si="77"/>
        <v>16</v>
      </c>
      <c r="AC100" s="319">
        <f t="shared" si="77"/>
        <v>17</v>
      </c>
      <c r="AD100" s="3">
        <f t="shared" si="77"/>
        <v>18</v>
      </c>
      <c r="AE100" s="3">
        <f t="shared" si="77"/>
        <v>19</v>
      </c>
      <c r="AF100" s="3">
        <f t="shared" si="77"/>
        <v>20</v>
      </c>
      <c r="AG100" s="3">
        <f t="shared" ref="AG100:AH100" si="78">AF100+1</f>
        <v>21</v>
      </c>
      <c r="AH100" s="3">
        <f t="shared" si="78"/>
        <v>22</v>
      </c>
      <c r="AI100" s="3">
        <f>AH100+1</f>
        <v>23</v>
      </c>
      <c r="AJ100" s="3">
        <f>AI100+1</f>
        <v>24</v>
      </c>
      <c r="AK100" s="258"/>
      <c r="AL100" s="293"/>
      <c r="AM100" s="290"/>
      <c r="AN100" s="284"/>
      <c r="AO100" s="284"/>
      <c r="AP100" s="284"/>
      <c r="AQ100" s="284"/>
      <c r="AR100" s="295"/>
      <c r="AS100" s="292"/>
      <c r="AT100" s="284"/>
      <c r="AU100" s="284"/>
      <c r="AV100" s="284"/>
      <c r="AW100" s="284"/>
      <c r="AX100" s="284"/>
      <c r="AY100" s="284"/>
      <c r="AZ100" s="284"/>
      <c r="BA100" s="284"/>
      <c r="BB100" s="284"/>
      <c r="BC100" s="284"/>
      <c r="BD100" s="284"/>
      <c r="BE100" s="284"/>
      <c r="BF100" s="284"/>
      <c r="BG100" s="284"/>
      <c r="BH100" s="295"/>
      <c r="BI100" s="296"/>
      <c r="BJ100" s="284"/>
      <c r="BK100" s="284"/>
      <c r="BL100" s="284"/>
      <c r="BM100" s="284"/>
      <c r="BN100" s="284"/>
      <c r="BO100" s="284"/>
      <c r="BP100" s="284"/>
      <c r="BQ100" s="284"/>
      <c r="BR100" s="284"/>
      <c r="BS100" s="284"/>
      <c r="BT100" s="284"/>
      <c r="BU100" s="284"/>
      <c r="BV100" s="284"/>
      <c r="BW100" s="284"/>
      <c r="BX100" s="295"/>
      <c r="BY100" s="292"/>
      <c r="BZ100" s="290"/>
      <c r="CA100" s="290"/>
      <c r="CB100" s="290"/>
      <c r="CC100" s="290"/>
      <c r="CD100" s="284"/>
      <c r="CE100" s="284"/>
      <c r="CF100" s="284"/>
      <c r="CG100" s="284"/>
      <c r="CH100" s="284"/>
      <c r="CI100" s="284"/>
      <c r="CJ100" s="284"/>
      <c r="CK100" s="284"/>
      <c r="CL100" s="284"/>
      <c r="CM100" s="284"/>
      <c r="CN100" s="295"/>
    </row>
    <row r="101" spans="1:92" hidden="1" x14ac:dyDescent="0.25">
      <c r="B101" s="284"/>
      <c r="C101" s="284">
        <v>6</v>
      </c>
      <c r="D101" s="265" t="str">
        <f t="shared" si="65"/>
        <v>COUNTDOWN_WEST_J_2_16</v>
      </c>
      <c r="E101" s="284"/>
      <c r="F101" s="34" t="s">
        <v>33</v>
      </c>
      <c r="G101" s="3" t="s">
        <v>19</v>
      </c>
      <c r="H101" s="3">
        <v>2</v>
      </c>
      <c r="I101" s="3" t="s">
        <v>11</v>
      </c>
      <c r="J101" s="302"/>
      <c r="K101" s="302"/>
      <c r="L101" s="30"/>
      <c r="M101" s="292">
        <v>9</v>
      </c>
      <c r="N101" s="290">
        <v>8</v>
      </c>
      <c r="O101" s="290">
        <v>7</v>
      </c>
      <c r="P101" s="290">
        <v>6</v>
      </c>
      <c r="Q101" s="290">
        <v>5</v>
      </c>
      <c r="R101" s="284">
        <v>4</v>
      </c>
      <c r="S101" s="284">
        <v>3</v>
      </c>
      <c r="T101" s="284">
        <v>2</v>
      </c>
      <c r="U101" s="284">
        <v>1</v>
      </c>
      <c r="V101" s="298">
        <v>16</v>
      </c>
      <c r="W101" s="328">
        <v>15</v>
      </c>
      <c r="X101" s="284">
        <v>14</v>
      </c>
      <c r="Y101" s="284">
        <v>13</v>
      </c>
      <c r="Z101" s="284">
        <v>12</v>
      </c>
      <c r="AA101" s="284">
        <v>11</v>
      </c>
      <c r="AB101" s="293">
        <v>10</v>
      </c>
      <c r="AC101" s="328">
        <v>9</v>
      </c>
      <c r="AD101" s="284">
        <v>8</v>
      </c>
      <c r="AE101" s="284">
        <v>7</v>
      </c>
      <c r="AF101" s="284">
        <v>6</v>
      </c>
      <c r="AG101" s="284">
        <v>5</v>
      </c>
      <c r="AH101" s="284">
        <v>4</v>
      </c>
      <c r="AI101" s="284">
        <v>3</v>
      </c>
      <c r="AJ101" s="284">
        <v>2</v>
      </c>
      <c r="AK101" s="284">
        <v>1</v>
      </c>
      <c r="AL101" s="293">
        <v>16</v>
      </c>
      <c r="AM101" s="290">
        <v>15</v>
      </c>
      <c r="AN101" s="284">
        <v>14</v>
      </c>
      <c r="AO101" s="284">
        <v>13</v>
      </c>
      <c r="AP101" s="284">
        <v>12</v>
      </c>
      <c r="AQ101" s="284">
        <v>11</v>
      </c>
      <c r="AR101" s="295">
        <v>10</v>
      </c>
      <c r="AS101" s="296">
        <v>9</v>
      </c>
      <c r="AT101" s="297">
        <v>8</v>
      </c>
      <c r="AU101" s="297">
        <v>7</v>
      </c>
      <c r="AV101" s="297">
        <v>6</v>
      </c>
      <c r="AW101" s="297">
        <v>5</v>
      </c>
      <c r="AX101" s="284">
        <v>4</v>
      </c>
      <c r="AY101" s="284">
        <v>3</v>
      </c>
      <c r="AZ101" s="284">
        <v>2</v>
      </c>
      <c r="BA101" s="284">
        <v>1</v>
      </c>
      <c r="BB101" s="284">
        <v>16</v>
      </c>
      <c r="BC101" s="284">
        <v>15</v>
      </c>
      <c r="BD101" s="284">
        <v>14</v>
      </c>
      <c r="BE101" s="284">
        <v>13</v>
      </c>
      <c r="BF101" s="284">
        <v>12</v>
      </c>
      <c r="BG101" s="284">
        <v>11</v>
      </c>
      <c r="BH101" s="295">
        <v>10</v>
      </c>
      <c r="BI101" s="296">
        <v>9</v>
      </c>
      <c r="BJ101" s="297">
        <v>8</v>
      </c>
      <c r="BK101" s="297">
        <v>7</v>
      </c>
      <c r="BL101" s="297">
        <v>6</v>
      </c>
      <c r="BM101" s="297">
        <v>5</v>
      </c>
      <c r="BN101" s="284">
        <v>4</v>
      </c>
      <c r="BO101" s="284">
        <v>3</v>
      </c>
      <c r="BP101" s="284">
        <v>2</v>
      </c>
      <c r="BQ101" s="284">
        <v>1</v>
      </c>
      <c r="BR101" s="284">
        <v>16</v>
      </c>
      <c r="BS101" s="284">
        <v>15</v>
      </c>
      <c r="BT101" s="284">
        <v>14</v>
      </c>
      <c r="BU101" s="284">
        <v>13</v>
      </c>
      <c r="BV101" s="284">
        <v>12</v>
      </c>
      <c r="BW101" s="284">
        <v>11</v>
      </c>
      <c r="BX101" s="295">
        <v>10</v>
      </c>
      <c r="BY101" s="292">
        <v>9</v>
      </c>
      <c r="BZ101" s="290">
        <v>8</v>
      </c>
      <c r="CA101" s="290">
        <v>7</v>
      </c>
      <c r="CB101" s="290">
        <v>6</v>
      </c>
      <c r="CC101" s="290">
        <v>5</v>
      </c>
      <c r="CD101" s="284">
        <v>4</v>
      </c>
      <c r="CE101" s="284">
        <v>3</v>
      </c>
      <c r="CF101" s="284">
        <v>2</v>
      </c>
      <c r="CG101" s="284">
        <v>1</v>
      </c>
      <c r="CH101" s="284">
        <v>16</v>
      </c>
      <c r="CI101" s="284">
        <v>15</v>
      </c>
      <c r="CJ101" s="284">
        <v>14</v>
      </c>
      <c r="CK101" s="284">
        <v>13</v>
      </c>
      <c r="CL101" s="284">
        <v>12</v>
      </c>
      <c r="CM101" s="284">
        <v>11</v>
      </c>
      <c r="CN101" s="295">
        <v>10</v>
      </c>
    </row>
    <row r="102" spans="1:92" hidden="1" x14ac:dyDescent="0.25">
      <c r="B102" s="284"/>
      <c r="C102" s="284">
        <v>1</v>
      </c>
      <c r="D102" s="265" t="str">
        <f t="shared" si="65"/>
        <v>SORTING_WEST_Q_1_16</v>
      </c>
      <c r="E102" s="284" t="s">
        <v>35</v>
      </c>
      <c r="F102" s="49" t="s">
        <v>45</v>
      </c>
      <c r="G102" s="3" t="s">
        <v>19</v>
      </c>
      <c r="H102" s="3">
        <v>1</v>
      </c>
      <c r="I102" s="3" t="s">
        <v>59</v>
      </c>
      <c r="J102" s="90"/>
      <c r="K102" s="90">
        <f>COUNT(W102:AR102)</f>
        <v>12</v>
      </c>
      <c r="L102" s="30"/>
      <c r="M102" s="323"/>
      <c r="N102" s="324"/>
      <c r="O102" s="324"/>
      <c r="P102" s="324"/>
      <c r="Q102" s="324"/>
      <c r="R102" s="256"/>
      <c r="S102" s="256"/>
      <c r="T102" s="256"/>
      <c r="U102" s="256"/>
      <c r="V102" s="325"/>
      <c r="W102" s="328">
        <v>1</v>
      </c>
      <c r="X102" s="3">
        <f>W102+1</f>
        <v>2</v>
      </c>
      <c r="Y102" s="3">
        <f t="shared" ref="Y102:AJ106" si="79">X102+1</f>
        <v>3</v>
      </c>
      <c r="Z102" s="3">
        <f t="shared" si="79"/>
        <v>4</v>
      </c>
      <c r="AA102" s="3">
        <f t="shared" si="79"/>
        <v>5</v>
      </c>
      <c r="AB102" s="280">
        <f t="shared" si="79"/>
        <v>6</v>
      </c>
      <c r="AC102" s="319">
        <f t="shared" si="79"/>
        <v>7</v>
      </c>
      <c r="AD102" s="3">
        <f t="shared" si="79"/>
        <v>8</v>
      </c>
      <c r="AE102" s="3">
        <f t="shared" si="79"/>
        <v>9</v>
      </c>
      <c r="AF102" s="3">
        <f t="shared" si="79"/>
        <v>10</v>
      </c>
      <c r="AG102" s="3">
        <f t="shared" si="79"/>
        <v>11</v>
      </c>
      <c r="AH102" s="3">
        <f t="shared" si="79"/>
        <v>12</v>
      </c>
      <c r="AI102" s="258"/>
      <c r="AJ102" s="284"/>
      <c r="AK102" s="284"/>
      <c r="AL102" s="293"/>
      <c r="AM102" s="290"/>
      <c r="AN102" s="284"/>
      <c r="AO102" s="284"/>
      <c r="AP102" s="284"/>
      <c r="AQ102" s="284"/>
      <c r="AR102" s="295"/>
      <c r="AS102" s="296"/>
      <c r="AT102" s="297"/>
      <c r="AU102" s="297"/>
      <c r="AV102" s="297"/>
      <c r="AW102" s="297"/>
      <c r="AX102" s="284"/>
      <c r="AY102" s="284"/>
      <c r="AZ102" s="284"/>
      <c r="BA102" s="284"/>
      <c r="BB102" s="284"/>
      <c r="BC102" s="284"/>
      <c r="BD102" s="284"/>
      <c r="BE102" s="284"/>
      <c r="BF102" s="284"/>
      <c r="BG102" s="284"/>
      <c r="BH102" s="295"/>
      <c r="BI102" s="296"/>
      <c r="BJ102" s="297"/>
      <c r="BK102" s="297"/>
      <c r="BL102" s="297"/>
      <c r="BM102" s="297"/>
      <c r="BN102" s="284"/>
      <c r="BO102" s="284"/>
      <c r="BP102" s="284"/>
      <c r="BQ102" s="284"/>
      <c r="BR102" s="284"/>
      <c r="BS102" s="284"/>
      <c r="BT102" s="284"/>
      <c r="BU102" s="284"/>
      <c r="BV102" s="284"/>
      <c r="BW102" s="284"/>
      <c r="BX102" s="295"/>
      <c r="BY102" s="292"/>
      <c r="BZ102" s="290"/>
      <c r="CA102" s="290"/>
      <c r="CB102" s="290"/>
      <c r="CC102" s="290"/>
      <c r="CD102" s="284"/>
      <c r="CE102" s="284"/>
      <c r="CF102" s="284"/>
      <c r="CG102" s="284"/>
      <c r="CH102" s="284"/>
      <c r="CI102" s="284"/>
      <c r="CJ102" s="284"/>
      <c r="CK102" s="284"/>
      <c r="CL102" s="284"/>
      <c r="CM102" s="284"/>
      <c r="CN102" s="295"/>
    </row>
    <row r="103" spans="1:92" hidden="1" x14ac:dyDescent="0.25">
      <c r="B103" s="284"/>
      <c r="C103" s="284">
        <v>2</v>
      </c>
      <c r="D103" s="265" t="str">
        <f t="shared" si="65"/>
        <v>TRANSFER_WEST_Q_1_16</v>
      </c>
      <c r="E103" s="284" t="s">
        <v>21</v>
      </c>
      <c r="F103" s="34" t="s">
        <v>21</v>
      </c>
      <c r="G103" s="3" t="s">
        <v>19</v>
      </c>
      <c r="H103" s="3">
        <v>1</v>
      </c>
      <c r="I103" s="3" t="s">
        <v>59</v>
      </c>
      <c r="J103" s="90"/>
      <c r="K103" s="90">
        <f>COUNT(W103:AR103)</f>
        <v>13</v>
      </c>
      <c r="L103" s="30"/>
      <c r="M103" s="323"/>
      <c r="N103" s="324"/>
      <c r="O103" s="324"/>
      <c r="P103" s="324"/>
      <c r="Q103" s="324"/>
      <c r="R103" s="256"/>
      <c r="S103" s="256"/>
      <c r="T103" s="256"/>
      <c r="U103" s="256"/>
      <c r="V103" s="325"/>
      <c r="W103" s="328">
        <v>1</v>
      </c>
      <c r="X103" s="33">
        <f>W103+1</f>
        <v>2</v>
      </c>
      <c r="Y103" s="33">
        <f t="shared" si="79"/>
        <v>3</v>
      </c>
      <c r="Z103" s="33">
        <f t="shared" si="79"/>
        <v>4</v>
      </c>
      <c r="AA103" s="33">
        <f t="shared" si="79"/>
        <v>5</v>
      </c>
      <c r="AB103" s="282">
        <f t="shared" si="79"/>
        <v>6</v>
      </c>
      <c r="AC103" s="321">
        <f t="shared" si="79"/>
        <v>7</v>
      </c>
      <c r="AD103" s="33">
        <f t="shared" si="79"/>
        <v>8</v>
      </c>
      <c r="AE103" s="33">
        <f t="shared" si="79"/>
        <v>9</v>
      </c>
      <c r="AF103" s="33">
        <f t="shared" si="79"/>
        <v>10</v>
      </c>
      <c r="AG103" s="33">
        <f t="shared" si="79"/>
        <v>11</v>
      </c>
      <c r="AH103" s="33">
        <f t="shared" si="79"/>
        <v>12</v>
      </c>
      <c r="AI103" s="33">
        <f t="shared" si="79"/>
        <v>13</v>
      </c>
      <c r="AJ103" s="258"/>
      <c r="AK103" s="284"/>
      <c r="AL103" s="293"/>
      <c r="AM103" s="290"/>
      <c r="AN103" s="284"/>
      <c r="AO103" s="284"/>
      <c r="AP103" s="284"/>
      <c r="AQ103" s="284"/>
      <c r="AR103" s="295"/>
      <c r="AS103" s="296"/>
      <c r="AT103" s="297"/>
      <c r="AU103" s="297"/>
      <c r="AV103" s="297"/>
      <c r="AW103" s="297"/>
      <c r="AX103" s="284"/>
      <c r="AY103" s="284"/>
      <c r="AZ103" s="284"/>
      <c r="BA103" s="284"/>
      <c r="BB103" s="284"/>
      <c r="BC103" s="284"/>
      <c r="BD103" s="284"/>
      <c r="BE103" s="284"/>
      <c r="BF103" s="284"/>
      <c r="BG103" s="284"/>
      <c r="BH103" s="295"/>
      <c r="BI103" s="296"/>
      <c r="BJ103" s="297"/>
      <c r="BK103" s="297"/>
      <c r="BL103" s="297"/>
      <c r="BM103" s="297"/>
      <c r="BN103" s="284"/>
      <c r="BO103" s="284"/>
      <c r="BP103" s="284"/>
      <c r="BQ103" s="284"/>
      <c r="BR103" s="284"/>
      <c r="BS103" s="284"/>
      <c r="BT103" s="284"/>
      <c r="BU103" s="284"/>
      <c r="BV103" s="284"/>
      <c r="BW103" s="284"/>
      <c r="BX103" s="295"/>
      <c r="BY103" s="292"/>
      <c r="BZ103" s="290"/>
      <c r="CA103" s="290"/>
      <c r="CB103" s="290"/>
      <c r="CC103" s="290"/>
      <c r="CD103" s="284"/>
      <c r="CE103" s="284"/>
      <c r="CF103" s="284"/>
      <c r="CG103" s="284"/>
      <c r="CH103" s="284"/>
      <c r="CI103" s="284"/>
      <c r="CJ103" s="284"/>
      <c r="CK103" s="284"/>
      <c r="CL103" s="284"/>
      <c r="CM103" s="284"/>
      <c r="CN103" s="295"/>
    </row>
    <row r="104" spans="1:92" hidden="1" x14ac:dyDescent="0.25">
      <c r="B104" s="284"/>
      <c r="C104" s="284">
        <v>3</v>
      </c>
      <c r="D104" s="265" t="str">
        <f t="shared" si="65"/>
        <v>SUPPLY_WEST_Q_1_16</v>
      </c>
      <c r="E104" s="284" t="s">
        <v>0</v>
      </c>
      <c r="F104" s="34" t="s">
        <v>0</v>
      </c>
      <c r="G104" s="3" t="s">
        <v>19</v>
      </c>
      <c r="H104" s="3">
        <v>1</v>
      </c>
      <c r="I104" s="3" t="s">
        <v>59</v>
      </c>
      <c r="J104" s="90"/>
      <c r="K104" s="90">
        <f>COUNT(AC104:BH104)</f>
        <v>11</v>
      </c>
      <c r="L104" s="30"/>
      <c r="M104" s="323"/>
      <c r="N104" s="324"/>
      <c r="O104" s="324"/>
      <c r="P104" s="324"/>
      <c r="Q104" s="324"/>
      <c r="R104" s="256"/>
      <c r="S104" s="256"/>
      <c r="T104" s="256"/>
      <c r="U104" s="256"/>
      <c r="V104" s="325"/>
      <c r="W104" s="326"/>
      <c r="X104" s="256"/>
      <c r="Y104" s="256"/>
      <c r="Z104" s="256"/>
      <c r="AA104" s="256"/>
      <c r="AB104" s="341"/>
      <c r="AC104" s="328">
        <v>1</v>
      </c>
      <c r="AD104" s="3">
        <f>AC104+1</f>
        <v>2</v>
      </c>
      <c r="AE104" s="3">
        <f t="shared" si="79"/>
        <v>3</v>
      </c>
      <c r="AF104" s="3">
        <f t="shared" si="79"/>
        <v>4</v>
      </c>
      <c r="AG104" s="3">
        <f t="shared" si="79"/>
        <v>5</v>
      </c>
      <c r="AH104" s="3">
        <f t="shared" si="79"/>
        <v>6</v>
      </c>
      <c r="AI104" s="3">
        <f t="shared" si="79"/>
        <v>7</v>
      </c>
      <c r="AJ104" s="3">
        <f t="shared" si="79"/>
        <v>8</v>
      </c>
      <c r="AK104" s="3">
        <f>AJ104+1</f>
        <v>9</v>
      </c>
      <c r="AL104" s="280">
        <f t="shared" ref="AL104:AM104" si="80">AK104+1</f>
        <v>10</v>
      </c>
      <c r="AM104" s="86">
        <f t="shared" si="80"/>
        <v>11</v>
      </c>
      <c r="AN104" s="258"/>
      <c r="AO104" s="258"/>
      <c r="AP104" s="258"/>
      <c r="AQ104" s="258"/>
      <c r="AR104" s="331"/>
      <c r="AS104" s="258"/>
      <c r="AT104" s="258"/>
      <c r="AU104" s="258"/>
      <c r="AV104" s="258"/>
      <c r="AW104" s="258"/>
      <c r="AX104" s="258"/>
      <c r="AY104" s="258"/>
      <c r="AZ104" s="258"/>
      <c r="BA104" s="284"/>
      <c r="BB104" s="284"/>
      <c r="BC104" s="284"/>
      <c r="BD104" s="284"/>
      <c r="BE104" s="284"/>
      <c r="BF104" s="284"/>
      <c r="BG104" s="284"/>
      <c r="BH104" s="295"/>
      <c r="BI104" s="296"/>
      <c r="BJ104" s="284"/>
      <c r="BK104" s="284"/>
      <c r="BL104" s="284"/>
      <c r="BM104" s="284"/>
      <c r="BN104" s="284"/>
      <c r="BO104" s="284"/>
      <c r="BP104" s="284"/>
      <c r="BQ104" s="284"/>
      <c r="BR104" s="284"/>
      <c r="BS104" s="284"/>
      <c r="BT104" s="284"/>
      <c r="BU104" s="284"/>
      <c r="BV104" s="284"/>
      <c r="BW104" s="284"/>
      <c r="BX104" s="295"/>
      <c r="BY104" s="292"/>
      <c r="BZ104" s="290"/>
      <c r="CA104" s="290"/>
      <c r="CB104" s="290"/>
      <c r="CC104" s="290"/>
      <c r="CD104" s="284"/>
      <c r="CE104" s="284"/>
      <c r="CF104" s="284"/>
      <c r="CG104" s="284"/>
      <c r="CH104" s="284"/>
      <c r="CI104" s="284"/>
      <c r="CJ104" s="284"/>
      <c r="CK104" s="284"/>
      <c r="CL104" s="284"/>
      <c r="CM104" s="284"/>
      <c r="CN104" s="295"/>
    </row>
    <row r="105" spans="1:92" x14ac:dyDescent="0.25">
      <c r="B105" s="284"/>
      <c r="C105" s="284">
        <v>4</v>
      </c>
      <c r="D105" s="265" t="str">
        <f t="shared" si="65"/>
        <v>EMPTY_WEST_Q_1_16</v>
      </c>
      <c r="E105" s="284" t="s">
        <v>0</v>
      </c>
      <c r="F105" s="34" t="s">
        <v>32</v>
      </c>
      <c r="G105" s="3" t="s">
        <v>19</v>
      </c>
      <c r="H105" s="3">
        <v>1</v>
      </c>
      <c r="I105" s="3" t="s">
        <v>59</v>
      </c>
      <c r="J105" s="90"/>
      <c r="K105" s="90">
        <f>COUNT(M105:AR105)</f>
        <v>24</v>
      </c>
      <c r="L105" s="30"/>
      <c r="M105" s="292">
        <v>1</v>
      </c>
      <c r="N105" s="86">
        <f>M105+1</f>
        <v>2</v>
      </c>
      <c r="O105" s="86">
        <f t="shared" ref="O105:AD106" si="81">N105+1</f>
        <v>3</v>
      </c>
      <c r="P105" s="86">
        <f t="shared" si="81"/>
        <v>4</v>
      </c>
      <c r="Q105" s="86">
        <f t="shared" si="81"/>
        <v>5</v>
      </c>
      <c r="R105" s="86">
        <f t="shared" si="81"/>
        <v>6</v>
      </c>
      <c r="S105" s="86">
        <f t="shared" si="81"/>
        <v>7</v>
      </c>
      <c r="T105" s="86">
        <f t="shared" si="81"/>
        <v>8</v>
      </c>
      <c r="U105" s="86">
        <f t="shared" si="81"/>
        <v>9</v>
      </c>
      <c r="V105" s="336">
        <f t="shared" si="81"/>
        <v>10</v>
      </c>
      <c r="W105" s="319">
        <f t="shared" si="81"/>
        <v>11</v>
      </c>
      <c r="X105" s="3">
        <f t="shared" si="81"/>
        <v>12</v>
      </c>
      <c r="Y105" s="3">
        <f t="shared" si="81"/>
        <v>13</v>
      </c>
      <c r="Z105" s="3">
        <f t="shared" si="81"/>
        <v>14</v>
      </c>
      <c r="AA105" s="3">
        <f t="shared" si="81"/>
        <v>15</v>
      </c>
      <c r="AB105" s="280">
        <f t="shared" si="81"/>
        <v>16</v>
      </c>
      <c r="AC105" s="319">
        <f t="shared" si="81"/>
        <v>17</v>
      </c>
      <c r="AD105" s="3">
        <f t="shared" si="81"/>
        <v>18</v>
      </c>
      <c r="AE105" s="3">
        <f t="shared" si="79"/>
        <v>19</v>
      </c>
      <c r="AF105" s="3">
        <f t="shared" si="79"/>
        <v>20</v>
      </c>
      <c r="AG105" s="3">
        <f t="shared" si="79"/>
        <v>21</v>
      </c>
      <c r="AH105" s="3">
        <f t="shared" si="79"/>
        <v>22</v>
      </c>
      <c r="AI105" s="3">
        <f>AH105+1</f>
        <v>23</v>
      </c>
      <c r="AJ105" s="3">
        <f>AI105+1</f>
        <v>24</v>
      </c>
      <c r="AK105" s="256"/>
      <c r="AL105" s="300"/>
      <c r="AM105" s="290"/>
      <c r="AN105" s="284"/>
      <c r="AO105" s="284"/>
      <c r="AP105" s="284"/>
      <c r="AQ105" s="284"/>
      <c r="AR105" s="295"/>
      <c r="AS105" s="296"/>
      <c r="AT105" s="297"/>
      <c r="AU105" s="297"/>
      <c r="AV105" s="297"/>
      <c r="AW105" s="297"/>
      <c r="AX105" s="284"/>
      <c r="AY105" s="284"/>
      <c r="AZ105" s="284"/>
      <c r="BA105" s="284"/>
      <c r="BB105" s="284"/>
      <c r="BC105" s="284"/>
      <c r="BD105" s="284"/>
      <c r="BE105" s="284"/>
      <c r="BF105" s="284"/>
      <c r="BG105" s="284"/>
      <c r="BH105" s="295"/>
      <c r="BI105" s="296"/>
      <c r="BJ105" s="284"/>
      <c r="BK105" s="284"/>
      <c r="BL105" s="284"/>
      <c r="BM105" s="284"/>
      <c r="BN105" s="284"/>
      <c r="BO105" s="284"/>
      <c r="BP105" s="284"/>
      <c r="BQ105" s="284"/>
      <c r="BR105" s="284"/>
      <c r="BS105" s="284"/>
      <c r="BT105" s="284"/>
      <c r="BU105" s="284"/>
      <c r="BV105" s="284"/>
      <c r="BW105" s="284"/>
      <c r="BX105" s="295"/>
      <c r="BY105" s="292"/>
      <c r="BZ105" s="290"/>
      <c r="CA105" s="290"/>
      <c r="CB105" s="290"/>
      <c r="CC105" s="290"/>
      <c r="CD105" s="284"/>
      <c r="CE105" s="284"/>
      <c r="CF105" s="284"/>
      <c r="CG105" s="284"/>
      <c r="CH105" s="284"/>
      <c r="CI105" s="284"/>
      <c r="CJ105" s="284"/>
      <c r="CK105" s="284"/>
      <c r="CL105" s="284"/>
      <c r="CM105" s="284"/>
      <c r="CN105" s="295"/>
    </row>
    <row r="106" spans="1:92" hidden="1" x14ac:dyDescent="0.25">
      <c r="B106" s="284"/>
      <c r="C106" s="284">
        <v>5</v>
      </c>
      <c r="D106" s="265" t="str">
        <f t="shared" si="65"/>
        <v>PREPARE_WEST_Q_1_16</v>
      </c>
      <c r="E106" s="284" t="s">
        <v>0</v>
      </c>
      <c r="F106" s="49" t="s">
        <v>46</v>
      </c>
      <c r="G106" s="3" t="s">
        <v>19</v>
      </c>
      <c r="H106" s="3">
        <v>1</v>
      </c>
      <c r="I106" s="3" t="s">
        <v>59</v>
      </c>
      <c r="J106" s="90"/>
      <c r="K106" s="90">
        <f>COUNT(M106:AR106)</f>
        <v>26</v>
      </c>
      <c r="L106" s="30"/>
      <c r="M106" s="292">
        <v>1</v>
      </c>
      <c r="N106" s="86">
        <f>M106+1</f>
        <v>2</v>
      </c>
      <c r="O106" s="86">
        <f t="shared" si="81"/>
        <v>3</v>
      </c>
      <c r="P106" s="86">
        <f t="shared" si="81"/>
        <v>4</v>
      </c>
      <c r="Q106" s="86">
        <f t="shared" si="81"/>
        <v>5</v>
      </c>
      <c r="R106" s="86">
        <f t="shared" si="81"/>
        <v>6</v>
      </c>
      <c r="S106" s="86">
        <f t="shared" si="81"/>
        <v>7</v>
      </c>
      <c r="T106" s="86">
        <f t="shared" si="81"/>
        <v>8</v>
      </c>
      <c r="U106" s="86">
        <f t="shared" si="81"/>
        <v>9</v>
      </c>
      <c r="V106" s="336">
        <f t="shared" si="81"/>
        <v>10</v>
      </c>
      <c r="W106" s="319">
        <f t="shared" si="81"/>
        <v>11</v>
      </c>
      <c r="X106" s="3">
        <f t="shared" si="81"/>
        <v>12</v>
      </c>
      <c r="Y106" s="3">
        <f t="shared" si="81"/>
        <v>13</v>
      </c>
      <c r="Z106" s="3">
        <f t="shared" si="81"/>
        <v>14</v>
      </c>
      <c r="AA106" s="3">
        <f t="shared" si="81"/>
        <v>15</v>
      </c>
      <c r="AB106" s="280">
        <f t="shared" si="81"/>
        <v>16</v>
      </c>
      <c r="AC106" s="319">
        <f t="shared" si="81"/>
        <v>17</v>
      </c>
      <c r="AD106" s="3">
        <f t="shared" si="81"/>
        <v>18</v>
      </c>
      <c r="AE106" s="3">
        <f t="shared" si="79"/>
        <v>19</v>
      </c>
      <c r="AF106" s="3">
        <f t="shared" si="79"/>
        <v>20</v>
      </c>
      <c r="AG106" s="3">
        <f t="shared" si="79"/>
        <v>21</v>
      </c>
      <c r="AH106" s="3">
        <f t="shared" si="79"/>
        <v>22</v>
      </c>
      <c r="AI106" s="3">
        <f>AH106+1</f>
        <v>23</v>
      </c>
      <c r="AJ106" s="3">
        <f t="shared" ref="AJ106:AL106" si="82">AI106+1</f>
        <v>24</v>
      </c>
      <c r="AK106" s="3">
        <f t="shared" si="82"/>
        <v>25</v>
      </c>
      <c r="AL106" s="280">
        <f t="shared" si="82"/>
        <v>26</v>
      </c>
      <c r="AM106" s="299"/>
      <c r="AN106" s="284"/>
      <c r="AO106" s="284"/>
      <c r="AP106" s="284"/>
      <c r="AQ106" s="284"/>
      <c r="AR106" s="295"/>
      <c r="AS106" s="296"/>
      <c r="AT106" s="297"/>
      <c r="AU106" s="297"/>
      <c r="AV106" s="297"/>
      <c r="AW106" s="297"/>
      <c r="AX106" s="284"/>
      <c r="AY106" s="284"/>
      <c r="AZ106" s="284"/>
      <c r="BA106" s="284"/>
      <c r="BB106" s="284"/>
      <c r="BC106" s="284"/>
      <c r="BD106" s="284"/>
      <c r="BE106" s="284"/>
      <c r="BF106" s="284"/>
      <c r="BG106" s="284"/>
      <c r="BH106" s="295"/>
      <c r="BI106" s="296"/>
      <c r="BJ106" s="284"/>
      <c r="BK106" s="284"/>
      <c r="BL106" s="284"/>
      <c r="BM106" s="284"/>
      <c r="BN106" s="284"/>
      <c r="BO106" s="284"/>
      <c r="BP106" s="284"/>
      <c r="BQ106" s="284"/>
      <c r="BR106" s="284"/>
      <c r="BS106" s="284"/>
      <c r="BT106" s="284"/>
      <c r="BU106" s="284"/>
      <c r="BV106" s="284"/>
      <c r="BW106" s="284"/>
      <c r="BX106" s="295"/>
      <c r="BY106" s="292"/>
      <c r="BZ106" s="290"/>
      <c r="CA106" s="290"/>
      <c r="CB106" s="290"/>
      <c r="CC106" s="290"/>
      <c r="CD106" s="284"/>
      <c r="CE106" s="284"/>
      <c r="CF106" s="284"/>
      <c r="CG106" s="284"/>
      <c r="CH106" s="284"/>
      <c r="CI106" s="284"/>
      <c r="CJ106" s="284"/>
      <c r="CK106" s="284"/>
      <c r="CL106" s="284"/>
      <c r="CM106" s="284"/>
      <c r="CN106" s="295"/>
    </row>
    <row r="107" spans="1:92" hidden="1" x14ac:dyDescent="0.25">
      <c r="B107" s="284"/>
      <c r="C107" s="284">
        <v>6</v>
      </c>
      <c r="D107" s="265" t="str">
        <f t="shared" si="65"/>
        <v>COUNTDOWN_WEST_Q_1_16</v>
      </c>
      <c r="E107" s="284"/>
      <c r="F107" s="34" t="s">
        <v>33</v>
      </c>
      <c r="G107" s="3" t="s">
        <v>19</v>
      </c>
      <c r="H107" s="3">
        <v>1</v>
      </c>
      <c r="I107" s="3" t="s">
        <v>59</v>
      </c>
      <c r="J107" s="302"/>
      <c r="K107" s="302"/>
      <c r="L107" s="30"/>
      <c r="M107" s="292"/>
      <c r="N107" s="290"/>
      <c r="O107" s="290"/>
      <c r="P107" s="290"/>
      <c r="Q107" s="290"/>
      <c r="R107" s="284"/>
      <c r="S107" s="284"/>
      <c r="T107" s="284"/>
      <c r="U107" s="284"/>
      <c r="V107" s="298"/>
      <c r="W107" s="328"/>
      <c r="X107" s="303"/>
      <c r="Y107" s="303"/>
      <c r="Z107" s="303"/>
      <c r="AA107" s="303"/>
      <c r="AB107" s="343"/>
      <c r="AC107" s="346"/>
      <c r="AD107" s="303"/>
      <c r="AE107" s="303"/>
      <c r="AF107" s="303"/>
      <c r="AG107" s="303"/>
      <c r="AH107" s="303"/>
      <c r="AI107" s="284"/>
      <c r="AJ107" s="284"/>
      <c r="AK107" s="284"/>
      <c r="AL107" s="293"/>
      <c r="AM107" s="290"/>
      <c r="AN107" s="284"/>
      <c r="AO107" s="284"/>
      <c r="AP107" s="284"/>
      <c r="AQ107" s="284"/>
      <c r="AR107" s="295"/>
      <c r="AS107" s="296"/>
      <c r="AT107" s="297"/>
      <c r="AU107" s="297"/>
      <c r="AV107" s="297"/>
      <c r="AW107" s="297"/>
      <c r="AX107" s="284"/>
      <c r="AY107" s="284"/>
      <c r="AZ107" s="284"/>
      <c r="BA107" s="284"/>
      <c r="BB107" s="284"/>
      <c r="BC107" s="284"/>
      <c r="BD107" s="284"/>
      <c r="BE107" s="284"/>
      <c r="BF107" s="284"/>
      <c r="BG107" s="284"/>
      <c r="BH107" s="295"/>
      <c r="BI107" s="296"/>
      <c r="BJ107" s="297"/>
      <c r="BK107" s="297"/>
      <c r="BL107" s="297"/>
      <c r="BM107" s="297"/>
      <c r="BN107" s="284"/>
      <c r="BO107" s="284"/>
      <c r="BP107" s="284"/>
      <c r="BQ107" s="284"/>
      <c r="BR107" s="284"/>
      <c r="BS107" s="284"/>
      <c r="BT107" s="284"/>
      <c r="BU107" s="284"/>
      <c r="BV107" s="284"/>
      <c r="BW107" s="284"/>
      <c r="BX107" s="295"/>
      <c r="BY107" s="292"/>
      <c r="BZ107" s="290"/>
      <c r="CA107" s="290"/>
      <c r="CB107" s="290"/>
      <c r="CC107" s="290"/>
      <c r="CD107" s="284"/>
      <c r="CE107" s="284"/>
      <c r="CF107" s="284"/>
      <c r="CG107" s="284"/>
      <c r="CH107" s="284"/>
      <c r="CI107" s="284"/>
      <c r="CJ107" s="284"/>
      <c r="CK107" s="284"/>
      <c r="CL107" s="284"/>
      <c r="CM107" s="284"/>
      <c r="CN107" s="295"/>
    </row>
    <row r="108" spans="1:92" hidden="1" x14ac:dyDescent="0.25">
      <c r="A108" s="2" t="s">
        <v>7</v>
      </c>
      <c r="B108" s="284"/>
      <c r="C108" s="284">
        <v>1</v>
      </c>
      <c r="D108" s="265" t="str">
        <f t="shared" si="65"/>
        <v>SORTING_WEST_F_2_16</v>
      </c>
      <c r="E108" s="284" t="s">
        <v>35</v>
      </c>
      <c r="F108" s="49" t="s">
        <v>45</v>
      </c>
      <c r="G108" s="3" t="s">
        <v>19</v>
      </c>
      <c r="H108" s="3">
        <v>2</v>
      </c>
      <c r="I108" s="3" t="s">
        <v>7</v>
      </c>
      <c r="J108" s="90"/>
      <c r="K108" s="90">
        <f>COUNT(W108:AR108)</f>
        <v>13</v>
      </c>
      <c r="L108" s="30"/>
      <c r="M108" s="323"/>
      <c r="N108" s="324"/>
      <c r="O108" s="324"/>
      <c r="P108" s="324"/>
      <c r="Q108" s="324"/>
      <c r="R108" s="256"/>
      <c r="S108" s="256"/>
      <c r="T108" s="256"/>
      <c r="U108" s="256"/>
      <c r="V108" s="325"/>
      <c r="W108" s="328">
        <v>1</v>
      </c>
      <c r="X108" s="33">
        <f>W108+1</f>
        <v>2</v>
      </c>
      <c r="Y108" s="33">
        <f t="shared" ref="Y108:AM112" si="83">X108+1</f>
        <v>3</v>
      </c>
      <c r="Z108" s="33">
        <f t="shared" si="83"/>
        <v>4</v>
      </c>
      <c r="AA108" s="33">
        <f t="shared" si="83"/>
        <v>5</v>
      </c>
      <c r="AB108" s="282">
        <f t="shared" si="83"/>
        <v>6</v>
      </c>
      <c r="AC108" s="321">
        <f t="shared" si="83"/>
        <v>7</v>
      </c>
      <c r="AD108" s="33">
        <f t="shared" si="83"/>
        <v>8</v>
      </c>
      <c r="AE108" s="33">
        <f t="shared" si="83"/>
        <v>9</v>
      </c>
      <c r="AF108" s="33">
        <f t="shared" si="83"/>
        <v>10</v>
      </c>
      <c r="AG108" s="33">
        <f t="shared" si="83"/>
        <v>11</v>
      </c>
      <c r="AH108" s="33">
        <f t="shared" si="83"/>
        <v>12</v>
      </c>
      <c r="AI108" s="33">
        <f t="shared" si="83"/>
        <v>13</v>
      </c>
      <c r="AJ108" s="258"/>
      <c r="AK108" s="284"/>
      <c r="AL108" s="293"/>
      <c r="AM108" s="290"/>
      <c r="AN108" s="284"/>
      <c r="AO108" s="284"/>
      <c r="AP108" s="284"/>
      <c r="AQ108" s="284"/>
      <c r="AR108" s="295"/>
      <c r="AS108" s="292"/>
      <c r="AT108" s="284"/>
      <c r="AU108" s="284"/>
      <c r="AV108" s="284"/>
      <c r="AW108" s="284"/>
      <c r="AX108" s="284"/>
      <c r="AY108" s="284"/>
      <c r="AZ108" s="284"/>
      <c r="BA108" s="284"/>
      <c r="BB108" s="284"/>
      <c r="BC108" s="284"/>
      <c r="BD108" s="284"/>
      <c r="BE108" s="284"/>
      <c r="BF108" s="284"/>
      <c r="BG108" s="284"/>
      <c r="BH108" s="295"/>
      <c r="BI108" s="296"/>
      <c r="BJ108" s="297"/>
      <c r="BK108" s="297"/>
      <c r="BL108" s="297"/>
      <c r="BM108" s="297"/>
      <c r="BN108" s="284"/>
      <c r="BO108" s="284"/>
      <c r="BP108" s="284"/>
      <c r="BQ108" s="284"/>
      <c r="BR108" s="284"/>
      <c r="BS108" s="284"/>
      <c r="BT108" s="284"/>
      <c r="BU108" s="284"/>
      <c r="BV108" s="284"/>
      <c r="BW108" s="284"/>
      <c r="BX108" s="295"/>
      <c r="BY108" s="292"/>
      <c r="BZ108" s="290"/>
      <c r="CA108" s="290"/>
      <c r="CB108" s="290"/>
      <c r="CC108" s="290"/>
      <c r="CD108" s="284"/>
      <c r="CE108" s="284"/>
      <c r="CF108" s="284"/>
      <c r="CG108" s="284"/>
      <c r="CH108" s="284"/>
      <c r="CI108" s="284"/>
      <c r="CJ108" s="284"/>
      <c r="CK108" s="284"/>
      <c r="CL108" s="284"/>
      <c r="CM108" s="284"/>
      <c r="CN108" s="295"/>
    </row>
    <row r="109" spans="1:92" hidden="1" x14ac:dyDescent="0.25">
      <c r="A109" s="2" t="s">
        <v>7</v>
      </c>
      <c r="B109" s="284"/>
      <c r="C109" s="284">
        <v>2</v>
      </c>
      <c r="D109" s="265" t="str">
        <f t="shared" si="65"/>
        <v>TRANSFER_WEST_F_2_16</v>
      </c>
      <c r="E109" s="284" t="s">
        <v>21</v>
      </c>
      <c r="F109" s="34" t="s">
        <v>21</v>
      </c>
      <c r="G109" s="3" t="s">
        <v>19</v>
      </c>
      <c r="H109" s="3">
        <v>2</v>
      </c>
      <c r="I109" s="3" t="s">
        <v>7</v>
      </c>
      <c r="J109" s="90"/>
      <c r="K109" s="90">
        <f>COUNT(W109:AR109)</f>
        <v>14</v>
      </c>
      <c r="L109" s="30"/>
      <c r="M109" s="323"/>
      <c r="N109" s="324"/>
      <c r="O109" s="324"/>
      <c r="P109" s="324"/>
      <c r="Q109" s="324"/>
      <c r="R109" s="256"/>
      <c r="S109" s="256"/>
      <c r="T109" s="256"/>
      <c r="U109" s="256"/>
      <c r="V109" s="325"/>
      <c r="W109" s="328">
        <v>1</v>
      </c>
      <c r="X109" s="3">
        <f>W109+1</f>
        <v>2</v>
      </c>
      <c r="Y109" s="3">
        <f t="shared" si="83"/>
        <v>3</v>
      </c>
      <c r="Z109" s="3">
        <f t="shared" si="83"/>
        <v>4</v>
      </c>
      <c r="AA109" s="3">
        <f t="shared" si="83"/>
        <v>5</v>
      </c>
      <c r="AB109" s="280">
        <f t="shared" si="83"/>
        <v>6</v>
      </c>
      <c r="AC109" s="319">
        <f t="shared" si="83"/>
        <v>7</v>
      </c>
      <c r="AD109" s="3">
        <f t="shared" si="83"/>
        <v>8</v>
      </c>
      <c r="AE109" s="3">
        <f t="shared" si="83"/>
        <v>9</v>
      </c>
      <c r="AF109" s="3">
        <f t="shared" si="83"/>
        <v>10</v>
      </c>
      <c r="AG109" s="3">
        <f t="shared" si="83"/>
        <v>11</v>
      </c>
      <c r="AH109" s="3">
        <f t="shared" si="83"/>
        <v>12</v>
      </c>
      <c r="AI109" s="3">
        <f t="shared" si="83"/>
        <v>13</v>
      </c>
      <c r="AJ109" s="3">
        <f t="shared" si="83"/>
        <v>14</v>
      </c>
      <c r="AK109" s="258"/>
      <c r="AL109" s="300"/>
      <c r="AM109" s="290"/>
      <c r="AN109" s="284"/>
      <c r="AO109" s="284"/>
      <c r="AP109" s="284"/>
      <c r="AQ109" s="284"/>
      <c r="AR109" s="295"/>
      <c r="AS109" s="292"/>
      <c r="AT109" s="284"/>
      <c r="AU109" s="284"/>
      <c r="AV109" s="284"/>
      <c r="AW109" s="284"/>
      <c r="AX109" s="284"/>
      <c r="AY109" s="284"/>
      <c r="AZ109" s="284"/>
      <c r="BA109" s="284"/>
      <c r="BB109" s="284"/>
      <c r="BC109" s="284"/>
      <c r="BD109" s="284"/>
      <c r="BE109" s="284"/>
      <c r="BF109" s="284"/>
      <c r="BG109" s="284"/>
      <c r="BH109" s="295"/>
      <c r="BI109" s="296"/>
      <c r="BJ109" s="297"/>
      <c r="BK109" s="297"/>
      <c r="BL109" s="297"/>
      <c r="BM109" s="297"/>
      <c r="BN109" s="284"/>
      <c r="BO109" s="284"/>
      <c r="BP109" s="284"/>
      <c r="BQ109" s="284"/>
      <c r="BR109" s="284"/>
      <c r="BS109" s="284"/>
      <c r="BT109" s="284"/>
      <c r="BU109" s="284"/>
      <c r="BV109" s="284"/>
      <c r="BW109" s="284"/>
      <c r="BX109" s="295"/>
      <c r="BY109" s="292"/>
      <c r="BZ109" s="290"/>
      <c r="CA109" s="290"/>
      <c r="CB109" s="290"/>
      <c r="CC109" s="290"/>
      <c r="CD109" s="284"/>
      <c r="CE109" s="284"/>
      <c r="CF109" s="284"/>
      <c r="CG109" s="284"/>
      <c r="CH109" s="284"/>
      <c r="CI109" s="284"/>
      <c r="CJ109" s="284"/>
      <c r="CK109" s="284"/>
      <c r="CL109" s="284"/>
      <c r="CM109" s="284"/>
      <c r="CN109" s="295"/>
    </row>
    <row r="110" spans="1:92" hidden="1" x14ac:dyDescent="0.25">
      <c r="A110" s="2" t="s">
        <v>7</v>
      </c>
      <c r="B110" s="284"/>
      <c r="C110" s="284">
        <v>3</v>
      </c>
      <c r="D110" s="265" t="str">
        <f t="shared" si="65"/>
        <v>SUPPLY_WEST_F_2_16</v>
      </c>
      <c r="E110" s="284" t="s">
        <v>0</v>
      </c>
      <c r="F110" s="34" t="s">
        <v>0</v>
      </c>
      <c r="G110" s="3" t="s">
        <v>19</v>
      </c>
      <c r="H110" s="3">
        <v>2</v>
      </c>
      <c r="I110" s="3" t="s">
        <v>7</v>
      </c>
      <c r="J110" s="90"/>
      <c r="K110" s="90">
        <f>COUNT(AC110:BH110)</f>
        <v>12</v>
      </c>
      <c r="L110" s="30"/>
      <c r="M110" s="323"/>
      <c r="N110" s="324"/>
      <c r="O110" s="324"/>
      <c r="P110" s="324"/>
      <c r="Q110" s="324"/>
      <c r="R110" s="256"/>
      <c r="S110" s="256"/>
      <c r="T110" s="256"/>
      <c r="U110" s="256"/>
      <c r="V110" s="325"/>
      <c r="W110" s="326"/>
      <c r="X110" s="256"/>
      <c r="Y110" s="256"/>
      <c r="Z110" s="256"/>
      <c r="AA110" s="256"/>
      <c r="AB110" s="341"/>
      <c r="AC110" s="328">
        <v>1</v>
      </c>
      <c r="AD110" s="3">
        <f>AC110+1</f>
        <v>2</v>
      </c>
      <c r="AE110" s="3">
        <f t="shared" si="83"/>
        <v>3</v>
      </c>
      <c r="AF110" s="3">
        <f t="shared" si="83"/>
        <v>4</v>
      </c>
      <c r="AG110" s="3">
        <f t="shared" si="83"/>
        <v>5</v>
      </c>
      <c r="AH110" s="3">
        <f t="shared" si="83"/>
        <v>6</v>
      </c>
      <c r="AI110" s="3">
        <f t="shared" si="83"/>
        <v>7</v>
      </c>
      <c r="AJ110" s="3">
        <f t="shared" si="83"/>
        <v>8</v>
      </c>
      <c r="AK110" s="3">
        <f>AJ110+1</f>
        <v>9</v>
      </c>
      <c r="AL110" s="280">
        <f t="shared" ref="AL110:AN110" si="84">AK110+1</f>
        <v>10</v>
      </c>
      <c r="AM110" s="86">
        <f t="shared" si="84"/>
        <v>11</v>
      </c>
      <c r="AN110" s="86">
        <f t="shared" si="84"/>
        <v>12</v>
      </c>
      <c r="AO110" s="258"/>
      <c r="AP110" s="258"/>
      <c r="AQ110" s="258"/>
      <c r="AR110" s="331"/>
      <c r="AS110" s="258"/>
      <c r="AT110" s="258"/>
      <c r="AU110" s="258"/>
      <c r="AV110" s="258"/>
      <c r="AW110" s="258"/>
      <c r="AX110" s="258"/>
      <c r="AY110" s="258"/>
      <c r="AZ110" s="258"/>
      <c r="BA110" s="258"/>
      <c r="BB110" s="284"/>
      <c r="BC110" s="284"/>
      <c r="BD110" s="284"/>
      <c r="BE110" s="284"/>
      <c r="BF110" s="284"/>
      <c r="BG110" s="284"/>
      <c r="BH110" s="295"/>
      <c r="BI110" s="296"/>
      <c r="BJ110" s="284"/>
      <c r="BK110" s="284"/>
      <c r="BL110" s="284"/>
      <c r="BM110" s="284"/>
      <c r="BN110" s="284"/>
      <c r="BO110" s="284"/>
      <c r="BP110" s="284"/>
      <c r="BQ110" s="284"/>
      <c r="BR110" s="284"/>
      <c r="BS110" s="284"/>
      <c r="BT110" s="284"/>
      <c r="BU110" s="284"/>
      <c r="BV110" s="284"/>
      <c r="BW110" s="284"/>
      <c r="BX110" s="295"/>
      <c r="BY110" s="292"/>
      <c r="BZ110" s="290"/>
      <c r="CA110" s="290"/>
      <c r="CB110" s="290"/>
      <c r="CC110" s="290"/>
      <c r="CD110" s="284"/>
      <c r="CE110" s="284"/>
      <c r="CF110" s="284"/>
      <c r="CG110" s="284"/>
      <c r="CH110" s="284"/>
      <c r="CI110" s="284"/>
      <c r="CJ110" s="284"/>
      <c r="CK110" s="284"/>
      <c r="CL110" s="284"/>
      <c r="CM110" s="284"/>
      <c r="CN110" s="295"/>
    </row>
    <row r="111" spans="1:92" x14ac:dyDescent="0.25">
      <c r="A111" s="286" t="s">
        <v>7</v>
      </c>
      <c r="B111" s="284"/>
      <c r="C111" s="284">
        <v>4</v>
      </c>
      <c r="D111" s="265" t="str">
        <f t="shared" si="65"/>
        <v>EMPTY_WEST_F_2_16</v>
      </c>
      <c r="E111" s="284" t="s">
        <v>0</v>
      </c>
      <c r="F111" s="34" t="s">
        <v>32</v>
      </c>
      <c r="G111" s="3" t="s">
        <v>19</v>
      </c>
      <c r="H111" s="3">
        <v>2</v>
      </c>
      <c r="I111" s="3" t="s">
        <v>7</v>
      </c>
      <c r="J111" s="90"/>
      <c r="K111" s="90">
        <f>COUNT(M111:AR111)</f>
        <v>25</v>
      </c>
      <c r="L111" s="30"/>
      <c r="M111" s="292">
        <v>1</v>
      </c>
      <c r="N111" s="86">
        <f>M111+1</f>
        <v>2</v>
      </c>
      <c r="O111" s="86">
        <f t="shared" ref="O111:AF112" si="85">N111+1</f>
        <v>3</v>
      </c>
      <c r="P111" s="86">
        <f t="shared" si="85"/>
        <v>4</v>
      </c>
      <c r="Q111" s="86">
        <f t="shared" si="85"/>
        <v>5</v>
      </c>
      <c r="R111" s="86">
        <f t="shared" si="85"/>
        <v>6</v>
      </c>
      <c r="S111" s="86">
        <f t="shared" si="85"/>
        <v>7</v>
      </c>
      <c r="T111" s="86">
        <f t="shared" si="85"/>
        <v>8</v>
      </c>
      <c r="U111" s="86">
        <f t="shared" si="85"/>
        <v>9</v>
      </c>
      <c r="V111" s="336">
        <f t="shared" si="85"/>
        <v>10</v>
      </c>
      <c r="W111" s="319">
        <f t="shared" si="85"/>
        <v>11</v>
      </c>
      <c r="X111" s="3">
        <f t="shared" si="85"/>
        <v>12</v>
      </c>
      <c r="Y111" s="3">
        <f t="shared" si="85"/>
        <v>13</v>
      </c>
      <c r="Z111" s="3">
        <f t="shared" si="85"/>
        <v>14</v>
      </c>
      <c r="AA111" s="3">
        <f t="shared" si="85"/>
        <v>15</v>
      </c>
      <c r="AB111" s="280">
        <f t="shared" si="85"/>
        <v>16</v>
      </c>
      <c r="AC111" s="319">
        <f t="shared" si="85"/>
        <v>17</v>
      </c>
      <c r="AD111" s="3">
        <f t="shared" si="85"/>
        <v>18</v>
      </c>
      <c r="AE111" s="3">
        <f t="shared" si="85"/>
        <v>19</v>
      </c>
      <c r="AF111" s="3">
        <f t="shared" si="85"/>
        <v>20</v>
      </c>
      <c r="AG111" s="3">
        <f>AF111+1</f>
        <v>21</v>
      </c>
      <c r="AH111" s="3">
        <f t="shared" si="83"/>
        <v>22</v>
      </c>
      <c r="AI111" s="3">
        <f t="shared" si="83"/>
        <v>23</v>
      </c>
      <c r="AJ111" s="3">
        <f t="shared" si="83"/>
        <v>24</v>
      </c>
      <c r="AK111" s="3">
        <f t="shared" si="83"/>
        <v>25</v>
      </c>
      <c r="AL111" s="341"/>
      <c r="AM111" s="299"/>
      <c r="AN111" s="284"/>
      <c r="AO111" s="284"/>
      <c r="AP111" s="284"/>
      <c r="AQ111" s="284"/>
      <c r="AR111" s="295"/>
      <c r="AS111" s="292"/>
      <c r="AT111" s="284"/>
      <c r="AU111" s="284"/>
      <c r="AV111" s="284"/>
      <c r="AW111" s="284"/>
      <c r="AX111" s="284"/>
      <c r="AY111" s="284"/>
      <c r="AZ111" s="284"/>
      <c r="BA111" s="284"/>
      <c r="BB111" s="284"/>
      <c r="BC111" s="284"/>
      <c r="BD111" s="284"/>
      <c r="BE111" s="284"/>
      <c r="BF111" s="284"/>
      <c r="BG111" s="284"/>
      <c r="BH111" s="295"/>
      <c r="BI111" s="296"/>
      <c r="BJ111" s="284"/>
      <c r="BK111" s="284"/>
      <c r="BL111" s="284"/>
      <c r="BM111" s="284"/>
      <c r="BN111" s="284"/>
      <c r="BO111" s="284"/>
      <c r="BP111" s="284"/>
      <c r="BQ111" s="284"/>
      <c r="BR111" s="284"/>
      <c r="BS111" s="284"/>
      <c r="BT111" s="284"/>
      <c r="BU111" s="284"/>
      <c r="BV111" s="284"/>
      <c r="BW111" s="284"/>
      <c r="BX111" s="295"/>
      <c r="BY111" s="292"/>
      <c r="BZ111" s="290"/>
      <c r="CA111" s="290"/>
      <c r="CB111" s="290"/>
      <c r="CC111" s="290"/>
      <c r="CD111" s="284"/>
      <c r="CE111" s="284"/>
      <c r="CF111" s="284"/>
      <c r="CG111" s="284"/>
      <c r="CH111" s="284"/>
      <c r="CI111" s="284"/>
      <c r="CJ111" s="284"/>
      <c r="CK111" s="284"/>
      <c r="CL111" s="284"/>
      <c r="CM111" s="284"/>
      <c r="CN111" s="295"/>
    </row>
    <row r="112" spans="1:92" hidden="1" x14ac:dyDescent="0.25">
      <c r="A112" s="286" t="s">
        <v>7</v>
      </c>
      <c r="B112" s="284"/>
      <c r="C112" s="284">
        <v>5</v>
      </c>
      <c r="D112" s="265" t="str">
        <f t="shared" si="65"/>
        <v>PREPARE_WEST_F_2_16</v>
      </c>
      <c r="E112" s="284" t="s">
        <v>0</v>
      </c>
      <c r="F112" s="49" t="s">
        <v>46</v>
      </c>
      <c r="G112" s="3" t="s">
        <v>19</v>
      </c>
      <c r="H112" s="3">
        <v>2</v>
      </c>
      <c r="I112" s="3" t="s">
        <v>7</v>
      </c>
      <c r="J112" s="90"/>
      <c r="K112" s="90">
        <f>COUNT(M112:AR112)</f>
        <v>27</v>
      </c>
      <c r="L112" s="30"/>
      <c r="M112" s="292">
        <v>1</v>
      </c>
      <c r="N112" s="86">
        <f>M112+1</f>
        <v>2</v>
      </c>
      <c r="O112" s="86">
        <f t="shared" si="85"/>
        <v>3</v>
      </c>
      <c r="P112" s="86">
        <f t="shared" si="85"/>
        <v>4</v>
      </c>
      <c r="Q112" s="86">
        <f t="shared" si="85"/>
        <v>5</v>
      </c>
      <c r="R112" s="86">
        <f t="shared" si="85"/>
        <v>6</v>
      </c>
      <c r="S112" s="86">
        <f t="shared" si="85"/>
        <v>7</v>
      </c>
      <c r="T112" s="86">
        <f t="shared" si="85"/>
        <v>8</v>
      </c>
      <c r="U112" s="86">
        <f t="shared" si="85"/>
        <v>9</v>
      </c>
      <c r="V112" s="336">
        <f t="shared" si="85"/>
        <v>10</v>
      </c>
      <c r="W112" s="319">
        <f t="shared" si="85"/>
        <v>11</v>
      </c>
      <c r="X112" s="3">
        <f t="shared" si="85"/>
        <v>12</v>
      </c>
      <c r="Y112" s="3">
        <f t="shared" si="85"/>
        <v>13</v>
      </c>
      <c r="Z112" s="3">
        <f t="shared" si="85"/>
        <v>14</v>
      </c>
      <c r="AA112" s="3">
        <f t="shared" si="85"/>
        <v>15</v>
      </c>
      <c r="AB112" s="280">
        <f t="shared" si="85"/>
        <v>16</v>
      </c>
      <c r="AC112" s="319">
        <f t="shared" si="85"/>
        <v>17</v>
      </c>
      <c r="AD112" s="3">
        <f t="shared" si="85"/>
        <v>18</v>
      </c>
      <c r="AE112" s="3">
        <f t="shared" si="85"/>
        <v>19</v>
      </c>
      <c r="AF112" s="3">
        <f t="shared" si="85"/>
        <v>20</v>
      </c>
      <c r="AG112" s="3">
        <f t="shared" ref="AG112:AH112" si="86">AF112+1</f>
        <v>21</v>
      </c>
      <c r="AH112" s="3">
        <f t="shared" si="86"/>
        <v>22</v>
      </c>
      <c r="AI112" s="3">
        <f>AH112+1</f>
        <v>23</v>
      </c>
      <c r="AJ112" s="3">
        <f t="shared" si="83"/>
        <v>24</v>
      </c>
      <c r="AK112" s="3">
        <f t="shared" si="83"/>
        <v>25</v>
      </c>
      <c r="AL112" s="280">
        <f t="shared" si="83"/>
        <v>26</v>
      </c>
      <c r="AM112" s="86">
        <f t="shared" si="83"/>
        <v>27</v>
      </c>
      <c r="AN112" s="299"/>
      <c r="AO112" s="284"/>
      <c r="AP112" s="284"/>
      <c r="AQ112" s="284"/>
      <c r="AR112" s="295"/>
      <c r="AS112" s="292"/>
      <c r="AT112" s="284"/>
      <c r="AU112" s="284"/>
      <c r="AV112" s="284"/>
      <c r="AW112" s="284"/>
      <c r="AX112" s="284"/>
      <c r="AY112" s="284"/>
      <c r="AZ112" s="284"/>
      <c r="BA112" s="284"/>
      <c r="BB112" s="284"/>
      <c r="BC112" s="284"/>
      <c r="BD112" s="284"/>
      <c r="BE112" s="284"/>
      <c r="BF112" s="284"/>
      <c r="BG112" s="284"/>
      <c r="BH112" s="295"/>
      <c r="BI112" s="296"/>
      <c r="BJ112" s="284"/>
      <c r="BK112" s="284"/>
      <c r="BL112" s="284"/>
      <c r="BM112" s="284"/>
      <c r="BN112" s="284"/>
      <c r="BO112" s="284"/>
      <c r="BP112" s="284"/>
      <c r="BQ112" s="284"/>
      <c r="BR112" s="284"/>
      <c r="BS112" s="284"/>
      <c r="BT112" s="284"/>
      <c r="BU112" s="284"/>
      <c r="BV112" s="284"/>
      <c r="BW112" s="284"/>
      <c r="BX112" s="295"/>
      <c r="BY112" s="292"/>
      <c r="BZ112" s="290"/>
      <c r="CA112" s="290"/>
      <c r="CB112" s="290"/>
      <c r="CC112" s="290"/>
      <c r="CD112" s="284"/>
      <c r="CE112" s="284"/>
      <c r="CF112" s="284"/>
      <c r="CG112" s="284"/>
      <c r="CH112" s="284"/>
      <c r="CI112" s="284"/>
      <c r="CJ112" s="284"/>
      <c r="CK112" s="284"/>
      <c r="CL112" s="284"/>
      <c r="CM112" s="284"/>
      <c r="CN112" s="295"/>
    </row>
    <row r="113" spans="1:92" hidden="1" x14ac:dyDescent="0.25">
      <c r="A113" s="286" t="s">
        <v>7</v>
      </c>
      <c r="B113" s="284"/>
      <c r="C113" s="284">
        <v>6</v>
      </c>
      <c r="D113" s="265" t="str">
        <f t="shared" si="65"/>
        <v>COUNTDOWN_WEST_F_2_16</v>
      </c>
      <c r="E113" s="284"/>
      <c r="F113" s="34" t="s">
        <v>33</v>
      </c>
      <c r="G113" s="3" t="s">
        <v>19</v>
      </c>
      <c r="H113" s="3">
        <v>2</v>
      </c>
      <c r="I113" s="3" t="s">
        <v>7</v>
      </c>
      <c r="J113" s="302"/>
      <c r="K113" s="302"/>
      <c r="L113" s="30"/>
      <c r="M113" s="292">
        <v>12</v>
      </c>
      <c r="N113" s="290">
        <v>11</v>
      </c>
      <c r="O113" s="290">
        <v>10</v>
      </c>
      <c r="P113" s="290">
        <v>9</v>
      </c>
      <c r="Q113" s="290">
        <v>8</v>
      </c>
      <c r="R113" s="284">
        <v>7</v>
      </c>
      <c r="S113" s="284">
        <v>6</v>
      </c>
      <c r="T113" s="284">
        <v>5</v>
      </c>
      <c r="U113" s="284">
        <v>4</v>
      </c>
      <c r="V113" s="298">
        <v>3</v>
      </c>
      <c r="W113" s="328">
        <v>2</v>
      </c>
      <c r="X113" s="284">
        <v>1</v>
      </c>
      <c r="Y113" s="284">
        <v>16</v>
      </c>
      <c r="Z113" s="284">
        <v>15</v>
      </c>
      <c r="AA113" s="284">
        <v>14</v>
      </c>
      <c r="AB113" s="293">
        <v>13</v>
      </c>
      <c r="AC113" s="328">
        <v>12</v>
      </c>
      <c r="AD113" s="284">
        <v>11</v>
      </c>
      <c r="AE113" s="284">
        <v>10</v>
      </c>
      <c r="AF113" s="284">
        <v>9</v>
      </c>
      <c r="AG113" s="284">
        <v>8</v>
      </c>
      <c r="AH113" s="284">
        <v>7</v>
      </c>
      <c r="AI113" s="284">
        <v>6</v>
      </c>
      <c r="AJ113" s="284">
        <v>5</v>
      </c>
      <c r="AK113" s="284">
        <v>4</v>
      </c>
      <c r="AL113" s="293">
        <v>3</v>
      </c>
      <c r="AM113" s="290">
        <v>2</v>
      </c>
      <c r="AN113" s="284">
        <v>1</v>
      </c>
      <c r="AO113" s="284">
        <v>16</v>
      </c>
      <c r="AP113" s="284">
        <v>15</v>
      </c>
      <c r="AQ113" s="284">
        <v>14</v>
      </c>
      <c r="AR113" s="295">
        <v>13</v>
      </c>
      <c r="AS113" s="296">
        <v>12</v>
      </c>
      <c r="AT113" s="297">
        <v>11</v>
      </c>
      <c r="AU113" s="297">
        <v>10</v>
      </c>
      <c r="AV113" s="297">
        <v>9</v>
      </c>
      <c r="AW113" s="297">
        <v>8</v>
      </c>
      <c r="AX113" s="284">
        <v>7</v>
      </c>
      <c r="AY113" s="284">
        <v>6</v>
      </c>
      <c r="AZ113" s="284">
        <v>5</v>
      </c>
      <c r="BA113" s="284">
        <v>4</v>
      </c>
      <c r="BB113" s="284">
        <v>3</v>
      </c>
      <c r="BC113" s="284">
        <v>2</v>
      </c>
      <c r="BD113" s="284">
        <v>1</v>
      </c>
      <c r="BE113" s="284">
        <v>16</v>
      </c>
      <c r="BF113" s="284">
        <v>15</v>
      </c>
      <c r="BG113" s="284">
        <v>14</v>
      </c>
      <c r="BH113" s="295">
        <v>13</v>
      </c>
      <c r="BI113" s="296">
        <v>12</v>
      </c>
      <c r="BJ113" s="297">
        <v>11</v>
      </c>
      <c r="BK113" s="297">
        <v>10</v>
      </c>
      <c r="BL113" s="297">
        <v>9</v>
      </c>
      <c r="BM113" s="297">
        <v>8</v>
      </c>
      <c r="BN113" s="284">
        <v>7</v>
      </c>
      <c r="BO113" s="284">
        <v>6</v>
      </c>
      <c r="BP113" s="284">
        <v>5</v>
      </c>
      <c r="BQ113" s="284">
        <v>4</v>
      </c>
      <c r="BR113" s="284">
        <v>3</v>
      </c>
      <c r="BS113" s="284">
        <v>2</v>
      </c>
      <c r="BT113" s="284">
        <v>1</v>
      </c>
      <c r="BU113" s="284">
        <v>16</v>
      </c>
      <c r="BV113" s="284">
        <v>15</v>
      </c>
      <c r="BW113" s="284">
        <v>14</v>
      </c>
      <c r="BX113" s="295">
        <v>13</v>
      </c>
      <c r="BY113" s="292">
        <v>12</v>
      </c>
      <c r="BZ113" s="290">
        <v>11</v>
      </c>
      <c r="CA113" s="290">
        <v>10</v>
      </c>
      <c r="CB113" s="290">
        <v>9</v>
      </c>
      <c r="CC113" s="290">
        <v>8</v>
      </c>
      <c r="CD113" s="284">
        <v>7</v>
      </c>
      <c r="CE113" s="284">
        <v>6</v>
      </c>
      <c r="CF113" s="284">
        <v>5</v>
      </c>
      <c r="CG113" s="284">
        <v>4</v>
      </c>
      <c r="CH113" s="284">
        <v>3</v>
      </c>
      <c r="CI113" s="284">
        <v>2</v>
      </c>
      <c r="CJ113" s="284">
        <v>1</v>
      </c>
      <c r="CK113" s="284">
        <v>16</v>
      </c>
      <c r="CL113" s="284">
        <v>15</v>
      </c>
      <c r="CM113" s="284">
        <v>14</v>
      </c>
      <c r="CN113" s="295">
        <v>13</v>
      </c>
    </row>
    <row r="114" spans="1:92" hidden="1" x14ac:dyDescent="0.25">
      <c r="A114" s="2" t="s">
        <v>14</v>
      </c>
      <c r="B114" s="265">
        <v>15</v>
      </c>
      <c r="C114" s="265">
        <v>1</v>
      </c>
      <c r="D114" s="265" t="str">
        <f t="shared" si="65"/>
        <v>SORTING_WEST_M_1_16</v>
      </c>
      <c r="E114" s="265" t="s">
        <v>35</v>
      </c>
      <c r="F114" s="49" t="s">
        <v>45</v>
      </c>
      <c r="G114" s="3" t="s">
        <v>19</v>
      </c>
      <c r="H114" s="3">
        <v>1</v>
      </c>
      <c r="I114" s="3" t="s">
        <v>14</v>
      </c>
      <c r="J114" s="37"/>
      <c r="K114" s="90">
        <f>COUNT(W114:AR114)</f>
        <v>14</v>
      </c>
      <c r="L114" s="30"/>
      <c r="M114" s="323"/>
      <c r="N114" s="324"/>
      <c r="O114" s="324"/>
      <c r="P114" s="324"/>
      <c r="Q114" s="324"/>
      <c r="R114" s="256"/>
      <c r="S114" s="256"/>
      <c r="T114" s="256"/>
      <c r="U114" s="256"/>
      <c r="V114" s="325"/>
      <c r="W114" s="328">
        <v>1</v>
      </c>
      <c r="X114" s="33">
        <f>W114+1</f>
        <v>2</v>
      </c>
      <c r="Y114" s="33">
        <f t="shared" ref="Y114:AN118" si="87">X114+1</f>
        <v>3</v>
      </c>
      <c r="Z114" s="33">
        <f t="shared" si="87"/>
        <v>4</v>
      </c>
      <c r="AA114" s="33">
        <f t="shared" si="87"/>
        <v>5</v>
      </c>
      <c r="AB114" s="282">
        <f t="shared" si="87"/>
        <v>6</v>
      </c>
      <c r="AC114" s="321">
        <f t="shared" si="87"/>
        <v>7</v>
      </c>
      <c r="AD114" s="33">
        <f t="shared" si="87"/>
        <v>8</v>
      </c>
      <c r="AE114" s="33">
        <f t="shared" si="87"/>
        <v>9</v>
      </c>
      <c r="AF114" s="33">
        <f t="shared" si="87"/>
        <v>10</v>
      </c>
      <c r="AG114" s="33">
        <f t="shared" si="87"/>
        <v>11</v>
      </c>
      <c r="AH114" s="33">
        <f t="shared" si="87"/>
        <v>12</v>
      </c>
      <c r="AI114" s="33">
        <f t="shared" si="87"/>
        <v>13</v>
      </c>
      <c r="AJ114" s="33">
        <f t="shared" si="87"/>
        <v>14</v>
      </c>
      <c r="AK114" s="258"/>
      <c r="AL114" s="300"/>
      <c r="AM114" s="290"/>
      <c r="AN114" s="284"/>
      <c r="AO114" s="284"/>
      <c r="AP114" s="284"/>
      <c r="AQ114" s="284"/>
      <c r="AR114" s="295"/>
      <c r="AS114" s="292"/>
      <c r="AT114" s="290"/>
      <c r="AU114" s="290"/>
      <c r="AV114" s="290"/>
      <c r="AW114" s="290"/>
      <c r="AX114" s="284"/>
      <c r="AY114" s="284"/>
      <c r="AZ114" s="284"/>
      <c r="BA114" s="284"/>
      <c r="BB114" s="284"/>
      <c r="BC114" s="284"/>
      <c r="BD114" s="284"/>
      <c r="BE114" s="284"/>
      <c r="BF114" s="284"/>
      <c r="BG114" s="284"/>
      <c r="BH114" s="295"/>
      <c r="BI114" s="292"/>
      <c r="BJ114" s="290"/>
      <c r="BK114" s="290"/>
      <c r="BL114" s="290"/>
      <c r="BM114" s="290"/>
      <c r="BN114" s="284"/>
      <c r="BO114" s="284"/>
      <c r="BP114" s="284"/>
      <c r="BQ114" s="284"/>
      <c r="BR114" s="284"/>
      <c r="BS114" s="284"/>
      <c r="BT114" s="284"/>
      <c r="BU114" s="284"/>
      <c r="BV114" s="284"/>
      <c r="BW114" s="284"/>
      <c r="BX114" s="295"/>
      <c r="BY114" s="292"/>
      <c r="BZ114" s="290"/>
      <c r="CA114" s="290"/>
      <c r="CB114" s="290"/>
      <c r="CC114" s="290"/>
      <c r="CD114" s="284"/>
      <c r="CE114" s="284"/>
      <c r="CF114" s="284"/>
      <c r="CG114" s="284"/>
      <c r="CH114" s="284"/>
      <c r="CI114" s="284"/>
      <c r="CJ114" s="284"/>
      <c r="CK114" s="284"/>
      <c r="CL114" s="284"/>
      <c r="CM114" s="284"/>
      <c r="CN114" s="295"/>
    </row>
    <row r="115" spans="1:92" hidden="1" x14ac:dyDescent="0.25">
      <c r="A115" s="2" t="s">
        <v>14</v>
      </c>
      <c r="B115" s="265">
        <v>15</v>
      </c>
      <c r="C115" s="265">
        <v>2</v>
      </c>
      <c r="D115" s="265" t="str">
        <f t="shared" si="65"/>
        <v>TRANSFER_WEST_M_1_16</v>
      </c>
      <c r="E115" s="265" t="s">
        <v>21</v>
      </c>
      <c r="F115" s="49" t="s">
        <v>21</v>
      </c>
      <c r="G115" s="3" t="s">
        <v>19</v>
      </c>
      <c r="H115" s="3">
        <v>1</v>
      </c>
      <c r="I115" s="3" t="s">
        <v>14</v>
      </c>
      <c r="J115" s="37"/>
      <c r="K115" s="90">
        <f>COUNT(W115:AR115)</f>
        <v>16</v>
      </c>
      <c r="L115" s="30"/>
      <c r="M115" s="323"/>
      <c r="N115" s="324"/>
      <c r="O115" s="324"/>
      <c r="P115" s="324"/>
      <c r="Q115" s="324"/>
      <c r="R115" s="256"/>
      <c r="S115" s="256"/>
      <c r="T115" s="256"/>
      <c r="U115" s="256"/>
      <c r="V115" s="325"/>
      <c r="W115" s="328">
        <v>1</v>
      </c>
      <c r="X115" s="3">
        <f>W115+1</f>
        <v>2</v>
      </c>
      <c r="Y115" s="3">
        <f t="shared" si="87"/>
        <v>3</v>
      </c>
      <c r="Z115" s="3">
        <f t="shared" si="87"/>
        <v>4</v>
      </c>
      <c r="AA115" s="3">
        <f t="shared" si="87"/>
        <v>5</v>
      </c>
      <c r="AB115" s="280">
        <f t="shared" si="87"/>
        <v>6</v>
      </c>
      <c r="AC115" s="319">
        <f t="shared" si="87"/>
        <v>7</v>
      </c>
      <c r="AD115" s="3">
        <f t="shared" si="87"/>
        <v>8</v>
      </c>
      <c r="AE115" s="3">
        <f t="shared" si="87"/>
        <v>9</v>
      </c>
      <c r="AF115" s="3">
        <f t="shared" si="87"/>
        <v>10</v>
      </c>
      <c r="AG115" s="3">
        <f t="shared" si="87"/>
        <v>11</v>
      </c>
      <c r="AH115" s="3">
        <f t="shared" si="87"/>
        <v>12</v>
      </c>
      <c r="AI115" s="3">
        <f t="shared" si="87"/>
        <v>13</v>
      </c>
      <c r="AJ115" s="3">
        <f t="shared" si="87"/>
        <v>14</v>
      </c>
      <c r="AK115" s="3">
        <f t="shared" si="87"/>
        <v>15</v>
      </c>
      <c r="AL115" s="280">
        <f t="shared" si="87"/>
        <v>16</v>
      </c>
      <c r="AM115" s="299"/>
      <c r="AN115" s="258"/>
      <c r="AO115" s="284"/>
      <c r="AP115" s="284"/>
      <c r="AQ115" s="284"/>
      <c r="AR115" s="295"/>
      <c r="AS115" s="292"/>
      <c r="AT115" s="290"/>
      <c r="AU115" s="290"/>
      <c r="AV115" s="290"/>
      <c r="AW115" s="290"/>
      <c r="AX115" s="284"/>
      <c r="AY115" s="284"/>
      <c r="AZ115" s="284"/>
      <c r="BA115" s="284"/>
      <c r="BB115" s="284"/>
      <c r="BC115" s="284"/>
      <c r="BD115" s="284"/>
      <c r="BE115" s="284"/>
      <c r="BF115" s="284"/>
      <c r="BG115" s="284"/>
      <c r="BH115" s="295"/>
      <c r="BI115" s="292"/>
      <c r="BJ115" s="290"/>
      <c r="BK115" s="290"/>
      <c r="BL115" s="290"/>
      <c r="BM115" s="290"/>
      <c r="BN115" s="284"/>
      <c r="BO115" s="284"/>
      <c r="BP115" s="284"/>
      <c r="BQ115" s="284"/>
      <c r="BR115" s="284"/>
      <c r="BS115" s="284"/>
      <c r="BT115" s="284"/>
      <c r="BU115" s="284"/>
      <c r="BV115" s="284"/>
      <c r="BW115" s="284"/>
      <c r="BX115" s="295"/>
      <c r="BY115" s="292"/>
      <c r="BZ115" s="290"/>
      <c r="CA115" s="290"/>
      <c r="CB115" s="290"/>
      <c r="CC115" s="290"/>
      <c r="CD115" s="284"/>
      <c r="CE115" s="284"/>
      <c r="CF115" s="284"/>
      <c r="CG115" s="284"/>
      <c r="CH115" s="284"/>
      <c r="CI115" s="284"/>
      <c r="CJ115" s="284"/>
      <c r="CK115" s="284"/>
      <c r="CL115" s="284"/>
      <c r="CM115" s="284"/>
      <c r="CN115" s="295"/>
    </row>
    <row r="116" spans="1:92" hidden="1" x14ac:dyDescent="0.25">
      <c r="A116" s="2" t="s">
        <v>14</v>
      </c>
      <c r="B116" s="265">
        <v>15</v>
      </c>
      <c r="C116" s="265">
        <v>3</v>
      </c>
      <c r="D116" s="265" t="str">
        <f t="shared" si="65"/>
        <v>SUPPLY_WEST_M_1_16</v>
      </c>
      <c r="E116" s="265" t="s">
        <v>0</v>
      </c>
      <c r="F116" s="34" t="s">
        <v>0</v>
      </c>
      <c r="G116" s="3" t="s">
        <v>19</v>
      </c>
      <c r="H116" s="3">
        <v>1</v>
      </c>
      <c r="I116" s="3" t="s">
        <v>14</v>
      </c>
      <c r="J116" s="90"/>
      <c r="K116" s="90">
        <f>COUNT(AC116:BH116)</f>
        <v>14</v>
      </c>
      <c r="L116" s="30"/>
      <c r="M116" s="323"/>
      <c r="N116" s="324"/>
      <c r="O116" s="324"/>
      <c r="P116" s="324"/>
      <c r="Q116" s="324"/>
      <c r="R116" s="256"/>
      <c r="S116" s="256"/>
      <c r="T116" s="256"/>
      <c r="U116" s="256"/>
      <c r="V116" s="325"/>
      <c r="W116" s="326"/>
      <c r="X116" s="256"/>
      <c r="Y116" s="256"/>
      <c r="Z116" s="256"/>
      <c r="AA116" s="256"/>
      <c r="AB116" s="341"/>
      <c r="AC116" s="328">
        <v>1</v>
      </c>
      <c r="AD116" s="3">
        <f>AC116+1</f>
        <v>2</v>
      </c>
      <c r="AE116" s="3">
        <f t="shared" si="87"/>
        <v>3</v>
      </c>
      <c r="AF116" s="3">
        <f t="shared" si="87"/>
        <v>4</v>
      </c>
      <c r="AG116" s="3">
        <f t="shared" si="87"/>
        <v>5</v>
      </c>
      <c r="AH116" s="3">
        <f t="shared" si="87"/>
        <v>6</v>
      </c>
      <c r="AI116" s="3">
        <f t="shared" si="87"/>
        <v>7</v>
      </c>
      <c r="AJ116" s="3">
        <f t="shared" si="87"/>
        <v>8</v>
      </c>
      <c r="AK116" s="3">
        <f>AJ116+1</f>
        <v>9</v>
      </c>
      <c r="AL116" s="280">
        <f t="shared" si="87"/>
        <v>10</v>
      </c>
      <c r="AM116" s="86">
        <f t="shared" si="87"/>
        <v>11</v>
      </c>
      <c r="AN116" s="86">
        <f t="shared" si="87"/>
        <v>12</v>
      </c>
      <c r="AO116" s="86">
        <f t="shared" ref="AO116:AP116" si="88">AN116+1</f>
        <v>13</v>
      </c>
      <c r="AP116" s="86">
        <f t="shared" si="88"/>
        <v>14</v>
      </c>
      <c r="AQ116" s="258"/>
      <c r="AR116" s="331"/>
      <c r="AS116" s="258"/>
      <c r="AT116" s="258"/>
      <c r="AU116" s="258"/>
      <c r="AV116" s="258"/>
      <c r="AW116" s="258"/>
      <c r="AX116" s="258"/>
      <c r="AY116" s="258"/>
      <c r="AZ116" s="258"/>
      <c r="BA116" s="258"/>
      <c r="BB116" s="258"/>
      <c r="BC116" s="284"/>
      <c r="BD116" s="284"/>
      <c r="BE116" s="284"/>
      <c r="BF116" s="284"/>
      <c r="BG116" s="284"/>
      <c r="BH116" s="295"/>
      <c r="BI116" s="296"/>
      <c r="BJ116" s="284"/>
      <c r="BK116" s="284"/>
      <c r="BL116" s="284"/>
      <c r="BM116" s="284"/>
      <c r="BN116" s="284"/>
      <c r="BO116" s="284"/>
      <c r="BP116" s="284"/>
      <c r="BQ116" s="284"/>
      <c r="BR116" s="284"/>
      <c r="BT116" s="284"/>
      <c r="BU116" s="284"/>
      <c r="BV116" s="284"/>
      <c r="BW116" s="284"/>
      <c r="BX116" s="295"/>
      <c r="BY116" s="292"/>
      <c r="BZ116" s="290"/>
      <c r="CA116" s="290"/>
      <c r="CB116" s="290"/>
      <c r="CC116" s="290"/>
      <c r="CD116" s="284"/>
      <c r="CE116" s="284"/>
      <c r="CF116" s="284"/>
      <c r="CG116" s="284"/>
      <c r="CH116" s="284"/>
      <c r="CJ116" s="284"/>
      <c r="CK116" s="284"/>
      <c r="CL116" s="284"/>
      <c r="CM116" s="284"/>
      <c r="CN116" s="295"/>
    </row>
    <row r="117" spans="1:92" x14ac:dyDescent="0.25">
      <c r="A117" s="286" t="s">
        <v>14</v>
      </c>
      <c r="B117" s="265">
        <f t="shared" ref="B117" si="89">B116</f>
        <v>15</v>
      </c>
      <c r="C117" s="265">
        <v>4</v>
      </c>
      <c r="D117" s="265" t="str">
        <f t="shared" si="65"/>
        <v>EMPTY_WEST_M_1_16</v>
      </c>
      <c r="E117" s="265" t="s">
        <v>0</v>
      </c>
      <c r="F117" s="34" t="s">
        <v>32</v>
      </c>
      <c r="G117" s="3" t="s">
        <v>19</v>
      </c>
      <c r="H117" s="3">
        <v>1</v>
      </c>
      <c r="I117" s="3" t="s">
        <v>14</v>
      </c>
      <c r="J117" s="90"/>
      <c r="K117" s="90">
        <f>COUNT(M117:AR117)</f>
        <v>26</v>
      </c>
      <c r="L117" s="30"/>
      <c r="M117" s="292">
        <v>1</v>
      </c>
      <c r="N117" s="86">
        <f>M117+1</f>
        <v>2</v>
      </c>
      <c r="O117" s="86">
        <f t="shared" ref="O117:AF118" si="90">N117+1</f>
        <v>3</v>
      </c>
      <c r="P117" s="86">
        <f t="shared" si="90"/>
        <v>4</v>
      </c>
      <c r="Q117" s="86">
        <f t="shared" si="90"/>
        <v>5</v>
      </c>
      <c r="R117" s="86">
        <f t="shared" si="90"/>
        <v>6</v>
      </c>
      <c r="S117" s="86">
        <f t="shared" si="90"/>
        <v>7</v>
      </c>
      <c r="T117" s="86">
        <f t="shared" si="90"/>
        <v>8</v>
      </c>
      <c r="U117" s="86">
        <f t="shared" si="90"/>
        <v>9</v>
      </c>
      <c r="V117" s="336">
        <f t="shared" si="90"/>
        <v>10</v>
      </c>
      <c r="W117" s="319">
        <f t="shared" si="90"/>
        <v>11</v>
      </c>
      <c r="X117" s="3">
        <f t="shared" si="90"/>
        <v>12</v>
      </c>
      <c r="Y117" s="3">
        <f t="shared" si="90"/>
        <v>13</v>
      </c>
      <c r="Z117" s="3">
        <f t="shared" si="90"/>
        <v>14</v>
      </c>
      <c r="AA117" s="3">
        <f t="shared" si="90"/>
        <v>15</v>
      </c>
      <c r="AB117" s="280">
        <f t="shared" si="90"/>
        <v>16</v>
      </c>
      <c r="AC117" s="319">
        <f t="shared" si="90"/>
        <v>17</v>
      </c>
      <c r="AD117" s="3">
        <f t="shared" si="90"/>
        <v>18</v>
      </c>
      <c r="AE117" s="3">
        <f t="shared" si="90"/>
        <v>19</v>
      </c>
      <c r="AF117" s="3">
        <f t="shared" si="90"/>
        <v>20</v>
      </c>
      <c r="AG117" s="3">
        <f>AF117+1</f>
        <v>21</v>
      </c>
      <c r="AH117" s="3">
        <f t="shared" si="87"/>
        <v>22</v>
      </c>
      <c r="AI117" s="3">
        <f t="shared" si="87"/>
        <v>23</v>
      </c>
      <c r="AJ117" s="3">
        <f t="shared" si="87"/>
        <v>24</v>
      </c>
      <c r="AK117" s="3">
        <f t="shared" si="87"/>
        <v>25</v>
      </c>
      <c r="AL117" s="280">
        <f t="shared" si="87"/>
        <v>26</v>
      </c>
      <c r="AM117" s="324"/>
      <c r="AN117" s="339"/>
      <c r="AO117" s="284"/>
      <c r="AP117" s="284"/>
      <c r="AQ117" s="284"/>
      <c r="AR117" s="295"/>
      <c r="AS117" s="292"/>
      <c r="AT117" s="284"/>
      <c r="AU117" s="284"/>
      <c r="AV117" s="284"/>
      <c r="AW117" s="284"/>
      <c r="AX117" s="284"/>
      <c r="AY117" s="284"/>
      <c r="AZ117" s="284"/>
      <c r="BA117" s="284"/>
      <c r="BB117" s="284"/>
      <c r="BC117" s="284"/>
      <c r="BD117" s="306"/>
      <c r="BE117" s="284"/>
      <c r="BF117" s="284"/>
      <c r="BG117" s="284"/>
      <c r="BH117" s="295"/>
      <c r="BI117" s="292"/>
      <c r="BJ117" s="290"/>
      <c r="BK117" s="290"/>
      <c r="BL117" s="290"/>
      <c r="BM117" s="290"/>
      <c r="BN117" s="284"/>
      <c r="BO117" s="284"/>
      <c r="BP117" s="284"/>
      <c r="BQ117" s="284"/>
      <c r="BR117" s="284"/>
      <c r="BS117" s="284"/>
      <c r="BT117" s="306"/>
      <c r="BU117" s="284"/>
      <c r="BV117" s="284"/>
      <c r="BW117" s="284"/>
      <c r="BX117" s="295"/>
      <c r="BY117" s="292"/>
      <c r="BZ117" s="290"/>
      <c r="CA117" s="290"/>
      <c r="CB117" s="290"/>
      <c r="CC117" s="290"/>
      <c r="CD117" s="284"/>
      <c r="CE117" s="284"/>
      <c r="CF117" s="284"/>
      <c r="CG117" s="284"/>
      <c r="CH117" s="284"/>
      <c r="CI117" s="284"/>
      <c r="CJ117" s="306"/>
      <c r="CK117" s="284"/>
      <c r="CL117" s="284"/>
      <c r="CM117" s="284"/>
      <c r="CN117" s="295"/>
    </row>
    <row r="118" spans="1:92" hidden="1" x14ac:dyDescent="0.25">
      <c r="A118" s="286" t="s">
        <v>14</v>
      </c>
      <c r="B118" s="265">
        <v>15</v>
      </c>
      <c r="C118" s="265">
        <v>5</v>
      </c>
      <c r="D118" s="265" t="str">
        <f t="shared" si="65"/>
        <v>PREPARE_WEST_M_1_16</v>
      </c>
      <c r="E118" s="265" t="s">
        <v>0</v>
      </c>
      <c r="F118" s="49" t="s">
        <v>46</v>
      </c>
      <c r="G118" s="3" t="s">
        <v>19</v>
      </c>
      <c r="H118" s="3">
        <v>1</v>
      </c>
      <c r="I118" s="3" t="s">
        <v>14</v>
      </c>
      <c r="J118" s="37"/>
      <c r="K118" s="90">
        <f>COUNT(M118:AR118)</f>
        <v>28</v>
      </c>
      <c r="L118" s="30"/>
      <c r="M118" s="292">
        <v>1</v>
      </c>
      <c r="N118" s="86">
        <f>M118+1</f>
        <v>2</v>
      </c>
      <c r="O118" s="86">
        <f t="shared" si="90"/>
        <v>3</v>
      </c>
      <c r="P118" s="86">
        <f t="shared" si="90"/>
        <v>4</v>
      </c>
      <c r="Q118" s="86">
        <f t="shared" si="90"/>
        <v>5</v>
      </c>
      <c r="R118" s="86">
        <f t="shared" si="90"/>
        <v>6</v>
      </c>
      <c r="S118" s="86">
        <f t="shared" si="90"/>
        <v>7</v>
      </c>
      <c r="T118" s="86">
        <f t="shared" si="90"/>
        <v>8</v>
      </c>
      <c r="U118" s="86">
        <f t="shared" si="90"/>
        <v>9</v>
      </c>
      <c r="V118" s="336">
        <f t="shared" si="90"/>
        <v>10</v>
      </c>
      <c r="W118" s="319">
        <f t="shared" si="90"/>
        <v>11</v>
      </c>
      <c r="X118" s="3">
        <f t="shared" si="90"/>
        <v>12</v>
      </c>
      <c r="Y118" s="3">
        <f t="shared" si="90"/>
        <v>13</v>
      </c>
      <c r="Z118" s="3">
        <f t="shared" si="90"/>
        <v>14</v>
      </c>
      <c r="AA118" s="3">
        <f t="shared" si="90"/>
        <v>15</v>
      </c>
      <c r="AB118" s="280">
        <f t="shared" si="90"/>
        <v>16</v>
      </c>
      <c r="AC118" s="319">
        <f t="shared" si="90"/>
        <v>17</v>
      </c>
      <c r="AD118" s="3">
        <f t="shared" si="90"/>
        <v>18</v>
      </c>
      <c r="AE118" s="3">
        <f t="shared" si="90"/>
        <v>19</v>
      </c>
      <c r="AF118" s="3">
        <f t="shared" si="90"/>
        <v>20</v>
      </c>
      <c r="AG118" s="3">
        <f t="shared" ref="AG118:AH118" si="91">AF118+1</f>
        <v>21</v>
      </c>
      <c r="AH118" s="3">
        <f t="shared" si="91"/>
        <v>22</v>
      </c>
      <c r="AI118" s="3">
        <f>AH118+1</f>
        <v>23</v>
      </c>
      <c r="AJ118" s="3">
        <f t="shared" si="87"/>
        <v>24</v>
      </c>
      <c r="AK118" s="3">
        <f t="shared" si="87"/>
        <v>25</v>
      </c>
      <c r="AL118" s="280">
        <f t="shared" si="87"/>
        <v>26</v>
      </c>
      <c r="AM118" s="86">
        <f t="shared" si="87"/>
        <v>27</v>
      </c>
      <c r="AN118" s="86">
        <f t="shared" si="87"/>
        <v>28</v>
      </c>
      <c r="AO118" s="258"/>
      <c r="AP118" s="258"/>
      <c r="AQ118" s="284"/>
      <c r="AR118" s="295"/>
      <c r="AS118" s="292"/>
      <c r="AT118" s="284"/>
      <c r="AU118" s="284"/>
      <c r="AV118" s="284"/>
      <c r="AW118" s="284"/>
      <c r="AX118" s="284"/>
      <c r="AY118" s="284"/>
      <c r="AZ118" s="284"/>
      <c r="BA118" s="284"/>
      <c r="BB118" s="284"/>
      <c r="BC118" s="284"/>
      <c r="BD118" s="284"/>
      <c r="BE118" s="284"/>
      <c r="BF118" s="284"/>
      <c r="BG118" s="284"/>
      <c r="BH118" s="295"/>
      <c r="BI118" s="292"/>
      <c r="BJ118" s="290"/>
      <c r="BK118" s="290"/>
      <c r="BL118" s="290"/>
      <c r="BM118" s="290"/>
      <c r="BN118" s="284"/>
      <c r="BO118" s="284"/>
      <c r="BP118" s="284"/>
      <c r="BQ118" s="284"/>
      <c r="BR118" s="284"/>
      <c r="BS118" s="284"/>
      <c r="BT118" s="284"/>
      <c r="BU118" s="284"/>
      <c r="BV118" s="284"/>
      <c r="BW118" s="284"/>
      <c r="BX118" s="295"/>
      <c r="BY118" s="292"/>
      <c r="BZ118" s="290"/>
      <c r="CA118" s="290"/>
      <c r="CB118" s="290"/>
      <c r="CC118" s="290"/>
      <c r="CD118" s="284"/>
      <c r="CE118" s="284"/>
      <c r="CF118" s="284"/>
      <c r="CG118" s="284"/>
      <c r="CH118" s="284"/>
      <c r="CI118" s="284"/>
      <c r="CJ118" s="284"/>
      <c r="CK118" s="284"/>
      <c r="CL118" s="284"/>
      <c r="CM118" s="284"/>
      <c r="CN118" s="295"/>
    </row>
    <row r="119" spans="1:92" hidden="1" x14ac:dyDescent="0.25">
      <c r="A119" s="286" t="s">
        <v>14</v>
      </c>
      <c r="B119" s="265">
        <f>B117</f>
        <v>15</v>
      </c>
      <c r="C119" s="265">
        <v>6</v>
      </c>
      <c r="D119" s="265" t="str">
        <f t="shared" si="65"/>
        <v>COUNTDOWN_WEST_M_1_16</v>
      </c>
      <c r="E119" s="265"/>
      <c r="F119" s="34" t="s">
        <v>33</v>
      </c>
      <c r="G119" s="3" t="s">
        <v>19</v>
      </c>
      <c r="H119" s="3">
        <v>1</v>
      </c>
      <c r="I119" s="3" t="s">
        <v>14</v>
      </c>
      <c r="J119" s="32"/>
      <c r="K119" s="32"/>
      <c r="L119" s="30"/>
      <c r="M119" s="307">
        <v>14</v>
      </c>
      <c r="N119" s="308">
        <v>13</v>
      </c>
      <c r="O119" s="308">
        <v>12</v>
      </c>
      <c r="P119" s="308">
        <v>11</v>
      </c>
      <c r="Q119" s="308">
        <v>10</v>
      </c>
      <c r="R119" s="306">
        <v>9</v>
      </c>
      <c r="S119" s="306">
        <v>8</v>
      </c>
      <c r="T119" s="306">
        <v>7</v>
      </c>
      <c r="U119" s="306">
        <v>6</v>
      </c>
      <c r="V119" s="342">
        <v>5</v>
      </c>
      <c r="W119" s="344">
        <v>4</v>
      </c>
      <c r="X119" s="306">
        <v>3</v>
      </c>
      <c r="Y119" s="306">
        <v>2</v>
      </c>
      <c r="Z119" s="306">
        <v>1</v>
      </c>
      <c r="AA119" s="306">
        <v>16</v>
      </c>
      <c r="AB119" s="309">
        <v>15</v>
      </c>
      <c r="AC119" s="344">
        <v>14</v>
      </c>
      <c r="AD119" s="306">
        <v>13</v>
      </c>
      <c r="AE119" s="306">
        <v>12</v>
      </c>
      <c r="AF119" s="306">
        <v>11</v>
      </c>
      <c r="AG119" s="306">
        <v>10</v>
      </c>
      <c r="AH119" s="306">
        <v>9</v>
      </c>
      <c r="AI119" s="306">
        <v>8</v>
      </c>
      <c r="AJ119" s="306">
        <v>7</v>
      </c>
      <c r="AK119" s="284">
        <v>6</v>
      </c>
      <c r="AL119" s="293">
        <v>5</v>
      </c>
      <c r="AM119" s="290">
        <v>4</v>
      </c>
      <c r="AN119" s="284">
        <v>3</v>
      </c>
      <c r="AO119" s="284">
        <v>2</v>
      </c>
      <c r="AP119" s="284">
        <v>1</v>
      </c>
      <c r="AQ119" s="306">
        <v>16</v>
      </c>
      <c r="AR119" s="310">
        <v>15</v>
      </c>
      <c r="AS119" s="312">
        <v>14</v>
      </c>
      <c r="AT119" s="311">
        <v>13</v>
      </c>
      <c r="AU119" s="311">
        <v>12</v>
      </c>
      <c r="AV119" s="311">
        <v>11</v>
      </c>
      <c r="AW119" s="311">
        <v>10</v>
      </c>
      <c r="AX119" s="306">
        <v>9</v>
      </c>
      <c r="AY119" s="306">
        <v>8</v>
      </c>
      <c r="AZ119" s="306">
        <v>7</v>
      </c>
      <c r="BA119" s="306">
        <v>6</v>
      </c>
      <c r="BB119" s="306">
        <v>5</v>
      </c>
      <c r="BC119" s="306">
        <v>4</v>
      </c>
      <c r="BD119" s="306">
        <v>3</v>
      </c>
      <c r="BE119" s="306">
        <v>2</v>
      </c>
      <c r="BF119" s="306">
        <v>1</v>
      </c>
      <c r="BG119" s="306">
        <v>16</v>
      </c>
      <c r="BH119" s="310">
        <v>15</v>
      </c>
      <c r="BI119" s="312">
        <v>14</v>
      </c>
      <c r="BJ119" s="311">
        <v>13</v>
      </c>
      <c r="BK119" s="311">
        <v>12</v>
      </c>
      <c r="BL119" s="311">
        <v>11</v>
      </c>
      <c r="BM119" s="311">
        <v>10</v>
      </c>
      <c r="BN119" s="306">
        <v>9</v>
      </c>
      <c r="BO119" s="306">
        <v>8</v>
      </c>
      <c r="BP119" s="306">
        <v>7</v>
      </c>
      <c r="BQ119" s="306">
        <v>6</v>
      </c>
      <c r="BR119" s="306">
        <v>5</v>
      </c>
      <c r="BS119" s="306">
        <v>4</v>
      </c>
      <c r="BT119" s="306">
        <v>3</v>
      </c>
      <c r="BU119" s="306">
        <v>2</v>
      </c>
      <c r="BV119" s="306">
        <v>1</v>
      </c>
      <c r="BW119" s="306">
        <v>16</v>
      </c>
      <c r="BX119" s="310">
        <v>15</v>
      </c>
      <c r="BY119" s="307">
        <v>14</v>
      </c>
      <c r="BZ119" s="308">
        <v>13</v>
      </c>
      <c r="CA119" s="308">
        <v>12</v>
      </c>
      <c r="CB119" s="308">
        <v>11</v>
      </c>
      <c r="CC119" s="308">
        <v>10</v>
      </c>
      <c r="CD119" s="306">
        <v>9</v>
      </c>
      <c r="CE119" s="306">
        <v>8</v>
      </c>
      <c r="CF119" s="306">
        <v>7</v>
      </c>
      <c r="CG119" s="306">
        <v>6</v>
      </c>
      <c r="CH119" s="306">
        <v>5</v>
      </c>
      <c r="CI119" s="306">
        <v>4</v>
      </c>
      <c r="CJ119" s="306">
        <v>3</v>
      </c>
      <c r="CK119" s="306">
        <v>2</v>
      </c>
      <c r="CL119" s="306">
        <v>1</v>
      </c>
      <c r="CM119" s="306">
        <v>16</v>
      </c>
      <c r="CN119" s="310">
        <v>15</v>
      </c>
    </row>
  </sheetData>
  <autoFilter ref="A5:CN119">
    <filterColumn colId="5">
      <filters>
        <filter val="EMPTY"/>
      </filters>
    </filterColumn>
  </autoFilter>
  <mergeCells count="3">
    <mergeCell ref="AB2:AC2"/>
    <mergeCell ref="M3:AB3"/>
    <mergeCell ref="AC3:AR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CS126"/>
  <sheetViews>
    <sheetView zoomScale="85" zoomScaleNormal="85" workbookViewId="0">
      <selection activeCell="AT16" sqref="AT16"/>
    </sheetView>
  </sheetViews>
  <sheetFormatPr defaultRowHeight="15" x14ac:dyDescent="0.25"/>
  <cols>
    <col min="1" max="1" width="3" customWidth="1"/>
    <col min="2" max="2" width="6.85546875" bestFit="1" customWidth="1"/>
    <col min="3" max="3" width="14.28515625" customWidth="1"/>
    <col min="4" max="4" width="27.140625" bestFit="1" customWidth="1"/>
    <col min="5" max="5" width="16.85546875" bestFit="1" customWidth="1"/>
    <col min="6" max="6" width="14.85546875" bestFit="1" customWidth="1"/>
    <col min="7" max="7" width="5.140625" bestFit="1" customWidth="1"/>
    <col min="9" max="9" width="4.7109375" bestFit="1" customWidth="1"/>
    <col min="10" max="11" width="8.140625" customWidth="1"/>
    <col min="13" max="97" width="3.140625" customWidth="1"/>
  </cols>
  <sheetData>
    <row r="1" spans="2:97" ht="6" customHeight="1" x14ac:dyDescent="0.25"/>
    <row r="2" spans="2:97" ht="21" x14ac:dyDescent="0.25">
      <c r="B2" s="44" t="s">
        <v>60</v>
      </c>
      <c r="D2" s="335">
        <v>17</v>
      </c>
      <c r="E2" s="334" t="s">
        <v>65</v>
      </c>
      <c r="V2" s="359" t="s">
        <v>43</v>
      </c>
      <c r="W2" s="359"/>
      <c r="X2" s="359"/>
      <c r="Y2" s="359"/>
      <c r="AB2" s="359" t="s">
        <v>44</v>
      </c>
      <c r="AC2" s="359"/>
      <c r="AD2" s="359"/>
      <c r="AE2" s="359"/>
    </row>
    <row r="3" spans="2:97" x14ac:dyDescent="0.25">
      <c r="X3" s="162"/>
      <c r="AD3" s="164"/>
      <c r="AE3" s="2"/>
    </row>
    <row r="4" spans="2:97" ht="18.75" customHeight="1" thickBot="1" x14ac:dyDescent="0.3">
      <c r="B4" s="135" t="s">
        <v>26</v>
      </c>
      <c r="C4" s="135" t="s">
        <v>25</v>
      </c>
      <c r="D4" s="135"/>
      <c r="E4" s="135" t="s">
        <v>34</v>
      </c>
      <c r="F4" s="135" t="s">
        <v>29</v>
      </c>
      <c r="G4" s="135" t="s">
        <v>17</v>
      </c>
      <c r="H4" s="135" t="s">
        <v>1</v>
      </c>
      <c r="I4" s="135" t="s">
        <v>20</v>
      </c>
      <c r="J4" s="135" t="s">
        <v>30</v>
      </c>
      <c r="K4" s="135" t="s">
        <v>31</v>
      </c>
      <c r="L4" s="135" t="s">
        <v>27</v>
      </c>
      <c r="X4" s="163"/>
      <c r="AD4" s="151"/>
    </row>
    <row r="5" spans="2:97" ht="18.75" customHeight="1" x14ac:dyDescent="0.25">
      <c r="B5" s="136"/>
      <c r="C5" s="136"/>
      <c r="D5" s="136"/>
      <c r="E5" s="136"/>
      <c r="F5" s="136"/>
      <c r="G5" s="136"/>
      <c r="H5" s="136"/>
      <c r="I5" s="145"/>
      <c r="J5" s="136"/>
      <c r="K5" s="136">
        <v>17</v>
      </c>
      <c r="L5" s="137" t="s">
        <v>37</v>
      </c>
      <c r="M5" s="11">
        <v>17</v>
      </c>
      <c r="N5" s="12">
        <v>16</v>
      </c>
      <c r="O5" s="12">
        <v>15</v>
      </c>
      <c r="P5" s="12">
        <v>14</v>
      </c>
      <c r="Q5" s="12">
        <v>13</v>
      </c>
      <c r="R5" s="12">
        <v>12</v>
      </c>
      <c r="S5" s="12">
        <v>11</v>
      </c>
      <c r="T5" s="12">
        <v>10</v>
      </c>
      <c r="U5" s="12">
        <v>9</v>
      </c>
      <c r="V5" s="12">
        <v>8</v>
      </c>
      <c r="W5" s="112">
        <v>7</v>
      </c>
      <c r="X5" s="11">
        <v>6</v>
      </c>
      <c r="Y5" s="12">
        <v>5</v>
      </c>
      <c r="Z5" s="12">
        <v>4</v>
      </c>
      <c r="AA5" s="12">
        <v>3</v>
      </c>
      <c r="AB5" s="12">
        <v>2</v>
      </c>
      <c r="AC5" s="18">
        <v>1</v>
      </c>
      <c r="AD5" s="95">
        <v>17</v>
      </c>
      <c r="AE5" s="40">
        <v>16</v>
      </c>
      <c r="AF5" s="40">
        <v>15</v>
      </c>
      <c r="AG5" s="40">
        <v>14</v>
      </c>
      <c r="AH5" s="40">
        <v>13</v>
      </c>
      <c r="AI5" s="40">
        <v>12</v>
      </c>
      <c r="AJ5" s="40">
        <v>11</v>
      </c>
      <c r="AK5" s="40">
        <v>10</v>
      </c>
      <c r="AL5" s="40">
        <v>9</v>
      </c>
      <c r="AM5" s="40">
        <v>8</v>
      </c>
      <c r="AN5" s="40">
        <v>7</v>
      </c>
      <c r="AO5" s="40">
        <v>6</v>
      </c>
      <c r="AP5" s="40">
        <v>5</v>
      </c>
      <c r="AQ5" s="40">
        <v>4</v>
      </c>
      <c r="AR5" s="40">
        <v>3</v>
      </c>
      <c r="AS5" s="40">
        <v>2</v>
      </c>
      <c r="AT5" s="40">
        <v>1</v>
      </c>
      <c r="AU5" s="37">
        <v>17</v>
      </c>
      <c r="AV5" s="37">
        <v>16</v>
      </c>
      <c r="AW5" s="37">
        <v>15</v>
      </c>
      <c r="AX5" s="37">
        <v>14</v>
      </c>
      <c r="AY5" s="37">
        <v>13</v>
      </c>
      <c r="AZ5" s="37">
        <v>12</v>
      </c>
      <c r="BA5" s="37">
        <v>11</v>
      </c>
      <c r="BB5" s="37">
        <v>10</v>
      </c>
      <c r="BC5" s="37">
        <v>9</v>
      </c>
      <c r="BD5" s="37">
        <v>8</v>
      </c>
      <c r="BE5" s="37">
        <v>7</v>
      </c>
      <c r="BF5" s="37">
        <v>6</v>
      </c>
      <c r="BG5" s="37">
        <v>5</v>
      </c>
      <c r="BH5" s="37">
        <v>4</v>
      </c>
      <c r="BI5" s="37">
        <v>3</v>
      </c>
      <c r="BJ5" s="37">
        <v>2</v>
      </c>
      <c r="BK5" s="37">
        <v>1</v>
      </c>
      <c r="BL5" s="88">
        <v>17</v>
      </c>
      <c r="BM5" s="88">
        <v>16</v>
      </c>
      <c r="BN5" s="88">
        <v>15</v>
      </c>
      <c r="BO5" s="88">
        <v>14</v>
      </c>
      <c r="BP5" s="88">
        <v>13</v>
      </c>
      <c r="BQ5" s="88">
        <v>12</v>
      </c>
      <c r="BR5" s="88">
        <v>11</v>
      </c>
      <c r="BS5" s="88">
        <v>10</v>
      </c>
      <c r="BT5" s="88">
        <v>9</v>
      </c>
      <c r="BU5" s="88">
        <v>8</v>
      </c>
      <c r="BV5" s="88">
        <v>7</v>
      </c>
      <c r="BW5" s="88">
        <v>6</v>
      </c>
      <c r="BX5" s="88">
        <v>5</v>
      </c>
      <c r="BY5" s="88">
        <v>4</v>
      </c>
      <c r="BZ5" s="88">
        <v>3</v>
      </c>
      <c r="CA5" s="88">
        <v>2</v>
      </c>
      <c r="CB5" s="88">
        <v>1</v>
      </c>
      <c r="CC5" s="5">
        <v>17</v>
      </c>
      <c r="CD5" s="5">
        <v>16</v>
      </c>
      <c r="CE5" s="5">
        <v>15</v>
      </c>
      <c r="CF5" s="5">
        <v>14</v>
      </c>
      <c r="CG5" s="5">
        <v>13</v>
      </c>
      <c r="CH5" s="5">
        <v>12</v>
      </c>
      <c r="CI5" s="5">
        <v>11</v>
      </c>
      <c r="CJ5" s="5">
        <v>10</v>
      </c>
      <c r="CK5" s="5">
        <v>9</v>
      </c>
      <c r="CL5" s="5">
        <v>8</v>
      </c>
      <c r="CM5" s="5">
        <v>7</v>
      </c>
      <c r="CN5" s="5">
        <v>6</v>
      </c>
      <c r="CO5" s="5">
        <v>5</v>
      </c>
      <c r="CP5" s="5">
        <v>4</v>
      </c>
      <c r="CQ5" s="5">
        <v>3</v>
      </c>
      <c r="CR5" s="5">
        <v>2</v>
      </c>
      <c r="CS5" s="5">
        <v>1</v>
      </c>
    </row>
    <row r="6" spans="2:97" ht="18.75" customHeight="1" x14ac:dyDescent="0.25">
      <c r="B6" s="146">
        <v>0</v>
      </c>
      <c r="C6" s="146">
        <v>0</v>
      </c>
      <c r="D6" s="146"/>
      <c r="E6" s="146"/>
      <c r="F6" s="147" t="s">
        <v>23</v>
      </c>
      <c r="G6" s="146"/>
      <c r="H6" s="149"/>
      <c r="I6" s="148"/>
      <c r="J6" s="149"/>
      <c r="K6" s="150"/>
      <c r="L6" s="150"/>
      <c r="M6" s="9">
        <v>11</v>
      </c>
      <c r="N6" s="4">
        <v>10</v>
      </c>
      <c r="O6" s="4">
        <v>9</v>
      </c>
      <c r="P6" s="4">
        <v>8</v>
      </c>
      <c r="Q6" s="4">
        <v>7</v>
      </c>
      <c r="R6" s="4">
        <v>6</v>
      </c>
      <c r="S6" s="4">
        <v>5</v>
      </c>
      <c r="T6" s="4">
        <v>4</v>
      </c>
      <c r="U6" s="4">
        <v>3</v>
      </c>
      <c r="V6" s="4">
        <v>2</v>
      </c>
      <c r="W6" s="98">
        <v>1</v>
      </c>
      <c r="X6" s="70">
        <v>17</v>
      </c>
      <c r="Y6" s="68">
        <v>16</v>
      </c>
      <c r="Z6" s="40">
        <v>15</v>
      </c>
      <c r="AA6" s="40">
        <v>14</v>
      </c>
      <c r="AB6" s="40">
        <v>13</v>
      </c>
      <c r="AC6" s="41">
        <v>12</v>
      </c>
      <c r="AD6" s="95">
        <v>11</v>
      </c>
      <c r="AE6" s="40">
        <v>10</v>
      </c>
      <c r="AF6" s="40">
        <v>9</v>
      </c>
      <c r="AG6" s="40">
        <v>8</v>
      </c>
      <c r="AH6" s="40">
        <v>7</v>
      </c>
      <c r="AI6" s="40">
        <v>6</v>
      </c>
      <c r="AJ6" s="40">
        <v>5</v>
      </c>
      <c r="AK6" s="40">
        <v>4</v>
      </c>
      <c r="AL6" s="40">
        <v>3</v>
      </c>
      <c r="AM6" s="40">
        <v>2</v>
      </c>
      <c r="AN6" s="40">
        <v>1</v>
      </c>
      <c r="AO6" s="37">
        <v>17</v>
      </c>
      <c r="AP6" s="37">
        <v>16</v>
      </c>
      <c r="AQ6" s="37">
        <v>15</v>
      </c>
      <c r="AR6" s="37">
        <v>14</v>
      </c>
      <c r="AS6" s="37">
        <v>13</v>
      </c>
      <c r="AT6" s="37">
        <v>12</v>
      </c>
      <c r="AU6" s="37">
        <v>11</v>
      </c>
      <c r="AV6" s="37">
        <v>10</v>
      </c>
      <c r="AW6" s="37">
        <v>9</v>
      </c>
      <c r="AX6" s="37">
        <v>8</v>
      </c>
      <c r="AY6" s="37">
        <v>7</v>
      </c>
      <c r="AZ6" s="37">
        <v>6</v>
      </c>
      <c r="BA6" s="37">
        <v>5</v>
      </c>
      <c r="BB6" s="37">
        <v>4</v>
      </c>
      <c r="BC6" s="37">
        <v>3</v>
      </c>
      <c r="BD6" s="37">
        <v>2</v>
      </c>
      <c r="BE6" s="37">
        <v>1</v>
      </c>
      <c r="BF6" s="88">
        <v>17</v>
      </c>
      <c r="BG6" s="88">
        <v>16</v>
      </c>
      <c r="BH6" s="88">
        <v>15</v>
      </c>
      <c r="BI6" s="88">
        <v>14</v>
      </c>
      <c r="BJ6" s="88">
        <v>13</v>
      </c>
      <c r="BK6" s="88">
        <v>12</v>
      </c>
      <c r="BL6" s="88">
        <v>11</v>
      </c>
      <c r="BM6" s="88">
        <v>10</v>
      </c>
      <c r="BN6" s="88">
        <v>9</v>
      </c>
      <c r="BO6" s="88">
        <v>8</v>
      </c>
      <c r="BP6" s="88">
        <v>7</v>
      </c>
      <c r="BQ6" s="88">
        <v>6</v>
      </c>
      <c r="BR6" s="88">
        <v>5</v>
      </c>
      <c r="BS6" s="88">
        <v>4</v>
      </c>
      <c r="BT6" s="88">
        <v>3</v>
      </c>
      <c r="BU6" s="88">
        <v>2</v>
      </c>
      <c r="BV6" s="88">
        <v>1</v>
      </c>
      <c r="BW6" s="5">
        <v>17</v>
      </c>
      <c r="BX6" s="5">
        <v>16</v>
      </c>
      <c r="BY6" s="5">
        <v>15</v>
      </c>
      <c r="BZ6" s="5">
        <v>14</v>
      </c>
      <c r="CA6" s="5">
        <v>13</v>
      </c>
      <c r="CB6" s="5">
        <v>12</v>
      </c>
      <c r="CC6" s="5">
        <v>11</v>
      </c>
      <c r="CD6" s="5">
        <v>10</v>
      </c>
      <c r="CE6" s="5">
        <v>9</v>
      </c>
      <c r="CF6" s="5">
        <v>8</v>
      </c>
      <c r="CG6" s="5">
        <v>7</v>
      </c>
      <c r="CH6" s="5">
        <v>6</v>
      </c>
      <c r="CI6" s="5">
        <v>5</v>
      </c>
      <c r="CJ6" s="5">
        <v>4</v>
      </c>
      <c r="CK6" s="5">
        <v>3</v>
      </c>
      <c r="CL6" s="5">
        <v>2</v>
      </c>
      <c r="CM6" s="5">
        <v>1</v>
      </c>
      <c r="CN6" s="5">
        <v>17</v>
      </c>
      <c r="CO6" s="5">
        <v>16</v>
      </c>
      <c r="CP6" s="5">
        <v>15</v>
      </c>
      <c r="CQ6" s="5">
        <v>14</v>
      </c>
      <c r="CR6" s="5">
        <v>13</v>
      </c>
      <c r="CS6" s="5">
        <v>12</v>
      </c>
    </row>
    <row r="7" spans="2:97" ht="15" hidden="1" customHeight="1" x14ac:dyDescent="0.25">
      <c r="B7" s="139">
        <v>1</v>
      </c>
      <c r="C7" s="139">
        <v>1</v>
      </c>
      <c r="D7" s="139" t="str">
        <f t="shared" ref="D7:D76" si="0">F7&amp;"_"&amp;G7&amp;"_"&amp;H7&amp;"_"&amp;I7&amp;"_"&amp;$D$2</f>
        <v>SORTING_EAST_UNP_1_17</v>
      </c>
      <c r="E7" s="139" t="s">
        <v>35</v>
      </c>
      <c r="F7" s="138" t="s">
        <v>45</v>
      </c>
      <c r="G7" s="140" t="s">
        <v>18</v>
      </c>
      <c r="H7" s="140" t="s">
        <v>42</v>
      </c>
      <c r="I7" s="140">
        <v>1</v>
      </c>
      <c r="J7" s="139"/>
      <c r="K7" s="184">
        <f>COUNT(X7:AT7)</f>
        <v>0</v>
      </c>
      <c r="L7" s="141"/>
      <c r="M7" s="42"/>
      <c r="N7" s="46"/>
      <c r="O7" s="46"/>
      <c r="P7" s="46"/>
      <c r="Q7" s="46"/>
      <c r="R7" s="46"/>
      <c r="S7" s="46"/>
      <c r="T7" s="46"/>
      <c r="U7" s="46"/>
      <c r="V7" s="46"/>
      <c r="W7" s="190"/>
      <c r="X7" s="160"/>
      <c r="Y7" s="3"/>
      <c r="Z7" s="3"/>
      <c r="AA7" s="3"/>
      <c r="AB7" s="3"/>
      <c r="AC7" s="31"/>
      <c r="AD7" s="86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2:97" ht="15" hidden="1" customHeight="1" x14ac:dyDescent="0.25">
      <c r="B8" s="139">
        <v>1</v>
      </c>
      <c r="C8" s="139">
        <v>2</v>
      </c>
      <c r="D8" s="139" t="str">
        <f t="shared" si="0"/>
        <v>TRANSFER_EAST_UNP_1_17</v>
      </c>
      <c r="E8" s="139" t="s">
        <v>21</v>
      </c>
      <c r="F8" s="138" t="s">
        <v>21</v>
      </c>
      <c r="G8" s="140" t="s">
        <v>18</v>
      </c>
      <c r="H8" s="140" t="s">
        <v>42</v>
      </c>
      <c r="I8" s="140">
        <v>1</v>
      </c>
      <c r="J8" s="139"/>
      <c r="K8" s="184">
        <f>COUNT(X8:AT8)</f>
        <v>1</v>
      </c>
      <c r="L8" s="141"/>
      <c r="M8" s="42"/>
      <c r="N8" s="46"/>
      <c r="O8" s="46"/>
      <c r="P8" s="46"/>
      <c r="Q8" s="46"/>
      <c r="R8" s="46"/>
      <c r="S8" s="46"/>
      <c r="T8" s="46"/>
      <c r="U8" s="46"/>
      <c r="V8" s="46"/>
      <c r="W8" s="190"/>
      <c r="X8" s="8">
        <v>1</v>
      </c>
      <c r="Y8" s="152"/>
      <c r="Z8" s="3"/>
      <c r="AA8" s="3"/>
      <c r="AB8" s="3"/>
      <c r="AC8" s="31"/>
      <c r="AD8" s="86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2:97" ht="15" customHeight="1" x14ac:dyDescent="0.25">
      <c r="B9" s="139">
        <v>1</v>
      </c>
      <c r="C9" s="139">
        <v>3</v>
      </c>
      <c r="D9" s="139" t="str">
        <f t="shared" si="0"/>
        <v>PREPARE_EAST_UNP_1_17</v>
      </c>
      <c r="E9" s="139" t="s">
        <v>0</v>
      </c>
      <c r="F9" s="138" t="s">
        <v>46</v>
      </c>
      <c r="G9" s="140" t="s">
        <v>18</v>
      </c>
      <c r="H9" s="140" t="s">
        <v>42</v>
      </c>
      <c r="I9" s="140">
        <v>1</v>
      </c>
      <c r="J9" s="139"/>
      <c r="K9" s="184">
        <f>COUNT(M9:AT9)</f>
        <v>15</v>
      </c>
      <c r="L9" s="141"/>
      <c r="M9" s="82">
        <v>1</v>
      </c>
      <c r="N9" s="5">
        <f>M9+1</f>
        <v>2</v>
      </c>
      <c r="O9" s="5">
        <f t="shared" ref="O9:AA9" si="1">N9+1</f>
        <v>3</v>
      </c>
      <c r="P9" s="5">
        <f t="shared" si="1"/>
        <v>4</v>
      </c>
      <c r="Q9" s="5">
        <f t="shared" si="1"/>
        <v>5</v>
      </c>
      <c r="R9" s="5">
        <f t="shared" si="1"/>
        <v>6</v>
      </c>
      <c r="S9" s="5">
        <f t="shared" si="1"/>
        <v>7</v>
      </c>
      <c r="T9" s="5">
        <f t="shared" si="1"/>
        <v>8</v>
      </c>
      <c r="U9" s="5">
        <f t="shared" si="1"/>
        <v>9</v>
      </c>
      <c r="V9" s="5">
        <f t="shared" si="1"/>
        <v>10</v>
      </c>
      <c r="W9" s="178">
        <f t="shared" si="1"/>
        <v>11</v>
      </c>
      <c r="X9" s="82">
        <f t="shared" si="1"/>
        <v>12</v>
      </c>
      <c r="Y9" s="5">
        <f t="shared" si="1"/>
        <v>13</v>
      </c>
      <c r="Z9" s="5">
        <f t="shared" si="1"/>
        <v>14</v>
      </c>
      <c r="AA9" s="5">
        <f t="shared" si="1"/>
        <v>15</v>
      </c>
      <c r="AB9" s="152"/>
      <c r="AC9" s="348"/>
      <c r="AD9" s="86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2:97" ht="15" customHeight="1" x14ac:dyDescent="0.25">
      <c r="B10" s="139">
        <v>1</v>
      </c>
      <c r="C10" s="139">
        <v>4</v>
      </c>
      <c r="D10" s="139" t="str">
        <f t="shared" si="0"/>
        <v>SUPPLY_EAST_UNP_1_17</v>
      </c>
      <c r="E10" s="139" t="s">
        <v>0</v>
      </c>
      <c r="F10" s="142" t="s">
        <v>0</v>
      </c>
      <c r="G10" s="140" t="s">
        <v>18</v>
      </c>
      <c r="H10" s="140" t="s">
        <v>42</v>
      </c>
      <c r="I10" s="140">
        <v>1</v>
      </c>
      <c r="J10" s="141"/>
      <c r="K10" s="184">
        <f>COUNT(AD10:BK10)</f>
        <v>0</v>
      </c>
      <c r="L10" s="141"/>
      <c r="M10" s="42"/>
      <c r="N10" s="46"/>
      <c r="O10" s="46"/>
      <c r="P10" s="46"/>
      <c r="Q10" s="46"/>
      <c r="R10" s="46"/>
      <c r="S10" s="46"/>
      <c r="T10" s="46"/>
      <c r="U10" s="46"/>
      <c r="V10" s="46"/>
      <c r="W10" s="190"/>
      <c r="X10" s="247"/>
      <c r="Y10" s="248"/>
      <c r="Z10" s="46"/>
      <c r="AA10" s="46"/>
      <c r="AB10" s="46"/>
      <c r="AC10" s="57"/>
      <c r="AD10" s="153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2:97" ht="15" customHeight="1" x14ac:dyDescent="0.25">
      <c r="B11" s="139">
        <v>1</v>
      </c>
      <c r="C11" s="140">
        <v>5</v>
      </c>
      <c r="D11" s="139" t="str">
        <f t="shared" si="0"/>
        <v>EMPTY_EAST_UNP_1_17</v>
      </c>
      <c r="E11" s="140" t="s">
        <v>0</v>
      </c>
      <c r="F11" s="142" t="s">
        <v>32</v>
      </c>
      <c r="G11" s="140" t="s">
        <v>18</v>
      </c>
      <c r="H11" s="140" t="s">
        <v>42</v>
      </c>
      <c r="I11" s="140">
        <v>1</v>
      </c>
      <c r="J11" s="143"/>
      <c r="K11" s="184">
        <f>COUNT(AD11:BG11)</f>
        <v>13</v>
      </c>
      <c r="L11" s="143"/>
      <c r="M11" s="42"/>
      <c r="N11" s="46"/>
      <c r="O11" s="46"/>
      <c r="P11" s="46"/>
      <c r="Q11" s="46"/>
      <c r="R11" s="46"/>
      <c r="S11" s="46"/>
      <c r="T11" s="46"/>
      <c r="U11" s="46"/>
      <c r="V11" s="46"/>
      <c r="W11" s="190"/>
      <c r="X11" s="42"/>
      <c r="Y11" s="46"/>
      <c r="Z11" s="46"/>
      <c r="AA11" s="46"/>
      <c r="AB11" s="46"/>
      <c r="AC11" s="57"/>
      <c r="AD11" s="179">
        <v>1</v>
      </c>
      <c r="AE11" s="5">
        <f>AD11+1</f>
        <v>2</v>
      </c>
      <c r="AF11" s="5">
        <f t="shared" ref="AF11:AP11" si="2">AE11+1</f>
        <v>3</v>
      </c>
      <c r="AG11" s="5">
        <f t="shared" si="2"/>
        <v>4</v>
      </c>
      <c r="AH11" s="5">
        <f t="shared" si="2"/>
        <v>5</v>
      </c>
      <c r="AI11" s="5">
        <f t="shared" si="2"/>
        <v>6</v>
      </c>
      <c r="AJ11" s="5">
        <f t="shared" si="2"/>
        <v>7</v>
      </c>
      <c r="AK11" s="5">
        <f t="shared" si="2"/>
        <v>8</v>
      </c>
      <c r="AL11" s="5">
        <f t="shared" si="2"/>
        <v>9</v>
      </c>
      <c r="AM11" s="5">
        <f t="shared" si="2"/>
        <v>10</v>
      </c>
      <c r="AN11" s="5">
        <f t="shared" si="2"/>
        <v>11</v>
      </c>
      <c r="AO11" s="5">
        <f t="shared" si="2"/>
        <v>12</v>
      </c>
      <c r="AP11" s="5">
        <f t="shared" si="2"/>
        <v>13</v>
      </c>
      <c r="AQ11" s="46"/>
      <c r="AR11" s="152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2:97" ht="15" hidden="1" customHeight="1" x14ac:dyDescent="0.25">
      <c r="B12" s="139">
        <v>1</v>
      </c>
      <c r="C12" s="140">
        <v>6</v>
      </c>
      <c r="D12" s="139" t="str">
        <f t="shared" si="0"/>
        <v>COUNTDOWN_EAST_UNP_1_17</v>
      </c>
      <c r="E12" s="140"/>
      <c r="F12" s="142" t="s">
        <v>33</v>
      </c>
      <c r="G12" s="140" t="s">
        <v>18</v>
      </c>
      <c r="H12" s="140" t="s">
        <v>42</v>
      </c>
      <c r="I12" s="140">
        <v>1</v>
      </c>
      <c r="J12" s="144"/>
      <c r="K12" s="144"/>
      <c r="L12" s="143"/>
      <c r="M12" s="82"/>
      <c r="N12" s="5"/>
      <c r="O12" s="5"/>
      <c r="P12" s="5"/>
      <c r="Q12" s="5"/>
      <c r="R12" s="5"/>
      <c r="S12" s="5"/>
      <c r="T12" s="5"/>
      <c r="U12" s="5"/>
      <c r="V12" s="5"/>
      <c r="W12" s="158"/>
      <c r="X12" s="161"/>
      <c r="Y12" s="67"/>
      <c r="Z12" s="46"/>
      <c r="AA12" s="46"/>
      <c r="AB12" s="56"/>
      <c r="AC12" s="59"/>
      <c r="AD12" s="153"/>
      <c r="AE12" s="152"/>
      <c r="AF12" s="152"/>
      <c r="AG12" s="152"/>
      <c r="AH12" s="152"/>
      <c r="AI12" s="152"/>
      <c r="AJ12" s="152"/>
      <c r="AK12" s="152"/>
      <c r="AL12" s="152"/>
      <c r="AM12" s="152"/>
      <c r="AN12" s="152"/>
      <c r="AO12" s="152"/>
      <c r="AP12" s="152"/>
      <c r="AQ12" s="40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2:97" ht="15" hidden="1" customHeight="1" x14ac:dyDescent="0.25">
      <c r="B13" s="139">
        <v>2</v>
      </c>
      <c r="C13" s="139">
        <v>1</v>
      </c>
      <c r="D13" s="139" t="str">
        <f t="shared" si="0"/>
        <v>SORTING_EAST_A_2_17</v>
      </c>
      <c r="E13" s="139" t="s">
        <v>35</v>
      </c>
      <c r="F13" s="138" t="s">
        <v>45</v>
      </c>
      <c r="G13" s="140" t="s">
        <v>18</v>
      </c>
      <c r="H13" s="140" t="s">
        <v>2</v>
      </c>
      <c r="I13" s="140">
        <v>2</v>
      </c>
      <c r="J13" s="139"/>
      <c r="K13" s="184">
        <f>COUNT(X13:AT13)</f>
        <v>1</v>
      </c>
      <c r="L13" s="141"/>
      <c r="M13" s="42"/>
      <c r="N13" s="46"/>
      <c r="O13" s="46"/>
      <c r="P13" s="46"/>
      <c r="Q13" s="46"/>
      <c r="R13" s="46"/>
      <c r="S13" s="46"/>
      <c r="T13" s="46"/>
      <c r="U13" s="46"/>
      <c r="V13" s="46"/>
      <c r="W13" s="190"/>
      <c r="X13" s="82">
        <v>1</v>
      </c>
      <c r="Y13" s="152"/>
      <c r="Z13" s="3"/>
      <c r="AA13" s="3"/>
      <c r="AB13" s="3"/>
      <c r="AC13" s="31"/>
      <c r="AD13" s="86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2:97" ht="15" hidden="1" customHeight="1" x14ac:dyDescent="0.25">
      <c r="B14" s="139">
        <v>2</v>
      </c>
      <c r="C14" s="139">
        <v>2</v>
      </c>
      <c r="D14" s="139" t="str">
        <f t="shared" si="0"/>
        <v>TRANSFER_EAST_A_2_17</v>
      </c>
      <c r="E14" s="139" t="s">
        <v>21</v>
      </c>
      <c r="F14" s="138" t="s">
        <v>21</v>
      </c>
      <c r="G14" s="140" t="s">
        <v>18</v>
      </c>
      <c r="H14" s="140" t="s">
        <v>2</v>
      </c>
      <c r="I14" s="140">
        <v>2</v>
      </c>
      <c r="J14" s="139"/>
      <c r="K14" s="184">
        <f>COUNT(X14:AT14)</f>
        <v>2</v>
      </c>
      <c r="L14" s="141"/>
      <c r="M14" s="42"/>
      <c r="N14" s="46"/>
      <c r="O14" s="46"/>
      <c r="P14" s="46"/>
      <c r="Q14" s="46"/>
      <c r="R14" s="46"/>
      <c r="S14" s="46"/>
      <c r="T14" s="46"/>
      <c r="U14" s="46"/>
      <c r="V14" s="46"/>
      <c r="W14" s="249"/>
      <c r="X14" s="8">
        <v>1</v>
      </c>
      <c r="Y14" s="3">
        <f t="shared" ref="Y14" si="3">X14+1</f>
        <v>2</v>
      </c>
      <c r="Z14" s="152"/>
      <c r="AA14" s="3"/>
      <c r="AB14" s="3"/>
      <c r="AC14" s="31"/>
      <c r="AD14" s="86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2:97" ht="15" customHeight="1" x14ac:dyDescent="0.25">
      <c r="B15" s="139">
        <v>2</v>
      </c>
      <c r="C15" s="139">
        <v>3</v>
      </c>
      <c r="D15" s="139" t="str">
        <f t="shared" si="0"/>
        <v>PREPARE_EAST_A_2_17</v>
      </c>
      <c r="E15" s="139" t="s">
        <v>0</v>
      </c>
      <c r="F15" s="138" t="s">
        <v>46</v>
      </c>
      <c r="G15" s="140" t="s">
        <v>18</v>
      </c>
      <c r="H15" s="140" t="s">
        <v>2</v>
      </c>
      <c r="I15" s="140">
        <v>2</v>
      </c>
      <c r="J15" s="139"/>
      <c r="K15" s="184">
        <f>COUNT(M15:AT15)</f>
        <v>16</v>
      </c>
      <c r="L15" s="141"/>
      <c r="M15" s="82">
        <v>1</v>
      </c>
      <c r="N15" s="5">
        <f t="shared" ref="N15:AB15" si="4">M15+1</f>
        <v>2</v>
      </c>
      <c r="O15" s="5">
        <f t="shared" si="4"/>
        <v>3</v>
      </c>
      <c r="P15" s="5">
        <f t="shared" si="4"/>
        <v>4</v>
      </c>
      <c r="Q15" s="5">
        <f t="shared" si="4"/>
        <v>5</v>
      </c>
      <c r="R15" s="5">
        <f t="shared" si="4"/>
        <v>6</v>
      </c>
      <c r="S15" s="5">
        <f t="shared" si="4"/>
        <v>7</v>
      </c>
      <c r="T15" s="5">
        <f t="shared" si="4"/>
        <v>8</v>
      </c>
      <c r="U15" s="5">
        <f t="shared" si="4"/>
        <v>9</v>
      </c>
      <c r="V15" s="5">
        <f t="shared" si="4"/>
        <v>10</v>
      </c>
      <c r="W15" s="178">
        <f t="shared" si="4"/>
        <v>11</v>
      </c>
      <c r="X15" s="82">
        <f t="shared" si="4"/>
        <v>12</v>
      </c>
      <c r="Y15" s="5">
        <f t="shared" si="4"/>
        <v>13</v>
      </c>
      <c r="Z15" s="5">
        <f t="shared" si="4"/>
        <v>14</v>
      </c>
      <c r="AA15" s="5">
        <f t="shared" si="4"/>
        <v>15</v>
      </c>
      <c r="AB15" s="5">
        <f t="shared" si="4"/>
        <v>16</v>
      </c>
      <c r="AC15" s="348"/>
      <c r="AD15" s="15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5"/>
      <c r="AU15" s="5"/>
      <c r="AV15" s="5"/>
      <c r="AW15" s="5"/>
      <c r="AX15" s="5"/>
      <c r="AY15" s="5"/>
      <c r="AZ15" s="5"/>
      <c r="BA15" s="5"/>
      <c r="BB15" s="5"/>
      <c r="BC15" s="158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2:97" ht="15" customHeight="1" x14ac:dyDescent="0.25">
      <c r="B16" s="139">
        <v>2</v>
      </c>
      <c r="C16" s="139">
        <v>4</v>
      </c>
      <c r="D16" s="139" t="str">
        <f t="shared" si="0"/>
        <v>SUPPLY_EAST_A_2_17</v>
      </c>
      <c r="E16" s="139" t="s">
        <v>0</v>
      </c>
      <c r="F16" s="142" t="s">
        <v>0</v>
      </c>
      <c r="G16" s="140" t="s">
        <v>18</v>
      </c>
      <c r="H16" s="140" t="s">
        <v>2</v>
      </c>
      <c r="I16" s="140">
        <v>2</v>
      </c>
      <c r="J16" s="141"/>
      <c r="K16" s="184">
        <f>COUNT(AD16:BK16)</f>
        <v>1</v>
      </c>
      <c r="L16" s="141"/>
      <c r="M16" s="42"/>
      <c r="N16" s="46"/>
      <c r="O16" s="46"/>
      <c r="P16" s="46"/>
      <c r="Q16" s="46"/>
      <c r="R16" s="46"/>
      <c r="S16" s="46"/>
      <c r="T16" s="46"/>
      <c r="U16" s="46"/>
      <c r="V16" s="46"/>
      <c r="W16" s="190"/>
      <c r="X16" s="247"/>
      <c r="Y16" s="248"/>
      <c r="Z16" s="46"/>
      <c r="AA16" s="46"/>
      <c r="AB16" s="46"/>
      <c r="AC16" s="57"/>
      <c r="AD16" s="179">
        <v>1</v>
      </c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5" customHeight="1" x14ac:dyDescent="0.25">
      <c r="B17" s="139">
        <v>2</v>
      </c>
      <c r="C17" s="140">
        <v>5</v>
      </c>
      <c r="D17" s="139" t="str">
        <f t="shared" si="0"/>
        <v>EMPTY_EAST_A_2_17</v>
      </c>
      <c r="E17" s="140" t="s">
        <v>0</v>
      </c>
      <c r="F17" s="142" t="s">
        <v>32</v>
      </c>
      <c r="G17" s="140" t="s">
        <v>18</v>
      </c>
      <c r="H17" s="140" t="s">
        <v>2</v>
      </c>
      <c r="I17" s="140">
        <v>2</v>
      </c>
      <c r="J17" s="143"/>
      <c r="K17" s="184">
        <f>COUNT(AD17:BG17)</f>
        <v>14</v>
      </c>
      <c r="L17" s="143"/>
      <c r="M17" s="42"/>
      <c r="N17" s="46"/>
      <c r="O17" s="46"/>
      <c r="P17" s="46"/>
      <c r="Q17" s="46"/>
      <c r="R17" s="46"/>
      <c r="S17" s="46"/>
      <c r="T17" s="46"/>
      <c r="U17" s="46"/>
      <c r="V17" s="46"/>
      <c r="W17" s="190"/>
      <c r="X17" s="42"/>
      <c r="Y17" s="46"/>
      <c r="Z17" s="46"/>
      <c r="AA17" s="46"/>
      <c r="AB17" s="46"/>
      <c r="AC17" s="57"/>
      <c r="AD17" s="179">
        <v>1</v>
      </c>
      <c r="AE17" s="5">
        <f t="shared" ref="AE17:AQ17" si="5">AD17+1</f>
        <v>2</v>
      </c>
      <c r="AF17" s="5">
        <f t="shared" si="5"/>
        <v>3</v>
      </c>
      <c r="AG17" s="5">
        <f t="shared" si="5"/>
        <v>4</v>
      </c>
      <c r="AH17" s="5">
        <f t="shared" si="5"/>
        <v>5</v>
      </c>
      <c r="AI17" s="5">
        <f t="shared" si="5"/>
        <v>6</v>
      </c>
      <c r="AJ17" s="5">
        <f t="shared" si="5"/>
        <v>7</v>
      </c>
      <c r="AK17" s="5">
        <f t="shared" si="5"/>
        <v>8</v>
      </c>
      <c r="AL17" s="5">
        <f t="shared" si="5"/>
        <v>9</v>
      </c>
      <c r="AM17" s="5">
        <f t="shared" si="5"/>
        <v>10</v>
      </c>
      <c r="AN17" s="5">
        <f t="shared" si="5"/>
        <v>11</v>
      </c>
      <c r="AO17" s="5">
        <f t="shared" si="5"/>
        <v>12</v>
      </c>
      <c r="AP17" s="5">
        <f t="shared" si="5"/>
        <v>13</v>
      </c>
      <c r="AQ17" s="5">
        <f t="shared" si="5"/>
        <v>14</v>
      </c>
      <c r="AR17" s="46"/>
      <c r="AS17" s="152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5" hidden="1" customHeight="1" x14ac:dyDescent="0.25">
      <c r="B18" s="139">
        <v>2</v>
      </c>
      <c r="C18" s="140">
        <v>6</v>
      </c>
      <c r="D18" s="139" t="str">
        <f t="shared" si="0"/>
        <v>COUNTDOWN_EAST_A_2_17</v>
      </c>
      <c r="E18" s="140"/>
      <c r="F18" s="142" t="s">
        <v>33</v>
      </c>
      <c r="G18" s="140" t="s">
        <v>18</v>
      </c>
      <c r="H18" s="140" t="s">
        <v>2</v>
      </c>
      <c r="I18" s="140">
        <v>2</v>
      </c>
      <c r="J18" s="144"/>
      <c r="K18" s="144"/>
      <c r="L18" s="143"/>
      <c r="M18" s="82"/>
      <c r="N18" s="5"/>
      <c r="O18" s="5"/>
      <c r="P18" s="5"/>
      <c r="Q18" s="5"/>
      <c r="R18" s="5"/>
      <c r="S18" s="5"/>
      <c r="T18" s="5"/>
      <c r="U18" s="5"/>
      <c r="V18" s="5"/>
      <c r="W18" s="158"/>
      <c r="X18" s="108"/>
      <c r="Y18" s="67"/>
      <c r="Z18" s="67"/>
      <c r="AA18" s="46"/>
      <c r="AB18" s="46"/>
      <c r="AC18" s="59"/>
      <c r="AD18" s="134"/>
      <c r="AE18" s="152"/>
      <c r="AF18" s="152"/>
      <c r="AG18" s="152"/>
      <c r="AH18" s="152"/>
      <c r="AI18" s="152"/>
      <c r="AJ18" s="152"/>
      <c r="AK18" s="152"/>
      <c r="AL18" s="152"/>
      <c r="AM18" s="152"/>
      <c r="AN18" s="152"/>
      <c r="AO18" s="152"/>
      <c r="AP18" s="152"/>
      <c r="AQ18" s="152"/>
      <c r="AR18" s="40"/>
      <c r="AS18" s="40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5" hidden="1" customHeight="1" x14ac:dyDescent="0.25">
      <c r="B19" s="139"/>
      <c r="C19" s="139">
        <v>1</v>
      </c>
      <c r="D19" s="139" t="str">
        <f t="shared" ref="D19:D24" si="6">F19&amp;"_"&amp;G19&amp;"_"&amp;H19&amp;"_"&amp;I19&amp;"_"&amp;$D$2</f>
        <v>SORTING_EAST_C/U_1_17</v>
      </c>
      <c r="E19" s="139" t="s">
        <v>35</v>
      </c>
      <c r="F19" s="138" t="s">
        <v>45</v>
      </c>
      <c r="G19" s="140" t="s">
        <v>18</v>
      </c>
      <c r="H19" s="140" t="s">
        <v>67</v>
      </c>
      <c r="I19" s="140">
        <v>1</v>
      </c>
      <c r="J19" s="139"/>
      <c r="K19" s="184">
        <f>COUNT(X19:AT19)</f>
        <v>2</v>
      </c>
      <c r="L19" s="143"/>
      <c r="M19" s="42"/>
      <c r="N19" s="46"/>
      <c r="O19" s="46"/>
      <c r="P19" s="46"/>
      <c r="Q19" s="46"/>
      <c r="R19" s="46"/>
      <c r="S19" s="46"/>
      <c r="T19" s="46"/>
      <c r="U19" s="46"/>
      <c r="V19" s="46"/>
      <c r="W19" s="190"/>
      <c r="X19" s="82">
        <v>1</v>
      </c>
      <c r="Y19" s="3">
        <f t="shared" ref="Y19" si="7">X19+1</f>
        <v>2</v>
      </c>
      <c r="Z19" s="152"/>
      <c r="AA19" s="3"/>
      <c r="AB19" s="3"/>
      <c r="AC19" s="31"/>
      <c r="AD19" s="86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5" hidden="1" customHeight="1" x14ac:dyDescent="0.25">
      <c r="B20" s="139"/>
      <c r="C20" s="139">
        <v>2</v>
      </c>
      <c r="D20" s="139" t="str">
        <f t="shared" si="6"/>
        <v>TRANSFER_EAST_C/U_1_17</v>
      </c>
      <c r="E20" s="139" t="s">
        <v>21</v>
      </c>
      <c r="F20" s="138" t="s">
        <v>21</v>
      </c>
      <c r="G20" s="140" t="s">
        <v>18</v>
      </c>
      <c r="H20" s="140" t="s">
        <v>67</v>
      </c>
      <c r="I20" s="140">
        <v>1</v>
      </c>
      <c r="J20" s="139"/>
      <c r="K20" s="184">
        <f>COUNT(X20:AT20)</f>
        <v>3</v>
      </c>
      <c r="L20" s="143"/>
      <c r="M20" s="42"/>
      <c r="N20" s="46"/>
      <c r="O20" s="46"/>
      <c r="P20" s="46"/>
      <c r="Q20" s="46"/>
      <c r="R20" s="46"/>
      <c r="S20" s="46"/>
      <c r="T20" s="46"/>
      <c r="U20" s="46"/>
      <c r="V20" s="46"/>
      <c r="W20" s="249"/>
      <c r="X20" s="8">
        <v>1</v>
      </c>
      <c r="Y20" s="3">
        <f t="shared" ref="Y20:Y21" si="8">X20+1</f>
        <v>2</v>
      </c>
      <c r="Z20" s="3">
        <f t="shared" ref="Z20:Z21" si="9">Y20+1</f>
        <v>3</v>
      </c>
      <c r="AA20" s="152"/>
      <c r="AB20" s="152"/>
      <c r="AC20" s="31"/>
      <c r="AD20" s="86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5" customHeight="1" x14ac:dyDescent="0.25">
      <c r="B21" s="139"/>
      <c r="C21" s="139">
        <v>3</v>
      </c>
      <c r="D21" s="139" t="str">
        <f t="shared" si="6"/>
        <v>PREPARE_EAST_C/U_1_17</v>
      </c>
      <c r="E21" s="139" t="s">
        <v>0</v>
      </c>
      <c r="F21" s="138" t="s">
        <v>46</v>
      </c>
      <c r="G21" s="140" t="s">
        <v>18</v>
      </c>
      <c r="H21" s="140" t="s">
        <v>67</v>
      </c>
      <c r="I21" s="140">
        <v>1</v>
      </c>
      <c r="J21" s="139"/>
      <c r="K21" s="184">
        <f>COUNT(M21:AT21)</f>
        <v>16</v>
      </c>
      <c r="L21" s="143"/>
      <c r="M21" s="82">
        <v>1</v>
      </c>
      <c r="N21" s="5">
        <f t="shared" ref="N21" si="10">M21+1</f>
        <v>2</v>
      </c>
      <c r="O21" s="5">
        <f t="shared" ref="O21" si="11">N21+1</f>
        <v>3</v>
      </c>
      <c r="P21" s="5">
        <f t="shared" ref="P21" si="12">O21+1</f>
        <v>4</v>
      </c>
      <c r="Q21" s="5">
        <f t="shared" ref="Q21" si="13">P21+1</f>
        <v>5</v>
      </c>
      <c r="R21" s="5">
        <f t="shared" ref="R21" si="14">Q21+1</f>
        <v>6</v>
      </c>
      <c r="S21" s="5">
        <f t="shared" ref="S21" si="15">R21+1</f>
        <v>7</v>
      </c>
      <c r="T21" s="5">
        <f t="shared" ref="T21" si="16">S21+1</f>
        <v>8</v>
      </c>
      <c r="U21" s="5">
        <f t="shared" ref="U21" si="17">T21+1</f>
        <v>9</v>
      </c>
      <c r="V21" s="5">
        <f t="shared" ref="V21" si="18">U21+1</f>
        <v>10</v>
      </c>
      <c r="W21" s="178">
        <f t="shared" ref="W21" si="19">V21+1</f>
        <v>11</v>
      </c>
      <c r="X21" s="82">
        <f t="shared" ref="X21" si="20">W21+1</f>
        <v>12</v>
      </c>
      <c r="Y21" s="5">
        <f t="shared" si="8"/>
        <v>13</v>
      </c>
      <c r="Z21" s="5">
        <f t="shared" si="9"/>
        <v>14</v>
      </c>
      <c r="AA21" s="5">
        <f t="shared" ref="AA21" si="21">Z21+1</f>
        <v>15</v>
      </c>
      <c r="AB21" s="5">
        <f t="shared" ref="AB21" si="22">AA21+1</f>
        <v>16</v>
      </c>
      <c r="AC21" s="348"/>
      <c r="AD21" s="153"/>
      <c r="AE21" s="152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5" customHeight="1" x14ac:dyDescent="0.25">
      <c r="B22" s="139"/>
      <c r="C22" s="139">
        <v>4</v>
      </c>
      <c r="D22" s="139" t="str">
        <f t="shared" si="6"/>
        <v>SUPPLY_EAST_C/U_1_17</v>
      </c>
      <c r="E22" s="139" t="s">
        <v>0</v>
      </c>
      <c r="F22" s="142" t="s">
        <v>0</v>
      </c>
      <c r="G22" s="140" t="s">
        <v>18</v>
      </c>
      <c r="H22" s="140" t="s">
        <v>67</v>
      </c>
      <c r="I22" s="140">
        <v>1</v>
      </c>
      <c r="J22" s="141"/>
      <c r="K22" s="184">
        <f>COUNT(AD22:BK22)</f>
        <v>2</v>
      </c>
      <c r="L22" s="143"/>
      <c r="M22" s="42"/>
      <c r="N22" s="46"/>
      <c r="O22" s="46"/>
      <c r="P22" s="46"/>
      <c r="Q22" s="46"/>
      <c r="R22" s="46"/>
      <c r="S22" s="46"/>
      <c r="T22" s="46"/>
      <c r="U22" s="46"/>
      <c r="V22" s="46"/>
      <c r="W22" s="190"/>
      <c r="X22" s="247"/>
      <c r="Y22" s="248"/>
      <c r="Z22" s="46"/>
      <c r="AA22" s="46"/>
      <c r="AB22" s="46"/>
      <c r="AC22" s="57"/>
      <c r="AD22" s="179">
        <v>1</v>
      </c>
      <c r="AE22" s="5">
        <f>AD22+1</f>
        <v>2</v>
      </c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5" customHeight="1" x14ac:dyDescent="0.25">
      <c r="B23" s="139"/>
      <c r="C23" s="140">
        <v>5</v>
      </c>
      <c r="D23" s="139" t="str">
        <f t="shared" si="6"/>
        <v>EMPTY_EAST_C/U_1_17</v>
      </c>
      <c r="E23" s="140" t="s">
        <v>0</v>
      </c>
      <c r="F23" s="142" t="s">
        <v>32</v>
      </c>
      <c r="G23" s="140" t="s">
        <v>18</v>
      </c>
      <c r="H23" s="140" t="s">
        <v>67</v>
      </c>
      <c r="I23" s="140">
        <v>1</v>
      </c>
      <c r="J23" s="143"/>
      <c r="K23" s="184">
        <f>COUNT(AD23:BG23)</f>
        <v>15</v>
      </c>
      <c r="L23" s="143"/>
      <c r="M23" s="42"/>
      <c r="N23" s="46"/>
      <c r="O23" s="46"/>
      <c r="P23" s="46"/>
      <c r="Q23" s="46"/>
      <c r="R23" s="46"/>
      <c r="S23" s="46"/>
      <c r="T23" s="46"/>
      <c r="U23" s="46"/>
      <c r="V23" s="46"/>
      <c r="W23" s="190"/>
      <c r="X23" s="42"/>
      <c r="Y23" s="46"/>
      <c r="Z23" s="46"/>
      <c r="AA23" s="46"/>
      <c r="AB23" s="46"/>
      <c r="AC23" s="57"/>
      <c r="AD23" s="179">
        <v>1</v>
      </c>
      <c r="AE23" s="5">
        <f t="shared" ref="AE23" si="23">AD23+1</f>
        <v>2</v>
      </c>
      <c r="AF23" s="5">
        <f t="shared" ref="AF23" si="24">AE23+1</f>
        <v>3</v>
      </c>
      <c r="AG23" s="5">
        <f t="shared" ref="AG23" si="25">AF23+1</f>
        <v>4</v>
      </c>
      <c r="AH23" s="5">
        <f t="shared" ref="AH23" si="26">AG23+1</f>
        <v>5</v>
      </c>
      <c r="AI23" s="5">
        <f t="shared" ref="AI23" si="27">AH23+1</f>
        <v>6</v>
      </c>
      <c r="AJ23" s="5">
        <f t="shared" ref="AJ23" si="28">AI23+1</f>
        <v>7</v>
      </c>
      <c r="AK23" s="5">
        <f t="shared" ref="AK23" si="29">AJ23+1</f>
        <v>8</v>
      </c>
      <c r="AL23" s="5">
        <f t="shared" ref="AL23" si="30">AK23+1</f>
        <v>9</v>
      </c>
      <c r="AM23" s="5">
        <f t="shared" ref="AM23" si="31">AL23+1</f>
        <v>10</v>
      </c>
      <c r="AN23" s="5">
        <f t="shared" ref="AN23" si="32">AM23+1</f>
        <v>11</v>
      </c>
      <c r="AO23" s="5">
        <f t="shared" ref="AO23" si="33">AN23+1</f>
        <v>12</v>
      </c>
      <c r="AP23" s="5">
        <f t="shared" ref="AP23" si="34">AO23+1</f>
        <v>13</v>
      </c>
      <c r="AQ23" s="5">
        <f t="shared" ref="AQ23:AR23" si="35">AP23+1</f>
        <v>14</v>
      </c>
      <c r="AR23" s="5">
        <f t="shared" si="35"/>
        <v>15</v>
      </c>
      <c r="AS23" s="46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5" hidden="1" customHeight="1" x14ac:dyDescent="0.25">
      <c r="B24" s="139"/>
      <c r="C24" s="140">
        <v>6</v>
      </c>
      <c r="D24" s="139" t="str">
        <f t="shared" si="6"/>
        <v>COUNTDOWN_EAST_C/U_1_17</v>
      </c>
      <c r="E24" s="140"/>
      <c r="F24" s="142" t="s">
        <v>33</v>
      </c>
      <c r="G24" s="140" t="s">
        <v>18</v>
      </c>
      <c r="H24" s="140" t="s">
        <v>67</v>
      </c>
      <c r="I24" s="140">
        <v>1</v>
      </c>
      <c r="J24" s="144"/>
      <c r="K24" s="144"/>
      <c r="L24" s="143"/>
      <c r="M24" s="82"/>
      <c r="N24" s="5"/>
      <c r="O24" s="5"/>
      <c r="P24" s="5"/>
      <c r="Q24" s="5"/>
      <c r="R24" s="5"/>
      <c r="S24" s="5"/>
      <c r="T24" s="5"/>
      <c r="U24" s="5"/>
      <c r="V24" s="5"/>
      <c r="W24" s="158"/>
      <c r="X24" s="108"/>
      <c r="Y24" s="67"/>
      <c r="Z24" s="67"/>
      <c r="AA24" s="46"/>
      <c r="AB24" s="46"/>
      <c r="AC24" s="59"/>
      <c r="AD24" s="134"/>
      <c r="AE24" s="152"/>
      <c r="AF24" s="152"/>
      <c r="AG24" s="152"/>
      <c r="AH24" s="152"/>
      <c r="AI24" s="152"/>
      <c r="AJ24" s="152"/>
      <c r="AK24" s="152"/>
      <c r="AL24" s="152"/>
      <c r="AM24" s="152"/>
      <c r="AN24" s="152"/>
      <c r="AO24" s="152"/>
      <c r="AP24" s="152"/>
      <c r="AQ24" s="152"/>
      <c r="AR24" s="40"/>
      <c r="AS24" s="40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5" hidden="1" customHeight="1" x14ac:dyDescent="0.25">
      <c r="A25" t="s">
        <v>6</v>
      </c>
      <c r="B25" s="139">
        <v>3</v>
      </c>
      <c r="C25" s="139">
        <v>1</v>
      </c>
      <c r="D25" s="139" t="str">
        <f t="shared" si="0"/>
        <v>SORTING_EAST_C_2_17</v>
      </c>
      <c r="E25" s="139" t="s">
        <v>35</v>
      </c>
      <c r="F25" s="138" t="s">
        <v>45</v>
      </c>
      <c r="G25" s="140" t="s">
        <v>18</v>
      </c>
      <c r="H25" s="140" t="s">
        <v>4</v>
      </c>
      <c r="I25" s="140">
        <v>2</v>
      </c>
      <c r="J25" s="139"/>
      <c r="K25" s="184">
        <f>COUNT(X25:AT25)</f>
        <v>3</v>
      </c>
      <c r="L25" s="141"/>
      <c r="M25" s="42"/>
      <c r="N25" s="46"/>
      <c r="O25" s="46"/>
      <c r="P25" s="46"/>
      <c r="Q25" s="46"/>
      <c r="R25" s="46"/>
      <c r="S25" s="46"/>
      <c r="T25" s="46"/>
      <c r="U25" s="46"/>
      <c r="V25" s="46"/>
      <c r="W25" s="190"/>
      <c r="X25" s="82">
        <v>1</v>
      </c>
      <c r="Y25" s="3">
        <f>X25+1</f>
        <v>2</v>
      </c>
      <c r="Z25" s="3">
        <f>Y25+1</f>
        <v>3</v>
      </c>
      <c r="AA25" s="152"/>
      <c r="AB25" s="152"/>
      <c r="AC25" s="31"/>
      <c r="AD25" s="86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5" hidden="1" customHeight="1" x14ac:dyDescent="0.25">
      <c r="A26" t="s">
        <v>6</v>
      </c>
      <c r="B26" s="139">
        <v>3</v>
      </c>
      <c r="C26" s="139">
        <v>2</v>
      </c>
      <c r="D26" s="139" t="str">
        <f t="shared" si="0"/>
        <v>TRANSFER_EAST_C_2_17</v>
      </c>
      <c r="E26" s="139" t="s">
        <v>21</v>
      </c>
      <c r="F26" s="138" t="s">
        <v>21</v>
      </c>
      <c r="G26" s="140" t="s">
        <v>18</v>
      </c>
      <c r="H26" s="140" t="s">
        <v>4</v>
      </c>
      <c r="I26" s="140">
        <v>2</v>
      </c>
      <c r="J26" s="139"/>
      <c r="K26" s="184">
        <f>COUNT(X26:AT26)</f>
        <v>5</v>
      </c>
      <c r="L26" s="141"/>
      <c r="M26" s="42"/>
      <c r="N26" s="46"/>
      <c r="O26" s="46"/>
      <c r="P26" s="46"/>
      <c r="Q26" s="46"/>
      <c r="R26" s="46"/>
      <c r="S26" s="46"/>
      <c r="T26" s="46"/>
      <c r="U26" s="46"/>
      <c r="V26" s="46"/>
      <c r="W26" s="190"/>
      <c r="X26" s="8">
        <v>1</v>
      </c>
      <c r="Y26" s="3">
        <f t="shared" ref="Y26:AD27" si="36">X26+1</f>
        <v>2</v>
      </c>
      <c r="Z26" s="3">
        <f t="shared" si="36"/>
        <v>3</v>
      </c>
      <c r="AA26" s="3">
        <f t="shared" si="36"/>
        <v>4</v>
      </c>
      <c r="AB26" s="3">
        <f t="shared" si="36"/>
        <v>5</v>
      </c>
      <c r="AC26" s="348"/>
      <c r="AD26" s="15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5" customHeight="1" x14ac:dyDescent="0.25">
      <c r="A27" t="s">
        <v>6</v>
      </c>
      <c r="B27" s="139">
        <v>3</v>
      </c>
      <c r="C27" s="139">
        <v>3</v>
      </c>
      <c r="D27" s="139" t="str">
        <f t="shared" si="0"/>
        <v>PREPARE_EAST_C_2_17</v>
      </c>
      <c r="E27" s="139" t="s">
        <v>0</v>
      </c>
      <c r="F27" s="138" t="s">
        <v>46</v>
      </c>
      <c r="G27" s="140" t="s">
        <v>18</v>
      </c>
      <c r="H27" s="140" t="s">
        <v>4</v>
      </c>
      <c r="I27" s="140">
        <v>2</v>
      </c>
      <c r="J27" s="139"/>
      <c r="K27" s="184">
        <f>COUNT(M27:AT27)</f>
        <v>18</v>
      </c>
      <c r="L27" s="141"/>
      <c r="M27" s="82">
        <v>1</v>
      </c>
      <c r="N27" s="5">
        <f t="shared" ref="N27:AA27" si="37">M27+1</f>
        <v>2</v>
      </c>
      <c r="O27" s="5">
        <f t="shared" si="37"/>
        <v>3</v>
      </c>
      <c r="P27" s="5">
        <f t="shared" si="37"/>
        <v>4</v>
      </c>
      <c r="Q27" s="5">
        <f t="shared" si="37"/>
        <v>5</v>
      </c>
      <c r="R27" s="5">
        <f t="shared" si="37"/>
        <v>6</v>
      </c>
      <c r="S27" s="5">
        <f t="shared" si="37"/>
        <v>7</v>
      </c>
      <c r="T27" s="5">
        <f t="shared" si="37"/>
        <v>8</v>
      </c>
      <c r="U27" s="5">
        <f t="shared" si="37"/>
        <v>9</v>
      </c>
      <c r="V27" s="5">
        <f t="shared" si="37"/>
        <v>10</v>
      </c>
      <c r="W27" s="178">
        <f t="shared" si="37"/>
        <v>11</v>
      </c>
      <c r="X27" s="82">
        <f t="shared" si="37"/>
        <v>12</v>
      </c>
      <c r="Y27" s="5">
        <f t="shared" si="37"/>
        <v>13</v>
      </c>
      <c r="Z27" s="5">
        <f t="shared" si="37"/>
        <v>14</v>
      </c>
      <c r="AA27" s="5">
        <f t="shared" si="37"/>
        <v>15</v>
      </c>
      <c r="AB27" s="5">
        <f t="shared" si="36"/>
        <v>16</v>
      </c>
      <c r="AC27" s="64">
        <f t="shared" si="36"/>
        <v>17</v>
      </c>
      <c r="AD27" s="179">
        <f t="shared" si="36"/>
        <v>18</v>
      </c>
      <c r="AE27" s="152"/>
      <c r="AF27" s="152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5" customHeight="1" x14ac:dyDescent="0.25">
      <c r="A28" t="s">
        <v>6</v>
      </c>
      <c r="B28" s="139">
        <v>3</v>
      </c>
      <c r="C28" s="139">
        <v>4</v>
      </c>
      <c r="D28" s="139" t="str">
        <f t="shared" si="0"/>
        <v>SUPPLY_EAST_C_2_17</v>
      </c>
      <c r="E28" s="139" t="s">
        <v>0</v>
      </c>
      <c r="F28" s="142" t="s">
        <v>0</v>
      </c>
      <c r="G28" s="140" t="s">
        <v>18</v>
      </c>
      <c r="H28" s="140" t="s">
        <v>4</v>
      </c>
      <c r="I28" s="140">
        <v>2</v>
      </c>
      <c r="J28" s="141"/>
      <c r="K28" s="184">
        <f>COUNT(AD28:BK28)</f>
        <v>3</v>
      </c>
      <c r="L28" s="141"/>
      <c r="M28" s="42"/>
      <c r="N28" s="46"/>
      <c r="O28" s="46"/>
      <c r="P28" s="46"/>
      <c r="Q28" s="46"/>
      <c r="R28" s="46"/>
      <c r="S28" s="46"/>
      <c r="T28" s="46"/>
      <c r="U28" s="46"/>
      <c r="V28" s="46"/>
      <c r="W28" s="190"/>
      <c r="X28" s="247"/>
      <c r="Y28" s="248"/>
      <c r="Z28" s="46"/>
      <c r="AA28" s="46"/>
      <c r="AB28" s="46"/>
      <c r="AC28" s="57"/>
      <c r="AD28" s="179">
        <v>1</v>
      </c>
      <c r="AE28" s="5">
        <f>AD28+1</f>
        <v>2</v>
      </c>
      <c r="AF28" s="5">
        <f t="shared" ref="AF28" si="38">AE28+1</f>
        <v>3</v>
      </c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5" customHeight="1" x14ac:dyDescent="0.25">
      <c r="A29" t="s">
        <v>6</v>
      </c>
      <c r="B29" s="139">
        <v>3</v>
      </c>
      <c r="C29" s="140">
        <v>5</v>
      </c>
      <c r="D29" s="139" t="str">
        <f t="shared" si="0"/>
        <v>EMPTY_EAST_C_2_17</v>
      </c>
      <c r="E29" s="140" t="s">
        <v>0</v>
      </c>
      <c r="F29" s="142" t="s">
        <v>32</v>
      </c>
      <c r="G29" s="140" t="s">
        <v>18</v>
      </c>
      <c r="H29" s="140" t="s">
        <v>4</v>
      </c>
      <c r="I29" s="140">
        <v>2</v>
      </c>
      <c r="J29" s="143"/>
      <c r="K29" s="184">
        <f>COUNT(AD29:BG29)</f>
        <v>16</v>
      </c>
      <c r="L29" s="143"/>
      <c r="M29" s="42"/>
      <c r="N29" s="46"/>
      <c r="O29" s="46"/>
      <c r="P29" s="46"/>
      <c r="Q29" s="46"/>
      <c r="R29" s="46"/>
      <c r="S29" s="46"/>
      <c r="T29" s="46"/>
      <c r="U29" s="46"/>
      <c r="V29" s="46"/>
      <c r="W29" s="190"/>
      <c r="X29" s="42"/>
      <c r="Y29" s="46"/>
      <c r="Z29" s="46"/>
      <c r="AA29" s="46"/>
      <c r="AB29" s="46"/>
      <c r="AC29" s="57"/>
      <c r="AD29" s="179">
        <v>1</v>
      </c>
      <c r="AE29" s="5">
        <f t="shared" ref="AE29:AS29" si="39">AD29+1</f>
        <v>2</v>
      </c>
      <c r="AF29" s="5">
        <f t="shared" si="39"/>
        <v>3</v>
      </c>
      <c r="AG29" s="5">
        <f t="shared" si="39"/>
        <v>4</v>
      </c>
      <c r="AH29" s="5">
        <f t="shared" si="39"/>
        <v>5</v>
      </c>
      <c r="AI29" s="5">
        <f t="shared" si="39"/>
        <v>6</v>
      </c>
      <c r="AJ29" s="5">
        <f t="shared" si="39"/>
        <v>7</v>
      </c>
      <c r="AK29" s="5">
        <f t="shared" si="39"/>
        <v>8</v>
      </c>
      <c r="AL29" s="5">
        <f t="shared" si="39"/>
        <v>9</v>
      </c>
      <c r="AM29" s="5">
        <f t="shared" si="39"/>
        <v>10</v>
      </c>
      <c r="AN29" s="5">
        <f t="shared" si="39"/>
        <v>11</v>
      </c>
      <c r="AO29" s="5">
        <f t="shared" si="39"/>
        <v>12</v>
      </c>
      <c r="AP29" s="5">
        <f t="shared" si="39"/>
        <v>13</v>
      </c>
      <c r="AQ29" s="5">
        <f t="shared" si="39"/>
        <v>14</v>
      </c>
      <c r="AR29" s="5">
        <f t="shared" si="39"/>
        <v>15</v>
      </c>
      <c r="AS29" s="5">
        <f t="shared" si="39"/>
        <v>16</v>
      </c>
      <c r="AT29" s="46"/>
      <c r="AU29" s="152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5" hidden="1" customHeight="1" x14ac:dyDescent="0.25">
      <c r="A30" t="s">
        <v>6</v>
      </c>
      <c r="B30" s="139">
        <v>3</v>
      </c>
      <c r="C30" s="140">
        <v>6</v>
      </c>
      <c r="D30" s="139" t="str">
        <f t="shared" si="0"/>
        <v>COUNTDOWN_EAST_C_2_17</v>
      </c>
      <c r="E30" s="140"/>
      <c r="F30" s="142" t="s">
        <v>33</v>
      </c>
      <c r="G30" s="140" t="s">
        <v>18</v>
      </c>
      <c r="H30" s="140" t="s">
        <v>4</v>
      </c>
      <c r="I30" s="140">
        <v>2</v>
      </c>
      <c r="J30" s="144"/>
      <c r="K30" s="144"/>
      <c r="L30" s="143"/>
      <c r="M30" s="82"/>
      <c r="N30" s="5"/>
      <c r="O30" s="5"/>
      <c r="P30" s="5"/>
      <c r="Q30" s="5"/>
      <c r="R30" s="5"/>
      <c r="S30" s="5"/>
      <c r="T30" s="5"/>
      <c r="U30" s="5"/>
      <c r="V30" s="5"/>
      <c r="W30" s="158"/>
      <c r="X30" s="108"/>
      <c r="Y30" s="78"/>
      <c r="Z30" s="5"/>
      <c r="AA30" s="67"/>
      <c r="AB30" s="67"/>
      <c r="AC30" s="57"/>
      <c r="AD30" s="133"/>
      <c r="AE30" s="56"/>
      <c r="AF30" s="56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40"/>
      <c r="AU30" s="40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5" hidden="1" customHeight="1" x14ac:dyDescent="0.25">
      <c r="B31" s="139">
        <v>4</v>
      </c>
      <c r="C31" s="139">
        <v>1</v>
      </c>
      <c r="D31" s="139" t="str">
        <f t="shared" si="0"/>
        <v>SORTING_EAST_I_1_17</v>
      </c>
      <c r="E31" s="139" t="s">
        <v>35</v>
      </c>
      <c r="F31" s="138" t="s">
        <v>45</v>
      </c>
      <c r="G31" s="140" t="s">
        <v>18</v>
      </c>
      <c r="H31" s="140" t="s">
        <v>10</v>
      </c>
      <c r="I31" s="140">
        <v>1</v>
      </c>
      <c r="J31" s="139"/>
      <c r="K31" s="184">
        <f>COUNT(X31:AT31)</f>
        <v>5</v>
      </c>
      <c r="L31" s="141"/>
      <c r="M31" s="42"/>
      <c r="N31" s="46"/>
      <c r="O31" s="46"/>
      <c r="P31" s="46"/>
      <c r="Q31" s="46"/>
      <c r="R31" s="46"/>
      <c r="S31" s="46"/>
      <c r="T31" s="46"/>
      <c r="U31" s="46"/>
      <c r="V31" s="46"/>
      <c r="W31" s="190"/>
      <c r="X31" s="82">
        <v>1</v>
      </c>
      <c r="Y31" s="3">
        <f>X31+1</f>
        <v>2</v>
      </c>
      <c r="Z31" s="3">
        <f t="shared" ref="Z31:AO35" si="40">Y31+1</f>
        <v>3</v>
      </c>
      <c r="AA31" s="3">
        <f t="shared" si="40"/>
        <v>4</v>
      </c>
      <c r="AB31" s="3">
        <f t="shared" si="40"/>
        <v>5</v>
      </c>
      <c r="AC31" s="348"/>
      <c r="AD31" s="15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5" hidden="1" customHeight="1" x14ac:dyDescent="0.25">
      <c r="B32" s="139">
        <v>4</v>
      </c>
      <c r="C32" s="139">
        <v>2</v>
      </c>
      <c r="D32" s="139" t="str">
        <f t="shared" si="0"/>
        <v>TRANSFER_EAST_I_1_17</v>
      </c>
      <c r="E32" s="139" t="s">
        <v>21</v>
      </c>
      <c r="F32" s="138" t="s">
        <v>21</v>
      </c>
      <c r="G32" s="140" t="s">
        <v>18</v>
      </c>
      <c r="H32" s="140" t="s">
        <v>10</v>
      </c>
      <c r="I32" s="140">
        <v>1</v>
      </c>
      <c r="J32" s="139"/>
      <c r="K32" s="184">
        <f>COUNT(X32:AT32)</f>
        <v>7</v>
      </c>
      <c r="L32" s="141"/>
      <c r="M32" s="42"/>
      <c r="N32" s="46"/>
      <c r="O32" s="46"/>
      <c r="P32" s="46"/>
      <c r="Q32" s="46"/>
      <c r="R32" s="46"/>
      <c r="S32" s="46"/>
      <c r="T32" s="46"/>
      <c r="U32" s="46"/>
      <c r="V32" s="46"/>
      <c r="W32" s="190"/>
      <c r="X32" s="8">
        <v>1</v>
      </c>
      <c r="Y32" s="3">
        <f t="shared" ref="Y32:AA32" si="41">X32+1</f>
        <v>2</v>
      </c>
      <c r="Z32" s="3">
        <f t="shared" si="41"/>
        <v>3</v>
      </c>
      <c r="AA32" s="3">
        <f t="shared" si="41"/>
        <v>4</v>
      </c>
      <c r="AB32" s="3">
        <f t="shared" si="40"/>
        <v>5</v>
      </c>
      <c r="AC32" s="31">
        <f t="shared" si="40"/>
        <v>6</v>
      </c>
      <c r="AD32" s="86">
        <f t="shared" si="40"/>
        <v>7</v>
      </c>
      <c r="AE32" s="4"/>
      <c r="AF32" s="4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5" customHeight="1" x14ac:dyDescent="0.25">
      <c r="B33" s="139">
        <v>4</v>
      </c>
      <c r="C33" s="139">
        <v>3</v>
      </c>
      <c r="D33" s="139" t="str">
        <f t="shared" si="0"/>
        <v>PREPARE_EAST_I_1_17</v>
      </c>
      <c r="E33" s="139" t="s">
        <v>0</v>
      </c>
      <c r="F33" s="138" t="s">
        <v>46</v>
      </c>
      <c r="G33" s="140" t="s">
        <v>18</v>
      </c>
      <c r="H33" s="140" t="s">
        <v>10</v>
      </c>
      <c r="I33" s="140">
        <v>1</v>
      </c>
      <c r="J33" s="139"/>
      <c r="K33" s="184">
        <f>COUNT(M33:AT33)</f>
        <v>20</v>
      </c>
      <c r="L33" s="141"/>
      <c r="M33" s="82">
        <v>1</v>
      </c>
      <c r="N33" s="5">
        <f t="shared" ref="N33:AA33" si="42">M33+1</f>
        <v>2</v>
      </c>
      <c r="O33" s="5">
        <f t="shared" si="42"/>
        <v>3</v>
      </c>
      <c r="P33" s="5">
        <f t="shared" si="42"/>
        <v>4</v>
      </c>
      <c r="Q33" s="5">
        <f t="shared" si="42"/>
        <v>5</v>
      </c>
      <c r="R33" s="5">
        <f t="shared" si="42"/>
        <v>6</v>
      </c>
      <c r="S33" s="5">
        <f t="shared" si="42"/>
        <v>7</v>
      </c>
      <c r="T33" s="5">
        <f t="shared" si="42"/>
        <v>8</v>
      </c>
      <c r="U33" s="5">
        <f t="shared" si="42"/>
        <v>9</v>
      </c>
      <c r="V33" s="5">
        <f t="shared" si="42"/>
        <v>10</v>
      </c>
      <c r="W33" s="178">
        <f t="shared" si="42"/>
        <v>11</v>
      </c>
      <c r="X33" s="82">
        <f t="shared" si="42"/>
        <v>12</v>
      </c>
      <c r="Y33" s="5">
        <f t="shared" si="42"/>
        <v>13</v>
      </c>
      <c r="Z33" s="5">
        <f t="shared" si="42"/>
        <v>14</v>
      </c>
      <c r="AA33" s="5">
        <f t="shared" si="42"/>
        <v>15</v>
      </c>
      <c r="AB33" s="5">
        <f t="shared" si="40"/>
        <v>16</v>
      </c>
      <c r="AC33" s="64">
        <f t="shared" si="40"/>
        <v>17</v>
      </c>
      <c r="AD33" s="179">
        <f t="shared" si="40"/>
        <v>18</v>
      </c>
      <c r="AE33" s="5">
        <f t="shared" si="40"/>
        <v>19</v>
      </c>
      <c r="AF33" s="5">
        <f t="shared" si="40"/>
        <v>20</v>
      </c>
      <c r="AG33" s="152"/>
      <c r="AH33" s="4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5" customHeight="1" x14ac:dyDescent="0.25">
      <c r="B34" s="139">
        <v>4</v>
      </c>
      <c r="C34" s="139">
        <v>4</v>
      </c>
      <c r="D34" s="139" t="str">
        <f t="shared" si="0"/>
        <v>SUPPLY_EAST_I_1_17</v>
      </c>
      <c r="E34" s="139" t="s">
        <v>0</v>
      </c>
      <c r="F34" s="142" t="s">
        <v>0</v>
      </c>
      <c r="G34" s="140" t="s">
        <v>18</v>
      </c>
      <c r="H34" s="140" t="s">
        <v>10</v>
      </c>
      <c r="I34" s="140">
        <v>1</v>
      </c>
      <c r="J34" s="141"/>
      <c r="K34" s="184">
        <f>COUNT(AD34:BK34)</f>
        <v>5</v>
      </c>
      <c r="L34" s="141"/>
      <c r="M34" s="42"/>
      <c r="N34" s="46"/>
      <c r="O34" s="46"/>
      <c r="P34" s="46"/>
      <c r="Q34" s="46"/>
      <c r="R34" s="46"/>
      <c r="S34" s="46"/>
      <c r="T34" s="46"/>
      <c r="U34" s="46"/>
      <c r="V34" s="46"/>
      <c r="W34" s="190"/>
      <c r="X34" s="247"/>
      <c r="Y34" s="248"/>
      <c r="Z34" s="46"/>
      <c r="AA34" s="46"/>
      <c r="AB34" s="46"/>
      <c r="AC34" s="57"/>
      <c r="AD34" s="179">
        <v>1</v>
      </c>
      <c r="AE34" s="5">
        <f t="shared" si="40"/>
        <v>2</v>
      </c>
      <c r="AF34" s="5">
        <f t="shared" si="40"/>
        <v>3</v>
      </c>
      <c r="AG34" s="5">
        <f t="shared" si="40"/>
        <v>4</v>
      </c>
      <c r="AH34" s="5">
        <f t="shared" si="40"/>
        <v>5</v>
      </c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4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5" customHeight="1" x14ac:dyDescent="0.25">
      <c r="B35" s="139">
        <v>4</v>
      </c>
      <c r="C35" s="140">
        <v>5</v>
      </c>
      <c r="D35" s="139" t="str">
        <f t="shared" si="0"/>
        <v>EMPTY_EAST_I_1_17</v>
      </c>
      <c r="E35" s="140" t="s">
        <v>0</v>
      </c>
      <c r="F35" s="142" t="s">
        <v>32</v>
      </c>
      <c r="G35" s="140" t="s">
        <v>18</v>
      </c>
      <c r="H35" s="140" t="s">
        <v>10</v>
      </c>
      <c r="I35" s="140">
        <v>1</v>
      </c>
      <c r="J35" s="143"/>
      <c r="K35" s="184">
        <f>COUNT(AD35:BG35)</f>
        <v>18</v>
      </c>
      <c r="L35" s="143"/>
      <c r="M35" s="42"/>
      <c r="N35" s="46"/>
      <c r="O35" s="46"/>
      <c r="P35" s="46"/>
      <c r="Q35" s="46"/>
      <c r="R35" s="46"/>
      <c r="S35" s="46"/>
      <c r="T35" s="46"/>
      <c r="U35" s="46"/>
      <c r="V35" s="46"/>
      <c r="W35" s="190"/>
      <c r="X35" s="42"/>
      <c r="Y35" s="46"/>
      <c r="Z35" s="46"/>
      <c r="AA35" s="46"/>
      <c r="AB35" s="46"/>
      <c r="AC35" s="57"/>
      <c r="AD35" s="179">
        <v>1</v>
      </c>
      <c r="AE35" s="5">
        <f t="shared" si="40"/>
        <v>2</v>
      </c>
      <c r="AF35" s="5">
        <f t="shared" si="40"/>
        <v>3</v>
      </c>
      <c r="AG35" s="5">
        <f t="shared" si="40"/>
        <v>4</v>
      </c>
      <c r="AH35" s="5">
        <f t="shared" si="40"/>
        <v>5</v>
      </c>
      <c r="AI35" s="5">
        <f t="shared" si="40"/>
        <v>6</v>
      </c>
      <c r="AJ35" s="5">
        <f t="shared" si="40"/>
        <v>7</v>
      </c>
      <c r="AK35" s="5">
        <f t="shared" si="40"/>
        <v>8</v>
      </c>
      <c r="AL35" s="5">
        <f t="shared" si="40"/>
        <v>9</v>
      </c>
      <c r="AM35" s="5">
        <f t="shared" si="40"/>
        <v>10</v>
      </c>
      <c r="AN35" s="5">
        <f t="shared" si="40"/>
        <v>11</v>
      </c>
      <c r="AO35" s="5">
        <f t="shared" si="40"/>
        <v>12</v>
      </c>
      <c r="AP35" s="5">
        <f t="shared" ref="AP35:AU35" si="43">AO35+1</f>
        <v>13</v>
      </c>
      <c r="AQ35" s="5">
        <f t="shared" si="43"/>
        <v>14</v>
      </c>
      <c r="AR35" s="5">
        <f t="shared" si="43"/>
        <v>15</v>
      </c>
      <c r="AS35" s="5">
        <f t="shared" si="43"/>
        <v>16</v>
      </c>
      <c r="AT35" s="5">
        <f t="shared" si="43"/>
        <v>17</v>
      </c>
      <c r="AU35" s="5">
        <f t="shared" si="43"/>
        <v>18</v>
      </c>
      <c r="AV35" s="46"/>
      <c r="AW35" s="4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5" hidden="1" customHeight="1" x14ac:dyDescent="0.25">
      <c r="B36" s="139">
        <v>4</v>
      </c>
      <c r="C36" s="140">
        <v>6</v>
      </c>
      <c r="D36" s="139" t="str">
        <f t="shared" si="0"/>
        <v>COUNTDOWN_EAST_I_1_17</v>
      </c>
      <c r="E36" s="140"/>
      <c r="F36" s="142" t="s">
        <v>33</v>
      </c>
      <c r="G36" s="140" t="s">
        <v>18</v>
      </c>
      <c r="H36" s="140" t="s">
        <v>10</v>
      </c>
      <c r="I36" s="140">
        <v>1</v>
      </c>
      <c r="J36" s="144"/>
      <c r="K36" s="144"/>
      <c r="L36" s="143"/>
      <c r="M36" s="82"/>
      <c r="N36" s="5"/>
      <c r="O36" s="5"/>
      <c r="P36" s="5"/>
      <c r="Q36" s="5"/>
      <c r="R36" s="5"/>
      <c r="S36" s="5"/>
      <c r="T36" s="5"/>
      <c r="U36" s="5"/>
      <c r="V36" s="5"/>
      <c r="W36" s="158"/>
      <c r="X36" s="108"/>
      <c r="Y36" s="78"/>
      <c r="Z36" s="5"/>
      <c r="AA36" s="5"/>
      <c r="AB36" s="5"/>
      <c r="AC36" s="155"/>
      <c r="AD36" s="154"/>
      <c r="AE36" s="46"/>
      <c r="AF36" s="46"/>
      <c r="AG36" s="56"/>
      <c r="AH36" s="56"/>
      <c r="AI36" s="152"/>
      <c r="AJ36" s="152"/>
      <c r="AK36" s="152"/>
      <c r="AL36" s="152"/>
      <c r="AM36" s="152"/>
      <c r="AN36" s="152"/>
      <c r="AO36" s="152"/>
      <c r="AP36" s="152"/>
      <c r="AQ36" s="152"/>
      <c r="AR36" s="152"/>
      <c r="AS36" s="152"/>
      <c r="AT36" s="152"/>
      <c r="AU36" s="152"/>
      <c r="AV36" s="40"/>
      <c r="AW36" s="40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5" hidden="1" customHeight="1" x14ac:dyDescent="0.25">
      <c r="A37" t="s">
        <v>15</v>
      </c>
      <c r="B37" s="139">
        <v>5</v>
      </c>
      <c r="C37" s="139">
        <v>1</v>
      </c>
      <c r="D37" s="139" t="str">
        <f t="shared" si="0"/>
        <v>SORTING_EAST_G_2_17</v>
      </c>
      <c r="E37" s="139" t="s">
        <v>35</v>
      </c>
      <c r="F37" s="138" t="s">
        <v>45</v>
      </c>
      <c r="G37" s="140" t="s">
        <v>18</v>
      </c>
      <c r="H37" s="140" t="s">
        <v>8</v>
      </c>
      <c r="I37" s="140">
        <v>2</v>
      </c>
      <c r="J37" s="139"/>
      <c r="K37" s="184">
        <f>COUNT(X37:AT37)</f>
        <v>7</v>
      </c>
      <c r="L37" s="141"/>
      <c r="M37" s="42"/>
      <c r="N37" s="46"/>
      <c r="O37" s="46"/>
      <c r="P37" s="46"/>
      <c r="Q37" s="46"/>
      <c r="R37" s="46"/>
      <c r="S37" s="46"/>
      <c r="T37" s="46"/>
      <c r="U37" s="46"/>
      <c r="V37" s="46"/>
      <c r="W37" s="190"/>
      <c r="X37" s="82">
        <v>1</v>
      </c>
      <c r="Y37" s="3">
        <f t="shared" ref="Y37:AN41" si="44">X37+1</f>
        <v>2</v>
      </c>
      <c r="Z37" s="3">
        <f t="shared" si="44"/>
        <v>3</v>
      </c>
      <c r="AA37" s="3">
        <f t="shared" si="44"/>
        <v>4</v>
      </c>
      <c r="AB37" s="3">
        <f t="shared" si="44"/>
        <v>5</v>
      </c>
      <c r="AC37" s="31">
        <f t="shared" si="44"/>
        <v>6</v>
      </c>
      <c r="AD37" s="86">
        <f t="shared" si="44"/>
        <v>7</v>
      </c>
      <c r="AE37" s="4"/>
      <c r="AF37" s="4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5" hidden="1" customHeight="1" x14ac:dyDescent="0.25">
      <c r="A38" t="s">
        <v>15</v>
      </c>
      <c r="B38" s="139">
        <v>5</v>
      </c>
      <c r="C38" s="139">
        <v>2</v>
      </c>
      <c r="D38" s="139" t="str">
        <f t="shared" si="0"/>
        <v>TRANSFER_EAST_G_2_17</v>
      </c>
      <c r="E38" s="139" t="s">
        <v>21</v>
      </c>
      <c r="F38" s="138" t="s">
        <v>21</v>
      </c>
      <c r="G38" s="140" t="s">
        <v>18</v>
      </c>
      <c r="H38" s="140" t="s">
        <v>8</v>
      </c>
      <c r="I38" s="140">
        <v>2</v>
      </c>
      <c r="J38" s="139"/>
      <c r="K38" s="184">
        <f>COUNT(X38:AT38)</f>
        <v>9</v>
      </c>
      <c r="L38" s="141"/>
      <c r="M38" s="42"/>
      <c r="N38" s="46"/>
      <c r="O38" s="46"/>
      <c r="P38" s="46"/>
      <c r="Q38" s="46"/>
      <c r="R38" s="46"/>
      <c r="S38" s="46"/>
      <c r="T38" s="46"/>
      <c r="U38" s="46"/>
      <c r="V38" s="46"/>
      <c r="W38" s="190"/>
      <c r="X38" s="8">
        <v>1</v>
      </c>
      <c r="Y38" s="3">
        <f t="shared" si="44"/>
        <v>2</v>
      </c>
      <c r="Z38" s="3">
        <f t="shared" si="44"/>
        <v>3</v>
      </c>
      <c r="AA38" s="3">
        <f t="shared" si="44"/>
        <v>4</v>
      </c>
      <c r="AB38" s="3">
        <f t="shared" si="44"/>
        <v>5</v>
      </c>
      <c r="AC38" s="31">
        <f t="shared" si="44"/>
        <v>6</v>
      </c>
      <c r="AD38" s="86">
        <f t="shared" si="44"/>
        <v>7</v>
      </c>
      <c r="AE38" s="3">
        <f t="shared" si="44"/>
        <v>8</v>
      </c>
      <c r="AF38" s="3">
        <f t="shared" si="44"/>
        <v>9</v>
      </c>
      <c r="AG38" s="4"/>
      <c r="AH38" s="4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5" customHeight="1" x14ac:dyDescent="0.25">
      <c r="A39" t="s">
        <v>15</v>
      </c>
      <c r="B39" s="139">
        <v>5</v>
      </c>
      <c r="C39" s="139">
        <v>3</v>
      </c>
      <c r="D39" s="139" t="str">
        <f t="shared" si="0"/>
        <v>PREPARE_EAST_G_2_17</v>
      </c>
      <c r="E39" s="139" t="s">
        <v>0</v>
      </c>
      <c r="F39" s="138" t="s">
        <v>46</v>
      </c>
      <c r="G39" s="140" t="s">
        <v>18</v>
      </c>
      <c r="H39" s="140" t="s">
        <v>8</v>
      </c>
      <c r="I39" s="140">
        <v>2</v>
      </c>
      <c r="J39" s="139"/>
      <c r="K39" s="184">
        <f>COUNT(M39:AT39)</f>
        <v>22</v>
      </c>
      <c r="L39" s="141"/>
      <c r="M39" s="82">
        <v>1</v>
      </c>
      <c r="N39" s="5">
        <f t="shared" ref="N39:AA39" si="45">M39+1</f>
        <v>2</v>
      </c>
      <c r="O39" s="5">
        <f t="shared" si="45"/>
        <v>3</v>
      </c>
      <c r="P39" s="5">
        <f t="shared" si="45"/>
        <v>4</v>
      </c>
      <c r="Q39" s="5">
        <f t="shared" si="45"/>
        <v>5</v>
      </c>
      <c r="R39" s="5">
        <f t="shared" si="45"/>
        <v>6</v>
      </c>
      <c r="S39" s="5">
        <f t="shared" si="45"/>
        <v>7</v>
      </c>
      <c r="T39" s="5">
        <f t="shared" si="45"/>
        <v>8</v>
      </c>
      <c r="U39" s="5">
        <f t="shared" si="45"/>
        <v>9</v>
      </c>
      <c r="V39" s="5">
        <f t="shared" si="45"/>
        <v>10</v>
      </c>
      <c r="W39" s="178">
        <f t="shared" si="45"/>
        <v>11</v>
      </c>
      <c r="X39" s="82">
        <f t="shared" si="45"/>
        <v>12</v>
      </c>
      <c r="Y39" s="5">
        <f t="shared" si="45"/>
        <v>13</v>
      </c>
      <c r="Z39" s="5">
        <f t="shared" si="45"/>
        <v>14</v>
      </c>
      <c r="AA39" s="5">
        <f t="shared" si="45"/>
        <v>15</v>
      </c>
      <c r="AB39" s="5">
        <f t="shared" si="44"/>
        <v>16</v>
      </c>
      <c r="AC39" s="64">
        <f t="shared" si="44"/>
        <v>17</v>
      </c>
      <c r="AD39" s="179">
        <f t="shared" si="44"/>
        <v>18</v>
      </c>
      <c r="AE39" s="5">
        <f t="shared" si="44"/>
        <v>19</v>
      </c>
      <c r="AF39" s="5">
        <f t="shared" si="44"/>
        <v>20</v>
      </c>
      <c r="AG39" s="5">
        <f t="shared" si="44"/>
        <v>21</v>
      </c>
      <c r="AH39" s="5">
        <f t="shared" si="44"/>
        <v>22</v>
      </c>
      <c r="AI39" s="152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5" customHeight="1" x14ac:dyDescent="0.25">
      <c r="A40" t="s">
        <v>15</v>
      </c>
      <c r="B40" s="139">
        <v>5</v>
      </c>
      <c r="C40" s="139">
        <v>4</v>
      </c>
      <c r="D40" s="139" t="str">
        <f t="shared" si="0"/>
        <v>SUPPLY_EAST_G_2_17</v>
      </c>
      <c r="E40" s="139" t="s">
        <v>0</v>
      </c>
      <c r="F40" s="142" t="s">
        <v>0</v>
      </c>
      <c r="G40" s="140" t="s">
        <v>18</v>
      </c>
      <c r="H40" s="140" t="s">
        <v>8</v>
      </c>
      <c r="I40" s="140">
        <v>2</v>
      </c>
      <c r="J40" s="141"/>
      <c r="K40" s="184">
        <f>COUNT(AD40:BK40)</f>
        <v>6</v>
      </c>
      <c r="L40" s="141"/>
      <c r="M40" s="42"/>
      <c r="N40" s="46"/>
      <c r="O40" s="46"/>
      <c r="P40" s="46"/>
      <c r="Q40" s="46"/>
      <c r="R40" s="46"/>
      <c r="S40" s="46"/>
      <c r="T40" s="46"/>
      <c r="U40" s="46"/>
      <c r="V40" s="46"/>
      <c r="W40" s="190"/>
      <c r="X40" s="247"/>
      <c r="Y40" s="248"/>
      <c r="Z40" s="46"/>
      <c r="AA40" s="46"/>
      <c r="AB40" s="46"/>
      <c r="AC40" s="57"/>
      <c r="AD40" s="179">
        <v>1</v>
      </c>
      <c r="AE40" s="5">
        <f t="shared" si="44"/>
        <v>2</v>
      </c>
      <c r="AF40" s="5">
        <f t="shared" si="44"/>
        <v>3</v>
      </c>
      <c r="AG40" s="5">
        <f t="shared" si="44"/>
        <v>4</v>
      </c>
      <c r="AH40" s="5">
        <f t="shared" si="44"/>
        <v>5</v>
      </c>
      <c r="AI40" s="5">
        <f t="shared" si="44"/>
        <v>6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5" customHeight="1" x14ac:dyDescent="0.25">
      <c r="A41" t="s">
        <v>15</v>
      </c>
      <c r="B41" s="139">
        <v>5</v>
      </c>
      <c r="C41" s="140">
        <v>5</v>
      </c>
      <c r="D41" s="139" t="str">
        <f t="shared" si="0"/>
        <v>EMPTY_EAST_G_2_17</v>
      </c>
      <c r="E41" s="140" t="s">
        <v>0</v>
      </c>
      <c r="F41" s="142" t="s">
        <v>32</v>
      </c>
      <c r="G41" s="140" t="s">
        <v>18</v>
      </c>
      <c r="H41" s="140" t="s">
        <v>8</v>
      </c>
      <c r="I41" s="140">
        <v>2</v>
      </c>
      <c r="J41" s="143"/>
      <c r="K41" s="184">
        <f>COUNT(AD41:BG41)</f>
        <v>20</v>
      </c>
      <c r="L41" s="143"/>
      <c r="M41" s="42"/>
      <c r="N41" s="46"/>
      <c r="O41" s="46"/>
      <c r="P41" s="46"/>
      <c r="Q41" s="46"/>
      <c r="R41" s="46"/>
      <c r="S41" s="46"/>
      <c r="T41" s="46"/>
      <c r="U41" s="46"/>
      <c r="V41" s="46"/>
      <c r="W41" s="190"/>
      <c r="X41" s="42"/>
      <c r="Y41" s="46"/>
      <c r="Z41" s="46"/>
      <c r="AA41" s="46"/>
      <c r="AB41" s="46"/>
      <c r="AC41" s="57"/>
      <c r="AD41" s="179">
        <v>1</v>
      </c>
      <c r="AE41" s="5">
        <f t="shared" si="44"/>
        <v>2</v>
      </c>
      <c r="AF41" s="5">
        <f t="shared" si="44"/>
        <v>3</v>
      </c>
      <c r="AG41" s="5">
        <f t="shared" si="44"/>
        <v>4</v>
      </c>
      <c r="AH41" s="5">
        <f t="shared" si="44"/>
        <v>5</v>
      </c>
      <c r="AI41" s="5">
        <f t="shared" si="44"/>
        <v>6</v>
      </c>
      <c r="AJ41" s="5">
        <f t="shared" si="44"/>
        <v>7</v>
      </c>
      <c r="AK41" s="5">
        <f t="shared" si="44"/>
        <v>8</v>
      </c>
      <c r="AL41" s="5">
        <f t="shared" si="44"/>
        <v>9</v>
      </c>
      <c r="AM41" s="5">
        <f t="shared" si="44"/>
        <v>10</v>
      </c>
      <c r="AN41" s="5">
        <f t="shared" si="44"/>
        <v>11</v>
      </c>
      <c r="AO41" s="5">
        <f t="shared" ref="AO41:AW41" si="46">AN41+1</f>
        <v>12</v>
      </c>
      <c r="AP41" s="5">
        <f t="shared" si="46"/>
        <v>13</v>
      </c>
      <c r="AQ41" s="5">
        <f t="shared" si="46"/>
        <v>14</v>
      </c>
      <c r="AR41" s="5">
        <f t="shared" si="46"/>
        <v>15</v>
      </c>
      <c r="AS41" s="5">
        <f t="shared" si="46"/>
        <v>16</v>
      </c>
      <c r="AT41" s="5">
        <f t="shared" si="46"/>
        <v>17</v>
      </c>
      <c r="AU41" s="5">
        <f t="shared" si="46"/>
        <v>18</v>
      </c>
      <c r="AV41" s="5">
        <f t="shared" si="46"/>
        <v>19</v>
      </c>
      <c r="AW41" s="5">
        <f t="shared" si="46"/>
        <v>20</v>
      </c>
      <c r="AX41" s="46"/>
      <c r="AY41" s="4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5" hidden="1" customHeight="1" x14ac:dyDescent="0.25">
      <c r="A42" t="s">
        <v>15</v>
      </c>
      <c r="B42" s="139">
        <v>5</v>
      </c>
      <c r="C42" s="140">
        <v>6</v>
      </c>
      <c r="D42" s="139" t="str">
        <f t="shared" si="0"/>
        <v>COUNTDOWN_EAST_G_2_17</v>
      </c>
      <c r="E42" s="140"/>
      <c r="F42" s="142" t="s">
        <v>33</v>
      </c>
      <c r="G42" s="140" t="s">
        <v>18</v>
      </c>
      <c r="H42" s="140" t="s">
        <v>8</v>
      </c>
      <c r="I42" s="140">
        <v>2</v>
      </c>
      <c r="J42" s="144"/>
      <c r="K42" s="144"/>
      <c r="L42" s="143"/>
      <c r="M42" s="82"/>
      <c r="N42" s="5"/>
      <c r="O42" s="5"/>
      <c r="P42" s="5"/>
      <c r="Q42" s="5"/>
      <c r="R42" s="5"/>
      <c r="S42" s="5"/>
      <c r="T42" s="5"/>
      <c r="U42" s="5"/>
      <c r="V42" s="5"/>
      <c r="W42" s="158"/>
      <c r="X42" s="108"/>
      <c r="Y42" s="78"/>
      <c r="Z42" s="5"/>
      <c r="AA42" s="5"/>
      <c r="AB42" s="5"/>
      <c r="AC42" s="64"/>
      <c r="AD42" s="179"/>
      <c r="AE42" s="67"/>
      <c r="AF42" s="67"/>
      <c r="AG42" s="46"/>
      <c r="AH42" s="46"/>
      <c r="AI42" s="56"/>
      <c r="AJ42" s="56"/>
      <c r="AK42" s="152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/>
      <c r="AX42" s="40"/>
      <c r="AY42" s="40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5" hidden="1" customHeight="1" x14ac:dyDescent="0.25">
      <c r="B43" s="139">
        <v>6</v>
      </c>
      <c r="C43" s="139">
        <v>1</v>
      </c>
      <c r="D43" s="139" t="str">
        <f t="shared" si="0"/>
        <v>SORTING_EAST_B_1_17</v>
      </c>
      <c r="E43" s="139" t="s">
        <v>35</v>
      </c>
      <c r="F43" s="138" t="s">
        <v>45</v>
      </c>
      <c r="G43" s="140" t="s">
        <v>18</v>
      </c>
      <c r="H43" s="140" t="s">
        <v>3</v>
      </c>
      <c r="I43" s="140">
        <v>1</v>
      </c>
      <c r="J43" s="139"/>
      <c r="K43" s="184">
        <f>COUNT(X43:AT43)</f>
        <v>9</v>
      </c>
      <c r="L43" s="141"/>
      <c r="M43" s="42"/>
      <c r="N43" s="46"/>
      <c r="O43" s="46"/>
      <c r="P43" s="46"/>
      <c r="Q43" s="46"/>
      <c r="R43" s="46"/>
      <c r="S43" s="46"/>
      <c r="T43" s="46"/>
      <c r="U43" s="46"/>
      <c r="V43" s="46"/>
      <c r="W43" s="190"/>
      <c r="X43" s="82">
        <v>1</v>
      </c>
      <c r="Y43" s="3">
        <f t="shared" ref="Y43:AN47" si="47">X43+1</f>
        <v>2</v>
      </c>
      <c r="Z43" s="3">
        <f t="shared" si="47"/>
        <v>3</v>
      </c>
      <c r="AA43" s="3">
        <f t="shared" si="47"/>
        <v>4</v>
      </c>
      <c r="AB43" s="3">
        <f t="shared" si="47"/>
        <v>5</v>
      </c>
      <c r="AC43" s="31">
        <f t="shared" si="47"/>
        <v>6</v>
      </c>
      <c r="AD43" s="86">
        <f t="shared" si="47"/>
        <v>7</v>
      </c>
      <c r="AE43" s="3">
        <f t="shared" si="47"/>
        <v>8</v>
      </c>
      <c r="AF43" s="3">
        <f t="shared" si="47"/>
        <v>9</v>
      </c>
      <c r="AG43" s="4"/>
      <c r="AH43" s="4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5" hidden="1" customHeight="1" x14ac:dyDescent="0.25">
      <c r="B44" s="139">
        <v>6</v>
      </c>
      <c r="C44" s="139">
        <v>2</v>
      </c>
      <c r="D44" s="139" t="str">
        <f t="shared" si="0"/>
        <v>TRANSFER_EAST_B_1_17</v>
      </c>
      <c r="E44" s="139" t="s">
        <v>21</v>
      </c>
      <c r="F44" s="138" t="s">
        <v>21</v>
      </c>
      <c r="G44" s="140" t="s">
        <v>18</v>
      </c>
      <c r="H44" s="140" t="s">
        <v>3</v>
      </c>
      <c r="I44" s="140">
        <v>1</v>
      </c>
      <c r="J44" s="139"/>
      <c r="K44" s="184">
        <f>COUNT(X44:AT44)</f>
        <v>11</v>
      </c>
      <c r="L44" s="141"/>
      <c r="M44" s="42"/>
      <c r="N44" s="46"/>
      <c r="O44" s="46"/>
      <c r="P44" s="46"/>
      <c r="Q44" s="46"/>
      <c r="R44" s="46"/>
      <c r="S44" s="46"/>
      <c r="T44" s="46"/>
      <c r="U44" s="46"/>
      <c r="V44" s="46"/>
      <c r="W44" s="190"/>
      <c r="X44" s="8">
        <v>1</v>
      </c>
      <c r="Y44" s="3">
        <f t="shared" si="47"/>
        <v>2</v>
      </c>
      <c r="Z44" s="3">
        <f t="shared" si="47"/>
        <v>3</v>
      </c>
      <c r="AA44" s="3">
        <f t="shared" si="47"/>
        <v>4</v>
      </c>
      <c r="AB44" s="3">
        <f t="shared" si="47"/>
        <v>5</v>
      </c>
      <c r="AC44" s="31">
        <f t="shared" si="47"/>
        <v>6</v>
      </c>
      <c r="AD44" s="86">
        <f t="shared" si="47"/>
        <v>7</v>
      </c>
      <c r="AE44" s="3">
        <f t="shared" si="47"/>
        <v>8</v>
      </c>
      <c r="AF44" s="3">
        <f t="shared" si="47"/>
        <v>9</v>
      </c>
      <c r="AG44" s="3">
        <f t="shared" si="47"/>
        <v>10</v>
      </c>
      <c r="AH44" s="3">
        <f t="shared" si="47"/>
        <v>11</v>
      </c>
      <c r="AI44" s="4"/>
      <c r="AJ44" s="4"/>
      <c r="AK44" s="3"/>
      <c r="AL44" s="3"/>
      <c r="AM44" s="3"/>
      <c r="AN44" s="3"/>
      <c r="AO44" s="3"/>
      <c r="AP44" s="3"/>
      <c r="AQ44" s="3"/>
      <c r="AR44" s="3"/>
      <c r="AS44" s="3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5" customHeight="1" x14ac:dyDescent="0.25">
      <c r="B45" s="139">
        <v>6</v>
      </c>
      <c r="C45" s="139">
        <v>3</v>
      </c>
      <c r="D45" s="139" t="str">
        <f t="shared" si="0"/>
        <v>PREPARE_EAST_B_1_17</v>
      </c>
      <c r="E45" s="139" t="s">
        <v>0</v>
      </c>
      <c r="F45" s="138" t="s">
        <v>46</v>
      </c>
      <c r="G45" s="140" t="s">
        <v>18</v>
      </c>
      <c r="H45" s="140" t="s">
        <v>3</v>
      </c>
      <c r="I45" s="140">
        <v>1</v>
      </c>
      <c r="J45" s="139"/>
      <c r="K45" s="184">
        <f>COUNT(M45:AT45)</f>
        <v>24</v>
      </c>
      <c r="L45" s="141"/>
      <c r="M45" s="82">
        <v>1</v>
      </c>
      <c r="N45" s="5">
        <f t="shared" ref="N45:AA45" si="48">M45+1</f>
        <v>2</v>
      </c>
      <c r="O45" s="5">
        <f t="shared" si="48"/>
        <v>3</v>
      </c>
      <c r="P45" s="5">
        <f t="shared" si="48"/>
        <v>4</v>
      </c>
      <c r="Q45" s="5">
        <f t="shared" si="48"/>
        <v>5</v>
      </c>
      <c r="R45" s="5">
        <f t="shared" si="48"/>
        <v>6</v>
      </c>
      <c r="S45" s="5">
        <f t="shared" si="48"/>
        <v>7</v>
      </c>
      <c r="T45" s="5">
        <f t="shared" si="48"/>
        <v>8</v>
      </c>
      <c r="U45" s="5">
        <f t="shared" si="48"/>
        <v>9</v>
      </c>
      <c r="V45" s="5">
        <f t="shared" si="48"/>
        <v>10</v>
      </c>
      <c r="W45" s="178">
        <f t="shared" si="48"/>
        <v>11</v>
      </c>
      <c r="X45" s="82">
        <f t="shared" si="48"/>
        <v>12</v>
      </c>
      <c r="Y45" s="5">
        <f t="shared" si="48"/>
        <v>13</v>
      </c>
      <c r="Z45" s="5">
        <f t="shared" si="48"/>
        <v>14</v>
      </c>
      <c r="AA45" s="5">
        <f t="shared" si="48"/>
        <v>15</v>
      </c>
      <c r="AB45" s="5">
        <f t="shared" si="47"/>
        <v>16</v>
      </c>
      <c r="AC45" s="64">
        <f t="shared" si="47"/>
        <v>17</v>
      </c>
      <c r="AD45" s="179">
        <f t="shared" si="47"/>
        <v>18</v>
      </c>
      <c r="AE45" s="5">
        <f t="shared" si="47"/>
        <v>19</v>
      </c>
      <c r="AF45" s="5">
        <f t="shared" si="47"/>
        <v>20</v>
      </c>
      <c r="AG45" s="5">
        <f t="shared" si="47"/>
        <v>21</v>
      </c>
      <c r="AH45" s="5">
        <f t="shared" si="47"/>
        <v>22</v>
      </c>
      <c r="AI45" s="5">
        <f t="shared" si="47"/>
        <v>23</v>
      </c>
      <c r="AJ45" s="5">
        <f t="shared" si="47"/>
        <v>24</v>
      </c>
      <c r="AK45" s="152"/>
      <c r="AL45" s="4"/>
      <c r="AM45" s="3"/>
      <c r="AN45" s="3"/>
      <c r="AO45" s="3"/>
      <c r="AP45" s="3"/>
      <c r="AQ45" s="3"/>
      <c r="AR45" s="3"/>
      <c r="AS45" s="3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5" customHeight="1" x14ac:dyDescent="0.25">
      <c r="B46" s="139">
        <v>6</v>
      </c>
      <c r="C46" s="139">
        <v>4</v>
      </c>
      <c r="D46" s="139" t="str">
        <f t="shared" si="0"/>
        <v>SUPPLY_EAST_B_1_17</v>
      </c>
      <c r="E46" s="139" t="s">
        <v>0</v>
      </c>
      <c r="F46" s="142" t="s">
        <v>0</v>
      </c>
      <c r="G46" s="140" t="s">
        <v>18</v>
      </c>
      <c r="H46" s="140" t="s">
        <v>3</v>
      </c>
      <c r="I46" s="140">
        <v>1</v>
      </c>
      <c r="J46" s="141"/>
      <c r="K46" s="184">
        <f>COUNT(AD46:BK46)</f>
        <v>9</v>
      </c>
      <c r="L46" s="141"/>
      <c r="M46" s="42"/>
      <c r="N46" s="46"/>
      <c r="O46" s="46"/>
      <c r="P46" s="46"/>
      <c r="Q46" s="46"/>
      <c r="R46" s="46"/>
      <c r="S46" s="46"/>
      <c r="T46" s="46"/>
      <c r="U46" s="46"/>
      <c r="V46" s="46"/>
      <c r="W46" s="190"/>
      <c r="X46" s="247"/>
      <c r="Y46" s="248"/>
      <c r="Z46" s="46"/>
      <c r="AA46" s="46"/>
      <c r="AB46" s="46"/>
      <c r="AC46" s="57"/>
      <c r="AD46" s="179">
        <v>1</v>
      </c>
      <c r="AE46" s="5">
        <f t="shared" si="47"/>
        <v>2</v>
      </c>
      <c r="AF46" s="5">
        <f t="shared" si="47"/>
        <v>3</v>
      </c>
      <c r="AG46" s="5">
        <f t="shared" si="47"/>
        <v>4</v>
      </c>
      <c r="AH46" s="5">
        <f t="shared" si="47"/>
        <v>5</v>
      </c>
      <c r="AI46" s="5">
        <f t="shared" si="47"/>
        <v>6</v>
      </c>
      <c r="AJ46" s="5">
        <f t="shared" si="47"/>
        <v>7</v>
      </c>
      <c r="AK46" s="5">
        <f t="shared" si="47"/>
        <v>8</v>
      </c>
      <c r="AL46" s="5">
        <f t="shared" si="47"/>
        <v>9</v>
      </c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4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5" customHeight="1" x14ac:dyDescent="0.25">
      <c r="B47" s="139">
        <v>6</v>
      </c>
      <c r="C47" s="140">
        <v>5</v>
      </c>
      <c r="D47" s="139" t="str">
        <f t="shared" si="0"/>
        <v>EMPTY_EAST_B_1_17</v>
      </c>
      <c r="E47" s="140" t="s">
        <v>0</v>
      </c>
      <c r="F47" s="142" t="s">
        <v>32</v>
      </c>
      <c r="G47" s="140" t="s">
        <v>18</v>
      </c>
      <c r="H47" s="140" t="s">
        <v>3</v>
      </c>
      <c r="I47" s="140">
        <v>1</v>
      </c>
      <c r="J47" s="143"/>
      <c r="K47" s="184">
        <f>COUNT(AD47:BG47)</f>
        <v>22</v>
      </c>
      <c r="L47" s="143"/>
      <c r="M47" s="42"/>
      <c r="N47" s="46"/>
      <c r="O47" s="46"/>
      <c r="P47" s="46"/>
      <c r="Q47" s="46"/>
      <c r="R47" s="46"/>
      <c r="S47" s="46"/>
      <c r="T47" s="46"/>
      <c r="U47" s="46"/>
      <c r="V47" s="46"/>
      <c r="W47" s="190"/>
      <c r="X47" s="42"/>
      <c r="Y47" s="46"/>
      <c r="Z47" s="46"/>
      <c r="AA47" s="46"/>
      <c r="AB47" s="46"/>
      <c r="AC47" s="57"/>
      <c r="AD47" s="179">
        <v>1</v>
      </c>
      <c r="AE47" s="5">
        <f t="shared" si="47"/>
        <v>2</v>
      </c>
      <c r="AF47" s="5">
        <f t="shared" si="47"/>
        <v>3</v>
      </c>
      <c r="AG47" s="5">
        <f t="shared" si="47"/>
        <v>4</v>
      </c>
      <c r="AH47" s="5">
        <f t="shared" si="47"/>
        <v>5</v>
      </c>
      <c r="AI47" s="5">
        <f t="shared" si="47"/>
        <v>6</v>
      </c>
      <c r="AJ47" s="5">
        <f t="shared" si="47"/>
        <v>7</v>
      </c>
      <c r="AK47" s="5">
        <f t="shared" si="47"/>
        <v>8</v>
      </c>
      <c r="AL47" s="5">
        <f t="shared" si="47"/>
        <v>9</v>
      </c>
      <c r="AM47" s="5">
        <f t="shared" si="47"/>
        <v>10</v>
      </c>
      <c r="AN47" s="5">
        <f t="shared" si="47"/>
        <v>11</v>
      </c>
      <c r="AO47" s="5">
        <f t="shared" ref="AO47:AY47" si="49">AN47+1</f>
        <v>12</v>
      </c>
      <c r="AP47" s="5">
        <f t="shared" si="49"/>
        <v>13</v>
      </c>
      <c r="AQ47" s="5">
        <f t="shared" si="49"/>
        <v>14</v>
      </c>
      <c r="AR47" s="5">
        <f t="shared" si="49"/>
        <v>15</v>
      </c>
      <c r="AS47" s="5">
        <f t="shared" si="49"/>
        <v>16</v>
      </c>
      <c r="AT47" s="5">
        <f t="shared" si="49"/>
        <v>17</v>
      </c>
      <c r="AU47" s="5">
        <f t="shared" si="49"/>
        <v>18</v>
      </c>
      <c r="AV47" s="5">
        <f t="shared" si="49"/>
        <v>19</v>
      </c>
      <c r="AW47" s="5">
        <f t="shared" si="49"/>
        <v>20</v>
      </c>
      <c r="AX47" s="5">
        <f t="shared" si="49"/>
        <v>21</v>
      </c>
      <c r="AY47" s="5">
        <f t="shared" si="49"/>
        <v>22</v>
      </c>
      <c r="AZ47" s="46"/>
      <c r="BA47" s="4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5" hidden="1" customHeight="1" x14ac:dyDescent="0.25">
      <c r="B48" s="139">
        <v>6</v>
      </c>
      <c r="C48" s="140">
        <v>6</v>
      </c>
      <c r="D48" s="139" t="str">
        <f t="shared" si="0"/>
        <v>COUNTDOWN_EAST_B_1_17</v>
      </c>
      <c r="E48" s="140"/>
      <c r="F48" s="142" t="s">
        <v>33</v>
      </c>
      <c r="G48" s="140" t="s">
        <v>18</v>
      </c>
      <c r="H48" s="140" t="s">
        <v>3</v>
      </c>
      <c r="I48" s="140">
        <v>1</v>
      </c>
      <c r="J48" s="144"/>
      <c r="K48" s="144"/>
      <c r="L48" s="143"/>
      <c r="M48" s="82"/>
      <c r="N48" s="5"/>
      <c r="O48" s="5"/>
      <c r="P48" s="5"/>
      <c r="Q48" s="5"/>
      <c r="R48" s="5"/>
      <c r="S48" s="5"/>
      <c r="T48" s="5"/>
      <c r="U48" s="5"/>
      <c r="V48" s="5"/>
      <c r="W48" s="158"/>
      <c r="X48" s="108"/>
      <c r="Y48" s="78"/>
      <c r="Z48" s="5"/>
      <c r="AA48" s="5"/>
      <c r="AB48" s="5"/>
      <c r="AC48" s="64"/>
      <c r="AD48" s="179"/>
      <c r="AE48" s="5"/>
      <c r="AF48" s="5"/>
      <c r="AG48" s="67"/>
      <c r="AH48" s="67"/>
      <c r="AI48" s="46"/>
      <c r="AJ48" s="46"/>
      <c r="AK48" s="56"/>
      <c r="AL48" s="56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40"/>
      <c r="BA48" s="40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2:97" ht="15" hidden="1" customHeight="1" x14ac:dyDescent="0.25">
      <c r="B49" s="139">
        <v>7</v>
      </c>
      <c r="C49" s="139">
        <v>1</v>
      </c>
      <c r="D49" s="139" t="str">
        <f t="shared" si="0"/>
        <v>SORTING_EAST_E_2_17</v>
      </c>
      <c r="E49" s="139" t="s">
        <v>35</v>
      </c>
      <c r="F49" s="138" t="s">
        <v>45</v>
      </c>
      <c r="G49" s="140" t="s">
        <v>18</v>
      </c>
      <c r="H49" s="140" t="s">
        <v>6</v>
      </c>
      <c r="I49" s="140">
        <v>2</v>
      </c>
      <c r="J49" s="139"/>
      <c r="K49" s="184">
        <f>COUNT(X49:AT49)</f>
        <v>11</v>
      </c>
      <c r="L49" s="141"/>
      <c r="M49" s="42"/>
      <c r="N49" s="46"/>
      <c r="O49" s="46"/>
      <c r="P49" s="46"/>
      <c r="Q49" s="46"/>
      <c r="R49" s="46"/>
      <c r="S49" s="46"/>
      <c r="T49" s="46"/>
      <c r="U49" s="46"/>
      <c r="V49" s="46"/>
      <c r="W49" s="190"/>
      <c r="X49" s="82">
        <v>1</v>
      </c>
      <c r="Y49" s="3">
        <f t="shared" ref="Y49:AN53" si="50">X49+1</f>
        <v>2</v>
      </c>
      <c r="Z49" s="3">
        <f t="shared" si="50"/>
        <v>3</v>
      </c>
      <c r="AA49" s="3">
        <f t="shared" si="50"/>
        <v>4</v>
      </c>
      <c r="AB49" s="3">
        <f t="shared" si="50"/>
        <v>5</v>
      </c>
      <c r="AC49" s="31">
        <f t="shared" si="50"/>
        <v>6</v>
      </c>
      <c r="AD49" s="86">
        <f t="shared" si="50"/>
        <v>7</v>
      </c>
      <c r="AE49" s="3">
        <f t="shared" si="50"/>
        <v>8</v>
      </c>
      <c r="AF49" s="3">
        <f t="shared" si="50"/>
        <v>9</v>
      </c>
      <c r="AG49" s="3">
        <f t="shared" si="50"/>
        <v>10</v>
      </c>
      <c r="AH49" s="3">
        <f t="shared" si="50"/>
        <v>11</v>
      </c>
      <c r="AI49" s="4"/>
      <c r="AJ49" s="4"/>
      <c r="AK49" s="3"/>
      <c r="AL49" s="3"/>
      <c r="AM49" s="3"/>
      <c r="AN49" s="3"/>
      <c r="AO49" s="3"/>
      <c r="AP49" s="3"/>
      <c r="AQ49" s="3"/>
      <c r="AR49" s="3"/>
      <c r="AS49" s="3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2:97" ht="15" hidden="1" customHeight="1" x14ac:dyDescent="0.25">
      <c r="B50" s="139">
        <v>7</v>
      </c>
      <c r="C50" s="139">
        <v>2</v>
      </c>
      <c r="D50" s="139" t="str">
        <f t="shared" si="0"/>
        <v>TRANSFER_EAST_E_2_17</v>
      </c>
      <c r="E50" s="139" t="s">
        <v>21</v>
      </c>
      <c r="F50" s="138" t="s">
        <v>21</v>
      </c>
      <c r="G50" s="140" t="s">
        <v>18</v>
      </c>
      <c r="H50" s="140" t="s">
        <v>6</v>
      </c>
      <c r="I50" s="140">
        <v>2</v>
      </c>
      <c r="J50" s="139"/>
      <c r="K50" s="184">
        <f>COUNT(X50:AT50)</f>
        <v>13</v>
      </c>
      <c r="L50" s="141"/>
      <c r="M50" s="42"/>
      <c r="N50" s="46"/>
      <c r="O50" s="46"/>
      <c r="P50" s="46"/>
      <c r="Q50" s="46"/>
      <c r="R50" s="46"/>
      <c r="S50" s="46"/>
      <c r="T50" s="46"/>
      <c r="U50" s="46"/>
      <c r="V50" s="46"/>
      <c r="W50" s="190"/>
      <c r="X50" s="8">
        <v>1</v>
      </c>
      <c r="Y50" s="3">
        <f t="shared" si="50"/>
        <v>2</v>
      </c>
      <c r="Z50" s="3">
        <f t="shared" si="50"/>
        <v>3</v>
      </c>
      <c r="AA50" s="3">
        <f t="shared" si="50"/>
        <v>4</v>
      </c>
      <c r="AB50" s="3">
        <f t="shared" si="50"/>
        <v>5</v>
      </c>
      <c r="AC50" s="31">
        <f t="shared" si="50"/>
        <v>6</v>
      </c>
      <c r="AD50" s="86">
        <f t="shared" si="50"/>
        <v>7</v>
      </c>
      <c r="AE50" s="3">
        <f t="shared" si="50"/>
        <v>8</v>
      </c>
      <c r="AF50" s="3">
        <f t="shared" si="50"/>
        <v>9</v>
      </c>
      <c r="AG50" s="3">
        <f t="shared" si="50"/>
        <v>10</v>
      </c>
      <c r="AH50" s="3">
        <f t="shared" si="50"/>
        <v>11</v>
      </c>
      <c r="AI50" s="3">
        <f t="shared" si="50"/>
        <v>12</v>
      </c>
      <c r="AJ50" s="3">
        <f t="shared" si="50"/>
        <v>13</v>
      </c>
      <c r="AK50" s="4"/>
      <c r="AL50" s="4"/>
      <c r="AM50" s="3"/>
      <c r="AN50" s="3"/>
      <c r="AO50" s="3"/>
      <c r="AP50" s="3"/>
      <c r="AQ50" s="3"/>
      <c r="AR50" s="3"/>
      <c r="AS50" s="3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2:97" ht="15" customHeight="1" x14ac:dyDescent="0.25">
      <c r="B51" s="139">
        <v>7</v>
      </c>
      <c r="C51" s="139">
        <v>3</v>
      </c>
      <c r="D51" s="139" t="str">
        <f t="shared" si="0"/>
        <v>PREPARE_EAST_E_2_17</v>
      </c>
      <c r="E51" s="139" t="s">
        <v>0</v>
      </c>
      <c r="F51" s="138" t="s">
        <v>46</v>
      </c>
      <c r="G51" s="140" t="s">
        <v>18</v>
      </c>
      <c r="H51" s="140" t="s">
        <v>6</v>
      </c>
      <c r="I51" s="140">
        <v>2</v>
      </c>
      <c r="J51" s="139"/>
      <c r="K51" s="184">
        <f>COUNT(M51:AT51)</f>
        <v>26</v>
      </c>
      <c r="L51" s="141"/>
      <c r="M51" s="82">
        <v>1</v>
      </c>
      <c r="N51" s="5">
        <f t="shared" ref="N51:AA51" si="51">M51+1</f>
        <v>2</v>
      </c>
      <c r="O51" s="5">
        <f t="shared" si="51"/>
        <v>3</v>
      </c>
      <c r="P51" s="5">
        <f t="shared" si="51"/>
        <v>4</v>
      </c>
      <c r="Q51" s="5">
        <f t="shared" si="51"/>
        <v>5</v>
      </c>
      <c r="R51" s="5">
        <f t="shared" si="51"/>
        <v>6</v>
      </c>
      <c r="S51" s="5">
        <f t="shared" si="51"/>
        <v>7</v>
      </c>
      <c r="T51" s="5">
        <f t="shared" si="51"/>
        <v>8</v>
      </c>
      <c r="U51" s="5">
        <f t="shared" si="51"/>
        <v>9</v>
      </c>
      <c r="V51" s="5">
        <f t="shared" si="51"/>
        <v>10</v>
      </c>
      <c r="W51" s="178">
        <f t="shared" si="51"/>
        <v>11</v>
      </c>
      <c r="X51" s="82">
        <f t="shared" si="51"/>
        <v>12</v>
      </c>
      <c r="Y51" s="5">
        <f t="shared" si="51"/>
        <v>13</v>
      </c>
      <c r="Z51" s="5">
        <f t="shared" si="51"/>
        <v>14</v>
      </c>
      <c r="AA51" s="5">
        <f t="shared" si="51"/>
        <v>15</v>
      </c>
      <c r="AB51" s="5">
        <f t="shared" si="50"/>
        <v>16</v>
      </c>
      <c r="AC51" s="64">
        <f t="shared" si="50"/>
        <v>17</v>
      </c>
      <c r="AD51" s="179">
        <f t="shared" si="50"/>
        <v>18</v>
      </c>
      <c r="AE51" s="5">
        <f t="shared" si="50"/>
        <v>19</v>
      </c>
      <c r="AF51" s="5">
        <f t="shared" si="50"/>
        <v>20</v>
      </c>
      <c r="AG51" s="5">
        <f t="shared" si="50"/>
        <v>21</v>
      </c>
      <c r="AH51" s="5">
        <f t="shared" si="50"/>
        <v>22</v>
      </c>
      <c r="AI51" s="5">
        <f t="shared" si="50"/>
        <v>23</v>
      </c>
      <c r="AJ51" s="5">
        <f t="shared" si="50"/>
        <v>24</v>
      </c>
      <c r="AK51" s="5">
        <f t="shared" si="50"/>
        <v>25</v>
      </c>
      <c r="AL51" s="5">
        <f t="shared" si="50"/>
        <v>26</v>
      </c>
      <c r="AM51" s="152"/>
      <c r="AN51" s="4"/>
      <c r="AO51" s="3"/>
      <c r="AP51" s="3"/>
      <c r="AQ51" s="3"/>
      <c r="AR51" s="3"/>
      <c r="AS51" s="3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2:97" ht="15" customHeight="1" x14ac:dyDescent="0.25">
      <c r="B52" s="139">
        <v>7</v>
      </c>
      <c r="C52" s="139">
        <v>4</v>
      </c>
      <c r="D52" s="139" t="str">
        <f t="shared" si="0"/>
        <v>SUPPLY_EAST_E_2_17</v>
      </c>
      <c r="E52" s="139" t="s">
        <v>0</v>
      </c>
      <c r="F52" s="142" t="s">
        <v>0</v>
      </c>
      <c r="G52" s="140" t="s">
        <v>18</v>
      </c>
      <c r="H52" s="140" t="s">
        <v>6</v>
      </c>
      <c r="I52" s="140">
        <v>2</v>
      </c>
      <c r="J52" s="141"/>
      <c r="K52" s="184">
        <f>COUNT(AD52:BK52)</f>
        <v>11</v>
      </c>
      <c r="L52" s="141"/>
      <c r="M52" s="42"/>
      <c r="N52" s="46"/>
      <c r="O52" s="46"/>
      <c r="P52" s="46"/>
      <c r="Q52" s="46"/>
      <c r="R52" s="46"/>
      <c r="S52" s="46"/>
      <c r="T52" s="46"/>
      <c r="U52" s="46"/>
      <c r="V52" s="46"/>
      <c r="W52" s="190"/>
      <c r="X52" s="247"/>
      <c r="Y52" s="248"/>
      <c r="Z52" s="46"/>
      <c r="AA52" s="46"/>
      <c r="AB52" s="46"/>
      <c r="AC52" s="57"/>
      <c r="AD52" s="179">
        <v>1</v>
      </c>
      <c r="AE52" s="5">
        <f t="shared" si="50"/>
        <v>2</v>
      </c>
      <c r="AF52" s="5">
        <f t="shared" si="50"/>
        <v>3</v>
      </c>
      <c r="AG52" s="5">
        <f t="shared" si="50"/>
        <v>4</v>
      </c>
      <c r="AH52" s="5">
        <f t="shared" si="50"/>
        <v>5</v>
      </c>
      <c r="AI52" s="5">
        <f t="shared" si="50"/>
        <v>6</v>
      </c>
      <c r="AJ52" s="5">
        <f t="shared" si="50"/>
        <v>7</v>
      </c>
      <c r="AK52" s="5">
        <f t="shared" si="50"/>
        <v>8</v>
      </c>
      <c r="AL52" s="5">
        <f t="shared" si="50"/>
        <v>9</v>
      </c>
      <c r="AM52" s="5">
        <f t="shared" si="50"/>
        <v>10</v>
      </c>
      <c r="AN52" s="5">
        <f t="shared" si="50"/>
        <v>11</v>
      </c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4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2:97" ht="15" customHeight="1" x14ac:dyDescent="0.25">
      <c r="B53" s="139">
        <v>7</v>
      </c>
      <c r="C53" s="140">
        <v>5</v>
      </c>
      <c r="D53" s="139" t="str">
        <f t="shared" si="0"/>
        <v>EMPTY_EAST_E_2_17</v>
      </c>
      <c r="E53" s="140" t="s">
        <v>0</v>
      </c>
      <c r="F53" s="142" t="s">
        <v>32</v>
      </c>
      <c r="G53" s="140" t="s">
        <v>18</v>
      </c>
      <c r="H53" s="140" t="s">
        <v>6</v>
      </c>
      <c r="I53" s="140">
        <v>2</v>
      </c>
      <c r="J53" s="143"/>
      <c r="K53" s="184">
        <f>COUNT(AD53:BG53)</f>
        <v>24</v>
      </c>
      <c r="L53" s="143"/>
      <c r="M53" s="42"/>
      <c r="N53" s="46"/>
      <c r="O53" s="46"/>
      <c r="P53" s="46"/>
      <c r="Q53" s="46"/>
      <c r="R53" s="46"/>
      <c r="S53" s="46"/>
      <c r="T53" s="46"/>
      <c r="U53" s="46"/>
      <c r="V53" s="46"/>
      <c r="W53" s="190"/>
      <c r="X53" s="42"/>
      <c r="Y53" s="46"/>
      <c r="Z53" s="46"/>
      <c r="AA53" s="46"/>
      <c r="AB53" s="46"/>
      <c r="AC53" s="57"/>
      <c r="AD53" s="179">
        <v>1</v>
      </c>
      <c r="AE53" s="5">
        <f t="shared" si="50"/>
        <v>2</v>
      </c>
      <c r="AF53" s="5">
        <f t="shared" si="50"/>
        <v>3</v>
      </c>
      <c r="AG53" s="5">
        <f t="shared" si="50"/>
        <v>4</v>
      </c>
      <c r="AH53" s="5">
        <f t="shared" si="50"/>
        <v>5</v>
      </c>
      <c r="AI53" s="5">
        <f t="shared" si="50"/>
        <v>6</v>
      </c>
      <c r="AJ53" s="5">
        <f t="shared" si="50"/>
        <v>7</v>
      </c>
      <c r="AK53" s="5">
        <f t="shared" si="50"/>
        <v>8</v>
      </c>
      <c r="AL53" s="5">
        <f t="shared" si="50"/>
        <v>9</v>
      </c>
      <c r="AM53" s="5">
        <f t="shared" si="50"/>
        <v>10</v>
      </c>
      <c r="AN53" s="5">
        <f t="shared" si="50"/>
        <v>11</v>
      </c>
      <c r="AO53" s="5">
        <f t="shared" ref="AO53:BA53" si="52">AN53+1</f>
        <v>12</v>
      </c>
      <c r="AP53" s="5">
        <f t="shared" si="52"/>
        <v>13</v>
      </c>
      <c r="AQ53" s="5">
        <f t="shared" si="52"/>
        <v>14</v>
      </c>
      <c r="AR53" s="5">
        <f t="shared" si="52"/>
        <v>15</v>
      </c>
      <c r="AS53" s="5">
        <f t="shared" si="52"/>
        <v>16</v>
      </c>
      <c r="AT53" s="5">
        <f t="shared" si="52"/>
        <v>17</v>
      </c>
      <c r="AU53" s="5">
        <f t="shared" si="52"/>
        <v>18</v>
      </c>
      <c r="AV53" s="5">
        <f t="shared" si="52"/>
        <v>19</v>
      </c>
      <c r="AW53" s="5">
        <f t="shared" si="52"/>
        <v>20</v>
      </c>
      <c r="AX53" s="5">
        <f t="shared" si="52"/>
        <v>21</v>
      </c>
      <c r="AY53" s="5">
        <f t="shared" si="52"/>
        <v>22</v>
      </c>
      <c r="AZ53" s="5">
        <f t="shared" si="52"/>
        <v>23</v>
      </c>
      <c r="BA53" s="5">
        <f t="shared" si="52"/>
        <v>24</v>
      </c>
      <c r="BB53" s="46"/>
      <c r="BC53" s="4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2:97" ht="15" hidden="1" customHeight="1" x14ac:dyDescent="0.25">
      <c r="B54" s="139">
        <v>7</v>
      </c>
      <c r="C54" s="140">
        <v>6</v>
      </c>
      <c r="D54" s="139" t="str">
        <f t="shared" si="0"/>
        <v>COUNTDOWN_EAST_E_2_17</v>
      </c>
      <c r="E54" s="140"/>
      <c r="F54" s="142" t="s">
        <v>33</v>
      </c>
      <c r="G54" s="140" t="s">
        <v>18</v>
      </c>
      <c r="H54" s="140" t="s">
        <v>6</v>
      </c>
      <c r="I54" s="140">
        <v>2</v>
      </c>
      <c r="J54" s="144"/>
      <c r="K54" s="144"/>
      <c r="L54" s="143"/>
      <c r="M54" s="82"/>
      <c r="N54" s="5"/>
      <c r="O54" s="5"/>
      <c r="P54" s="5"/>
      <c r="Q54" s="5"/>
      <c r="R54" s="5"/>
      <c r="S54" s="5"/>
      <c r="T54" s="5"/>
      <c r="U54" s="5"/>
      <c r="V54" s="5"/>
      <c r="W54" s="158"/>
      <c r="X54" s="108"/>
      <c r="Y54" s="78"/>
      <c r="Z54" s="5"/>
      <c r="AA54" s="5"/>
      <c r="AB54" s="5"/>
      <c r="AC54" s="64"/>
      <c r="AD54" s="179"/>
      <c r="AE54" s="5"/>
      <c r="AF54" s="5"/>
      <c r="AG54" s="5"/>
      <c r="AH54" s="5"/>
      <c r="AI54" s="67"/>
      <c r="AJ54" s="67"/>
      <c r="AK54" s="46"/>
      <c r="AL54" s="46"/>
      <c r="AM54" s="56"/>
      <c r="AN54" s="56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40"/>
      <c r="BC54" s="40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2:97" ht="15" hidden="1" customHeight="1" x14ac:dyDescent="0.25">
      <c r="B55" s="139">
        <v>8</v>
      </c>
      <c r="C55" s="139">
        <v>1</v>
      </c>
      <c r="D55" s="139" t="str">
        <f t="shared" si="0"/>
        <v>SORTING_EAST_D_1_17</v>
      </c>
      <c r="E55" s="139" t="s">
        <v>35</v>
      </c>
      <c r="F55" s="138" t="s">
        <v>45</v>
      </c>
      <c r="G55" s="140" t="s">
        <v>18</v>
      </c>
      <c r="H55" s="140" t="s">
        <v>47</v>
      </c>
      <c r="I55" s="140">
        <v>1</v>
      </c>
      <c r="J55" s="139"/>
      <c r="K55" s="184">
        <f>COUNT(X55:AT55)</f>
        <v>13</v>
      </c>
      <c r="L55" s="141"/>
      <c r="M55" s="42"/>
      <c r="N55" s="46"/>
      <c r="O55" s="46"/>
      <c r="P55" s="46"/>
      <c r="Q55" s="46"/>
      <c r="R55" s="46"/>
      <c r="S55" s="46"/>
      <c r="T55" s="46"/>
      <c r="U55" s="46"/>
      <c r="V55" s="46"/>
      <c r="W55" s="190"/>
      <c r="X55" s="82">
        <v>1</v>
      </c>
      <c r="Y55" s="3">
        <f t="shared" ref="Y55:AN59" si="53">X55+1</f>
        <v>2</v>
      </c>
      <c r="Z55" s="3">
        <f t="shared" si="53"/>
        <v>3</v>
      </c>
      <c r="AA55" s="3">
        <f t="shared" si="53"/>
        <v>4</v>
      </c>
      <c r="AB55" s="3">
        <f t="shared" si="53"/>
        <v>5</v>
      </c>
      <c r="AC55" s="31">
        <f t="shared" si="53"/>
        <v>6</v>
      </c>
      <c r="AD55" s="86">
        <f t="shared" si="53"/>
        <v>7</v>
      </c>
      <c r="AE55" s="3">
        <f t="shared" si="53"/>
        <v>8</v>
      </c>
      <c r="AF55" s="3">
        <f t="shared" si="53"/>
        <v>9</v>
      </c>
      <c r="AG55" s="3">
        <f t="shared" si="53"/>
        <v>10</v>
      </c>
      <c r="AH55" s="3">
        <f t="shared" si="53"/>
        <v>11</v>
      </c>
      <c r="AI55" s="3">
        <f t="shared" si="53"/>
        <v>12</v>
      </c>
      <c r="AJ55" s="3">
        <f t="shared" si="53"/>
        <v>13</v>
      </c>
      <c r="AK55" s="4"/>
      <c r="AL55" s="4"/>
      <c r="AM55" s="3"/>
      <c r="AN55" s="3"/>
      <c r="AO55" s="3"/>
      <c r="AP55" s="3"/>
      <c r="AQ55" s="3"/>
      <c r="AR55" s="3"/>
      <c r="AS55" s="3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2:97" ht="15" hidden="1" customHeight="1" x14ac:dyDescent="0.25">
      <c r="B56" s="139">
        <v>8</v>
      </c>
      <c r="C56" s="139">
        <v>2</v>
      </c>
      <c r="D56" s="139" t="str">
        <f t="shared" si="0"/>
        <v>TRANSFER_EAST_D_1_17</v>
      </c>
      <c r="E56" s="139" t="s">
        <v>21</v>
      </c>
      <c r="F56" s="138" t="s">
        <v>21</v>
      </c>
      <c r="G56" s="140" t="s">
        <v>18</v>
      </c>
      <c r="H56" s="140" t="s">
        <v>47</v>
      </c>
      <c r="I56" s="140">
        <v>1</v>
      </c>
      <c r="J56" s="139"/>
      <c r="K56" s="184">
        <f>COUNT(X56:AT56)</f>
        <v>15</v>
      </c>
      <c r="L56" s="141"/>
      <c r="M56" s="42"/>
      <c r="N56" s="46"/>
      <c r="O56" s="46"/>
      <c r="P56" s="46"/>
      <c r="Q56" s="46"/>
      <c r="R56" s="46"/>
      <c r="S56" s="46"/>
      <c r="T56" s="46"/>
      <c r="U56" s="46"/>
      <c r="V56" s="46"/>
      <c r="W56" s="190"/>
      <c r="X56" s="8">
        <v>1</v>
      </c>
      <c r="Y56" s="3">
        <f t="shared" si="53"/>
        <v>2</v>
      </c>
      <c r="Z56" s="3">
        <f t="shared" si="53"/>
        <v>3</v>
      </c>
      <c r="AA56" s="3">
        <f t="shared" si="53"/>
        <v>4</v>
      </c>
      <c r="AB56" s="3">
        <f t="shared" si="53"/>
        <v>5</v>
      </c>
      <c r="AC56" s="31">
        <f t="shared" si="53"/>
        <v>6</v>
      </c>
      <c r="AD56" s="86">
        <f t="shared" si="53"/>
        <v>7</v>
      </c>
      <c r="AE56" s="3">
        <f t="shared" si="53"/>
        <v>8</v>
      </c>
      <c r="AF56" s="3">
        <f t="shared" si="53"/>
        <v>9</v>
      </c>
      <c r="AG56" s="3">
        <f t="shared" si="53"/>
        <v>10</v>
      </c>
      <c r="AH56" s="3">
        <f t="shared" si="53"/>
        <v>11</v>
      </c>
      <c r="AI56" s="3">
        <f t="shared" si="53"/>
        <v>12</v>
      </c>
      <c r="AJ56" s="3">
        <f t="shared" si="53"/>
        <v>13</v>
      </c>
      <c r="AK56" s="3">
        <f t="shared" si="53"/>
        <v>14</v>
      </c>
      <c r="AL56" s="3">
        <f t="shared" si="53"/>
        <v>15</v>
      </c>
      <c r="AM56" s="4"/>
      <c r="AN56" s="4"/>
      <c r="AO56" s="3"/>
      <c r="AP56" s="3"/>
      <c r="AQ56" s="3"/>
      <c r="AR56" s="3"/>
      <c r="AS56" s="3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2:97" ht="15" customHeight="1" x14ac:dyDescent="0.25">
      <c r="B57" s="139">
        <v>8</v>
      </c>
      <c r="C57" s="139">
        <v>3</v>
      </c>
      <c r="D57" s="139" t="str">
        <f t="shared" si="0"/>
        <v>PREPARE_EAST_D_1_17</v>
      </c>
      <c r="E57" s="139" t="s">
        <v>0</v>
      </c>
      <c r="F57" s="138" t="s">
        <v>46</v>
      </c>
      <c r="G57" s="140" t="s">
        <v>18</v>
      </c>
      <c r="H57" s="140" t="s">
        <v>47</v>
      </c>
      <c r="I57" s="140">
        <v>1</v>
      </c>
      <c r="J57" s="139"/>
      <c r="K57" s="184">
        <f>COUNT(M57:AT57)</f>
        <v>28</v>
      </c>
      <c r="L57" s="141"/>
      <c r="M57" s="82">
        <v>1</v>
      </c>
      <c r="N57" s="5">
        <f t="shared" ref="N57:AA57" si="54">M57+1</f>
        <v>2</v>
      </c>
      <c r="O57" s="5">
        <f t="shared" si="54"/>
        <v>3</v>
      </c>
      <c r="P57" s="5">
        <f t="shared" si="54"/>
        <v>4</v>
      </c>
      <c r="Q57" s="5">
        <f t="shared" si="54"/>
        <v>5</v>
      </c>
      <c r="R57" s="5">
        <f t="shared" si="54"/>
        <v>6</v>
      </c>
      <c r="S57" s="5">
        <f t="shared" si="54"/>
        <v>7</v>
      </c>
      <c r="T57" s="5">
        <f t="shared" si="54"/>
        <v>8</v>
      </c>
      <c r="U57" s="5">
        <f t="shared" si="54"/>
        <v>9</v>
      </c>
      <c r="V57" s="5">
        <f t="shared" si="54"/>
        <v>10</v>
      </c>
      <c r="W57" s="178">
        <f t="shared" si="54"/>
        <v>11</v>
      </c>
      <c r="X57" s="82">
        <f t="shared" si="54"/>
        <v>12</v>
      </c>
      <c r="Y57" s="5">
        <f t="shared" si="54"/>
        <v>13</v>
      </c>
      <c r="Z57" s="5">
        <f t="shared" si="54"/>
        <v>14</v>
      </c>
      <c r="AA57" s="5">
        <f t="shared" si="54"/>
        <v>15</v>
      </c>
      <c r="AB57" s="5">
        <f t="shared" si="53"/>
        <v>16</v>
      </c>
      <c r="AC57" s="64">
        <f t="shared" si="53"/>
        <v>17</v>
      </c>
      <c r="AD57" s="179">
        <f t="shared" si="53"/>
        <v>18</v>
      </c>
      <c r="AE57" s="5">
        <f t="shared" si="53"/>
        <v>19</v>
      </c>
      <c r="AF57" s="5">
        <f t="shared" si="53"/>
        <v>20</v>
      </c>
      <c r="AG57" s="5">
        <f t="shared" si="53"/>
        <v>21</v>
      </c>
      <c r="AH57" s="5">
        <f t="shared" si="53"/>
        <v>22</v>
      </c>
      <c r="AI57" s="5">
        <f t="shared" si="53"/>
        <v>23</v>
      </c>
      <c r="AJ57" s="5">
        <f t="shared" si="53"/>
        <v>24</v>
      </c>
      <c r="AK57" s="5">
        <f t="shared" si="53"/>
        <v>25</v>
      </c>
      <c r="AL57" s="5">
        <f>AK57+1</f>
        <v>26</v>
      </c>
      <c r="AM57" s="5">
        <f t="shared" ref="AM57:BB59" si="55">AL57+1</f>
        <v>27</v>
      </c>
      <c r="AN57" s="5">
        <f t="shared" si="55"/>
        <v>28</v>
      </c>
      <c r="AO57" s="152"/>
      <c r="AP57" s="4"/>
      <c r="AQ57" s="3"/>
      <c r="AR57" s="3"/>
      <c r="AS57" s="3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2:97" ht="15" customHeight="1" x14ac:dyDescent="0.25">
      <c r="B58" s="139">
        <v>8</v>
      </c>
      <c r="C58" s="139">
        <v>4</v>
      </c>
      <c r="D58" s="139" t="str">
        <f t="shared" si="0"/>
        <v>SUPPLY_EAST_D_1_17</v>
      </c>
      <c r="E58" s="139" t="s">
        <v>0</v>
      </c>
      <c r="F58" s="142" t="s">
        <v>0</v>
      </c>
      <c r="G58" s="140" t="s">
        <v>18</v>
      </c>
      <c r="H58" s="140" t="s">
        <v>47</v>
      </c>
      <c r="I58" s="140">
        <v>1</v>
      </c>
      <c r="J58" s="141"/>
      <c r="K58" s="184">
        <f>COUNT(AD58:BK58)</f>
        <v>13</v>
      </c>
      <c r="L58" s="141"/>
      <c r="M58" s="42"/>
      <c r="N58" s="46"/>
      <c r="O58" s="46"/>
      <c r="P58" s="46"/>
      <c r="Q58" s="46"/>
      <c r="R58" s="46"/>
      <c r="S58" s="46"/>
      <c r="T58" s="46"/>
      <c r="U58" s="46"/>
      <c r="V58" s="46"/>
      <c r="W58" s="190"/>
      <c r="X58" s="247"/>
      <c r="Y58" s="248"/>
      <c r="Z58" s="46"/>
      <c r="AA58" s="46"/>
      <c r="AB58" s="46"/>
      <c r="AC58" s="57"/>
      <c r="AD58" s="179">
        <v>1</v>
      </c>
      <c r="AE58" s="5">
        <f t="shared" si="53"/>
        <v>2</v>
      </c>
      <c r="AF58" s="5">
        <f t="shared" si="53"/>
        <v>3</v>
      </c>
      <c r="AG58" s="5">
        <f t="shared" si="53"/>
        <v>4</v>
      </c>
      <c r="AH58" s="5">
        <f t="shared" si="53"/>
        <v>5</v>
      </c>
      <c r="AI58" s="5">
        <f t="shared" si="53"/>
        <v>6</v>
      </c>
      <c r="AJ58" s="5">
        <f t="shared" si="53"/>
        <v>7</v>
      </c>
      <c r="AK58" s="5">
        <f t="shared" si="53"/>
        <v>8</v>
      </c>
      <c r="AL58" s="5">
        <f t="shared" si="53"/>
        <v>9</v>
      </c>
      <c r="AM58" s="5">
        <f t="shared" si="55"/>
        <v>10</v>
      </c>
      <c r="AN58" s="5">
        <f t="shared" si="55"/>
        <v>11</v>
      </c>
      <c r="AO58" s="5">
        <f t="shared" si="55"/>
        <v>12</v>
      </c>
      <c r="AP58" s="5">
        <f t="shared" si="55"/>
        <v>13</v>
      </c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4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2:97" ht="15" customHeight="1" x14ac:dyDescent="0.25">
      <c r="B59" s="139">
        <v>8</v>
      </c>
      <c r="C59" s="140">
        <v>5</v>
      </c>
      <c r="D59" s="139" t="str">
        <f t="shared" si="0"/>
        <v>EMPTY_EAST_D_1_17</v>
      </c>
      <c r="E59" s="140" t="s">
        <v>0</v>
      </c>
      <c r="F59" s="142" t="s">
        <v>32</v>
      </c>
      <c r="G59" s="140" t="s">
        <v>18</v>
      </c>
      <c r="H59" s="140" t="s">
        <v>47</v>
      </c>
      <c r="I59" s="140">
        <v>1</v>
      </c>
      <c r="J59" s="143"/>
      <c r="K59" s="184">
        <f>COUNT(AD59:BG59)</f>
        <v>26</v>
      </c>
      <c r="L59" s="143"/>
      <c r="M59" s="42"/>
      <c r="N59" s="46"/>
      <c r="O59" s="46"/>
      <c r="P59" s="46"/>
      <c r="Q59" s="46"/>
      <c r="R59" s="46"/>
      <c r="S59" s="46"/>
      <c r="T59" s="46"/>
      <c r="U59" s="46"/>
      <c r="V59" s="46"/>
      <c r="W59" s="190"/>
      <c r="X59" s="42"/>
      <c r="Y59" s="46"/>
      <c r="Z59" s="46"/>
      <c r="AA59" s="46"/>
      <c r="AB59" s="46"/>
      <c r="AC59" s="57"/>
      <c r="AD59" s="179">
        <v>1</v>
      </c>
      <c r="AE59" s="5">
        <f t="shared" si="53"/>
        <v>2</v>
      </c>
      <c r="AF59" s="5">
        <f t="shared" si="53"/>
        <v>3</v>
      </c>
      <c r="AG59" s="5">
        <f t="shared" si="53"/>
        <v>4</v>
      </c>
      <c r="AH59" s="5">
        <f t="shared" si="53"/>
        <v>5</v>
      </c>
      <c r="AI59" s="5">
        <f t="shared" si="53"/>
        <v>6</v>
      </c>
      <c r="AJ59" s="5">
        <f t="shared" si="53"/>
        <v>7</v>
      </c>
      <c r="AK59" s="5">
        <f t="shared" si="53"/>
        <v>8</v>
      </c>
      <c r="AL59" s="5">
        <f t="shared" si="53"/>
        <v>9</v>
      </c>
      <c r="AM59" s="5">
        <f t="shared" si="53"/>
        <v>10</v>
      </c>
      <c r="AN59" s="5">
        <f t="shared" si="53"/>
        <v>11</v>
      </c>
      <c r="AO59" s="5">
        <f t="shared" si="55"/>
        <v>12</v>
      </c>
      <c r="AP59" s="5">
        <f t="shared" si="55"/>
        <v>13</v>
      </c>
      <c r="AQ59" s="5">
        <f t="shared" si="55"/>
        <v>14</v>
      </c>
      <c r="AR59" s="5">
        <f t="shared" si="55"/>
        <v>15</v>
      </c>
      <c r="AS59" s="5">
        <f t="shared" si="55"/>
        <v>16</v>
      </c>
      <c r="AT59" s="5">
        <f t="shared" si="55"/>
        <v>17</v>
      </c>
      <c r="AU59" s="5">
        <f t="shared" si="55"/>
        <v>18</v>
      </c>
      <c r="AV59" s="5">
        <f t="shared" si="55"/>
        <v>19</v>
      </c>
      <c r="AW59" s="5">
        <f t="shared" si="55"/>
        <v>20</v>
      </c>
      <c r="AX59" s="5">
        <f t="shared" si="55"/>
        <v>21</v>
      </c>
      <c r="AY59" s="5">
        <f t="shared" si="55"/>
        <v>22</v>
      </c>
      <c r="AZ59" s="5">
        <f t="shared" si="55"/>
        <v>23</v>
      </c>
      <c r="BA59" s="5">
        <f t="shared" si="55"/>
        <v>24</v>
      </c>
      <c r="BB59" s="5">
        <f t="shared" si="55"/>
        <v>25</v>
      </c>
      <c r="BC59" s="5">
        <f t="shared" ref="BC59" si="56">BB59+1</f>
        <v>26</v>
      </c>
      <c r="BD59" s="46"/>
      <c r="BE59" s="152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2:97" ht="15" hidden="1" customHeight="1" x14ac:dyDescent="0.25">
      <c r="B60" s="139">
        <v>8</v>
      </c>
      <c r="C60" s="140">
        <v>6</v>
      </c>
      <c r="D60" s="139" t="str">
        <f t="shared" si="0"/>
        <v>COUNTDOWN_EAST_D_1_17</v>
      </c>
      <c r="E60" s="140"/>
      <c r="F60" s="142" t="s">
        <v>33</v>
      </c>
      <c r="G60" s="140" t="s">
        <v>18</v>
      </c>
      <c r="H60" s="140" t="s">
        <v>47</v>
      </c>
      <c r="I60" s="140">
        <v>1</v>
      </c>
      <c r="J60" s="144"/>
      <c r="K60" s="144"/>
      <c r="L60" s="143"/>
      <c r="M60" s="82"/>
      <c r="N60" s="5"/>
      <c r="O60" s="5"/>
      <c r="P60" s="5"/>
      <c r="Q60" s="5"/>
      <c r="R60" s="5"/>
      <c r="S60" s="5"/>
      <c r="T60" s="5"/>
      <c r="U60" s="5"/>
      <c r="V60" s="5"/>
      <c r="W60" s="158"/>
      <c r="X60" s="108"/>
      <c r="Y60" s="78"/>
      <c r="Z60" s="5"/>
      <c r="AA60" s="5"/>
      <c r="AB60" s="5"/>
      <c r="AC60" s="64"/>
      <c r="AD60" s="179"/>
      <c r="AE60" s="5"/>
      <c r="AF60" s="5"/>
      <c r="AG60" s="5"/>
      <c r="AH60" s="5"/>
      <c r="AI60" s="5"/>
      <c r="AJ60" s="5"/>
      <c r="AK60" s="67"/>
      <c r="AL60" s="67"/>
      <c r="AM60" s="46"/>
      <c r="AN60" s="46"/>
      <c r="AO60" s="56"/>
      <c r="AP60" s="56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40"/>
      <c r="BE60" s="40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2:97" ht="15" hidden="1" customHeight="1" x14ac:dyDescent="0.25">
      <c r="B61" s="139">
        <v>10</v>
      </c>
      <c r="C61" s="139">
        <v>1</v>
      </c>
      <c r="D61" s="139" t="str">
        <f t="shared" si="0"/>
        <v>SORTING_EAST_K_2_17</v>
      </c>
      <c r="E61" s="139" t="s">
        <v>35</v>
      </c>
      <c r="F61" s="138" t="s">
        <v>45</v>
      </c>
      <c r="G61" s="140" t="s">
        <v>18</v>
      </c>
      <c r="H61" s="140" t="s">
        <v>12</v>
      </c>
      <c r="I61" s="140">
        <v>2</v>
      </c>
      <c r="J61" s="139"/>
      <c r="K61" s="184">
        <f>COUNT(X61:AT61)</f>
        <v>15</v>
      </c>
      <c r="L61" s="141"/>
      <c r="M61" s="42"/>
      <c r="N61" s="46"/>
      <c r="O61" s="46"/>
      <c r="P61" s="46"/>
      <c r="Q61" s="46"/>
      <c r="R61" s="46"/>
      <c r="S61" s="46"/>
      <c r="T61" s="46"/>
      <c r="U61" s="46"/>
      <c r="V61" s="46"/>
      <c r="W61" s="190"/>
      <c r="X61" s="82">
        <v>1</v>
      </c>
      <c r="Y61" s="3">
        <f t="shared" ref="Y61:AN65" si="57">X61+1</f>
        <v>2</v>
      </c>
      <c r="Z61" s="3">
        <f t="shared" si="57"/>
        <v>3</v>
      </c>
      <c r="AA61" s="3">
        <f t="shared" si="57"/>
        <v>4</v>
      </c>
      <c r="AB61" s="3">
        <f t="shared" si="57"/>
        <v>5</v>
      </c>
      <c r="AC61" s="31">
        <f t="shared" si="57"/>
        <v>6</v>
      </c>
      <c r="AD61" s="86">
        <f t="shared" si="57"/>
        <v>7</v>
      </c>
      <c r="AE61" s="3">
        <f t="shared" si="57"/>
        <v>8</v>
      </c>
      <c r="AF61" s="3">
        <f t="shared" si="57"/>
        <v>9</v>
      </c>
      <c r="AG61" s="3">
        <f t="shared" si="57"/>
        <v>10</v>
      </c>
      <c r="AH61" s="3">
        <f t="shared" si="57"/>
        <v>11</v>
      </c>
      <c r="AI61" s="3">
        <f t="shared" si="57"/>
        <v>12</v>
      </c>
      <c r="AJ61" s="3">
        <f t="shared" si="57"/>
        <v>13</v>
      </c>
      <c r="AK61" s="3">
        <f t="shared" si="57"/>
        <v>14</v>
      </c>
      <c r="AL61" s="3">
        <f t="shared" si="57"/>
        <v>15</v>
      </c>
      <c r="AM61" s="4"/>
      <c r="AN61" s="4"/>
      <c r="AO61" s="3"/>
      <c r="AP61" s="3"/>
      <c r="AQ61" s="3"/>
      <c r="AR61" s="3"/>
      <c r="AS61" s="3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2:97" ht="15" hidden="1" customHeight="1" x14ac:dyDescent="0.25">
      <c r="B62" s="139">
        <v>10</v>
      </c>
      <c r="C62" s="139">
        <v>2</v>
      </c>
      <c r="D62" s="139" t="str">
        <f t="shared" si="0"/>
        <v>TRANSFER_EAST_K_2_17</v>
      </c>
      <c r="E62" s="139" t="s">
        <v>21</v>
      </c>
      <c r="F62" s="138" t="s">
        <v>21</v>
      </c>
      <c r="G62" s="140" t="s">
        <v>18</v>
      </c>
      <c r="H62" s="140" t="s">
        <v>12</v>
      </c>
      <c r="I62" s="140">
        <v>2</v>
      </c>
      <c r="J62" s="139"/>
      <c r="K62" s="184">
        <f>COUNT(X62:AT62)</f>
        <v>17</v>
      </c>
      <c r="L62" s="141"/>
      <c r="M62" s="42"/>
      <c r="N62" s="46"/>
      <c r="O62" s="46"/>
      <c r="P62" s="46"/>
      <c r="Q62" s="46"/>
      <c r="R62" s="46"/>
      <c r="S62" s="46"/>
      <c r="T62" s="46"/>
      <c r="U62" s="46"/>
      <c r="V62" s="46"/>
      <c r="W62" s="190"/>
      <c r="X62" s="8">
        <v>1</v>
      </c>
      <c r="Y62" s="3">
        <f t="shared" si="57"/>
        <v>2</v>
      </c>
      <c r="Z62" s="3">
        <f t="shared" si="57"/>
        <v>3</v>
      </c>
      <c r="AA62" s="3">
        <f t="shared" si="57"/>
        <v>4</v>
      </c>
      <c r="AB62" s="3">
        <f t="shared" si="57"/>
        <v>5</v>
      </c>
      <c r="AC62" s="31">
        <f t="shared" si="57"/>
        <v>6</v>
      </c>
      <c r="AD62" s="86">
        <f t="shared" si="57"/>
        <v>7</v>
      </c>
      <c r="AE62" s="3">
        <f t="shared" si="57"/>
        <v>8</v>
      </c>
      <c r="AF62" s="3">
        <f t="shared" si="57"/>
        <v>9</v>
      </c>
      <c r="AG62" s="3">
        <f t="shared" si="57"/>
        <v>10</v>
      </c>
      <c r="AH62" s="3">
        <f t="shared" si="57"/>
        <v>11</v>
      </c>
      <c r="AI62" s="3">
        <f t="shared" si="57"/>
        <v>12</v>
      </c>
      <c r="AJ62" s="3">
        <f t="shared" si="57"/>
        <v>13</v>
      </c>
      <c r="AK62" s="3">
        <f t="shared" si="57"/>
        <v>14</v>
      </c>
      <c r="AL62" s="3">
        <f t="shared" si="57"/>
        <v>15</v>
      </c>
      <c r="AM62" s="3">
        <f t="shared" si="57"/>
        <v>16</v>
      </c>
      <c r="AN62" s="3">
        <f t="shared" si="57"/>
        <v>17</v>
      </c>
      <c r="AO62" s="152"/>
      <c r="AP62" s="152"/>
      <c r="AQ62" s="3"/>
      <c r="AR62" s="3"/>
      <c r="AS62" s="3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2:97" ht="15" customHeight="1" x14ac:dyDescent="0.25">
      <c r="B63" s="139">
        <v>10</v>
      </c>
      <c r="C63" s="139">
        <v>3</v>
      </c>
      <c r="D63" s="139" t="str">
        <f t="shared" si="0"/>
        <v>PREPARE_EAST_K_2_17</v>
      </c>
      <c r="E63" s="139" t="s">
        <v>0</v>
      </c>
      <c r="F63" s="138" t="s">
        <v>46</v>
      </c>
      <c r="G63" s="140" t="s">
        <v>18</v>
      </c>
      <c r="H63" s="140" t="s">
        <v>12</v>
      </c>
      <c r="I63" s="140">
        <v>2</v>
      </c>
      <c r="J63" s="139"/>
      <c r="K63" s="184">
        <f>COUNT(M63:AT63)</f>
        <v>30</v>
      </c>
      <c r="L63" s="141"/>
      <c r="M63" s="82">
        <v>1</v>
      </c>
      <c r="N63" s="5">
        <f t="shared" ref="N63:AA63" si="58">M63+1</f>
        <v>2</v>
      </c>
      <c r="O63" s="5">
        <f t="shared" si="58"/>
        <v>3</v>
      </c>
      <c r="P63" s="5">
        <f t="shared" si="58"/>
        <v>4</v>
      </c>
      <c r="Q63" s="5">
        <f t="shared" si="58"/>
        <v>5</v>
      </c>
      <c r="R63" s="5">
        <f t="shared" si="58"/>
        <v>6</v>
      </c>
      <c r="S63" s="5">
        <f t="shared" si="58"/>
        <v>7</v>
      </c>
      <c r="T63" s="5">
        <f t="shared" si="58"/>
        <v>8</v>
      </c>
      <c r="U63" s="5">
        <f t="shared" si="58"/>
        <v>9</v>
      </c>
      <c r="V63" s="5">
        <f t="shared" si="58"/>
        <v>10</v>
      </c>
      <c r="W63" s="178">
        <f t="shared" si="58"/>
        <v>11</v>
      </c>
      <c r="X63" s="82">
        <f t="shared" si="58"/>
        <v>12</v>
      </c>
      <c r="Y63" s="5">
        <f t="shared" si="58"/>
        <v>13</v>
      </c>
      <c r="Z63" s="5">
        <f t="shared" si="58"/>
        <v>14</v>
      </c>
      <c r="AA63" s="5">
        <f t="shared" si="58"/>
        <v>15</v>
      </c>
      <c r="AB63" s="5">
        <f t="shared" si="57"/>
        <v>16</v>
      </c>
      <c r="AC63" s="64">
        <f t="shared" si="57"/>
        <v>17</v>
      </c>
      <c r="AD63" s="179">
        <f t="shared" si="57"/>
        <v>18</v>
      </c>
      <c r="AE63" s="5">
        <f t="shared" si="57"/>
        <v>19</v>
      </c>
      <c r="AF63" s="5">
        <f t="shared" si="57"/>
        <v>20</v>
      </c>
      <c r="AG63" s="5">
        <f t="shared" si="57"/>
        <v>21</v>
      </c>
      <c r="AH63" s="5">
        <f t="shared" si="57"/>
        <v>22</v>
      </c>
      <c r="AI63" s="5">
        <f t="shared" si="57"/>
        <v>23</v>
      </c>
      <c r="AJ63" s="5">
        <f t="shared" si="57"/>
        <v>24</v>
      </c>
      <c r="AK63" s="5">
        <f t="shared" si="57"/>
        <v>25</v>
      </c>
      <c r="AL63" s="5">
        <f t="shared" si="57"/>
        <v>26</v>
      </c>
      <c r="AM63" s="5">
        <f t="shared" si="57"/>
        <v>27</v>
      </c>
      <c r="AN63" s="5">
        <f t="shared" si="57"/>
        <v>28</v>
      </c>
      <c r="AO63" s="5">
        <f t="shared" ref="AO63:BD65" si="59">AN63+1</f>
        <v>29</v>
      </c>
      <c r="AP63" s="5">
        <f t="shared" si="59"/>
        <v>30</v>
      </c>
      <c r="AQ63" s="152"/>
      <c r="AR63" s="152"/>
      <c r="AS63" s="3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2:97" ht="15" customHeight="1" x14ac:dyDescent="0.25">
      <c r="B64" s="139">
        <v>10</v>
      </c>
      <c r="C64" s="139">
        <v>4</v>
      </c>
      <c r="D64" s="139" t="str">
        <f t="shared" si="0"/>
        <v>SUPPLY_EAST_K_2_17</v>
      </c>
      <c r="E64" s="139" t="s">
        <v>0</v>
      </c>
      <c r="F64" s="142" t="s">
        <v>0</v>
      </c>
      <c r="G64" s="140" t="s">
        <v>18</v>
      </c>
      <c r="H64" s="140" t="s">
        <v>12</v>
      </c>
      <c r="I64" s="140">
        <v>2</v>
      </c>
      <c r="J64" s="141"/>
      <c r="K64" s="184">
        <f>COUNT(AD64:BK64)</f>
        <v>15</v>
      </c>
      <c r="L64" s="141"/>
      <c r="M64" s="42"/>
      <c r="N64" s="46"/>
      <c r="O64" s="46"/>
      <c r="P64" s="46"/>
      <c r="Q64" s="46"/>
      <c r="R64" s="46"/>
      <c r="S64" s="46"/>
      <c r="T64" s="46"/>
      <c r="U64" s="46"/>
      <c r="V64" s="46"/>
      <c r="W64" s="190"/>
      <c r="X64" s="247"/>
      <c r="Y64" s="248"/>
      <c r="Z64" s="46"/>
      <c r="AA64" s="46"/>
      <c r="AB64" s="46"/>
      <c r="AC64" s="57"/>
      <c r="AD64" s="179">
        <v>1</v>
      </c>
      <c r="AE64" s="5">
        <f t="shared" si="57"/>
        <v>2</v>
      </c>
      <c r="AF64" s="5">
        <f t="shared" si="57"/>
        <v>3</v>
      </c>
      <c r="AG64" s="5">
        <f t="shared" si="57"/>
        <v>4</v>
      </c>
      <c r="AH64" s="5">
        <f t="shared" si="57"/>
        <v>5</v>
      </c>
      <c r="AI64" s="5">
        <f t="shared" si="57"/>
        <v>6</v>
      </c>
      <c r="AJ64" s="5">
        <f t="shared" si="57"/>
        <v>7</v>
      </c>
      <c r="AK64" s="5">
        <f t="shared" si="57"/>
        <v>8</v>
      </c>
      <c r="AL64" s="5">
        <f t="shared" si="57"/>
        <v>9</v>
      </c>
      <c r="AM64" s="5">
        <f t="shared" si="57"/>
        <v>10</v>
      </c>
      <c r="AN64" s="5">
        <f t="shared" si="57"/>
        <v>11</v>
      </c>
      <c r="AO64" s="5">
        <f t="shared" si="59"/>
        <v>12</v>
      </c>
      <c r="AP64" s="5">
        <f t="shared" si="59"/>
        <v>13</v>
      </c>
      <c r="AQ64" s="5">
        <f t="shared" si="59"/>
        <v>14</v>
      </c>
      <c r="AR64" s="5">
        <f t="shared" si="59"/>
        <v>15</v>
      </c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4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5" customHeight="1" x14ac:dyDescent="0.25">
      <c r="B65" s="139">
        <v>10</v>
      </c>
      <c r="C65" s="140">
        <v>5</v>
      </c>
      <c r="D65" s="139" t="str">
        <f t="shared" si="0"/>
        <v>EMPTY_EAST_K_2_17</v>
      </c>
      <c r="E65" s="140" t="s">
        <v>0</v>
      </c>
      <c r="F65" s="142" t="s">
        <v>32</v>
      </c>
      <c r="G65" s="140" t="s">
        <v>18</v>
      </c>
      <c r="H65" s="140" t="s">
        <v>12</v>
      </c>
      <c r="I65" s="140">
        <v>2</v>
      </c>
      <c r="J65" s="143"/>
      <c r="K65" s="184">
        <f>COUNT(AD65:BG65)</f>
        <v>28</v>
      </c>
      <c r="L65" s="143"/>
      <c r="M65" s="42"/>
      <c r="N65" s="46"/>
      <c r="O65" s="46"/>
      <c r="P65" s="46"/>
      <c r="Q65" s="46"/>
      <c r="R65" s="46"/>
      <c r="S65" s="46"/>
      <c r="T65" s="46"/>
      <c r="U65" s="46"/>
      <c r="V65" s="46"/>
      <c r="W65" s="190"/>
      <c r="X65" s="42"/>
      <c r="Y65" s="46"/>
      <c r="Z65" s="46"/>
      <c r="AA65" s="46"/>
      <c r="AB65" s="46"/>
      <c r="AC65" s="57"/>
      <c r="AD65" s="179">
        <v>1</v>
      </c>
      <c r="AE65" s="5">
        <f t="shared" si="57"/>
        <v>2</v>
      </c>
      <c r="AF65" s="5">
        <f t="shared" si="57"/>
        <v>3</v>
      </c>
      <c r="AG65" s="5">
        <f t="shared" si="57"/>
        <v>4</v>
      </c>
      <c r="AH65" s="5">
        <f t="shared" si="57"/>
        <v>5</v>
      </c>
      <c r="AI65" s="5">
        <f t="shared" si="57"/>
        <v>6</v>
      </c>
      <c r="AJ65" s="5">
        <f t="shared" si="57"/>
        <v>7</v>
      </c>
      <c r="AK65" s="5">
        <f t="shared" si="57"/>
        <v>8</v>
      </c>
      <c r="AL65" s="5">
        <f t="shared" si="57"/>
        <v>9</v>
      </c>
      <c r="AM65" s="5">
        <f t="shared" si="57"/>
        <v>10</v>
      </c>
      <c r="AN65" s="5">
        <f t="shared" si="57"/>
        <v>11</v>
      </c>
      <c r="AO65" s="5">
        <f t="shared" si="59"/>
        <v>12</v>
      </c>
      <c r="AP65" s="5">
        <f t="shared" si="59"/>
        <v>13</v>
      </c>
      <c r="AQ65" s="5">
        <f t="shared" si="59"/>
        <v>14</v>
      </c>
      <c r="AR65" s="5">
        <f t="shared" si="59"/>
        <v>15</v>
      </c>
      <c r="AS65" s="5">
        <f t="shared" si="59"/>
        <v>16</v>
      </c>
      <c r="AT65" s="5">
        <f t="shared" si="59"/>
        <v>17</v>
      </c>
      <c r="AU65" s="5">
        <f t="shared" si="59"/>
        <v>18</v>
      </c>
      <c r="AV65" s="5">
        <f t="shared" si="59"/>
        <v>19</v>
      </c>
      <c r="AW65" s="5">
        <f t="shared" si="59"/>
        <v>20</v>
      </c>
      <c r="AX65" s="5">
        <f t="shared" si="59"/>
        <v>21</v>
      </c>
      <c r="AY65" s="5">
        <f t="shared" si="59"/>
        <v>22</v>
      </c>
      <c r="AZ65" s="5">
        <f t="shared" si="59"/>
        <v>23</v>
      </c>
      <c r="BA65" s="5">
        <f t="shared" si="59"/>
        <v>24</v>
      </c>
      <c r="BB65" s="5">
        <f t="shared" si="59"/>
        <v>25</v>
      </c>
      <c r="BC65" s="5">
        <f t="shared" si="59"/>
        <v>26</v>
      </c>
      <c r="BD65" s="5">
        <f t="shared" si="59"/>
        <v>27</v>
      </c>
      <c r="BE65" s="5">
        <f t="shared" ref="BE65" si="60">BD65+1</f>
        <v>28</v>
      </c>
      <c r="BF65" s="46"/>
      <c r="BG65" s="152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5" hidden="1" customHeight="1" x14ac:dyDescent="0.25">
      <c r="B66" s="139">
        <v>10</v>
      </c>
      <c r="C66" s="140">
        <v>6</v>
      </c>
      <c r="D66" s="139" t="str">
        <f t="shared" si="0"/>
        <v>COUNTDOWN_EAST_K_2_17</v>
      </c>
      <c r="E66" s="140"/>
      <c r="F66" s="142" t="s">
        <v>33</v>
      </c>
      <c r="G66" s="140" t="s">
        <v>18</v>
      </c>
      <c r="H66" s="140" t="s">
        <v>12</v>
      </c>
      <c r="I66" s="140">
        <v>2</v>
      </c>
      <c r="J66" s="144"/>
      <c r="K66" s="144"/>
      <c r="L66" s="143"/>
      <c r="M66" s="82"/>
      <c r="N66" s="5"/>
      <c r="O66" s="5"/>
      <c r="P66" s="5"/>
      <c r="Q66" s="5"/>
      <c r="R66" s="5"/>
      <c r="S66" s="5"/>
      <c r="T66" s="5"/>
      <c r="U66" s="5"/>
      <c r="V66" s="5"/>
      <c r="W66" s="178"/>
      <c r="X66" s="82"/>
      <c r="Y66" s="5"/>
      <c r="Z66" s="5"/>
      <c r="AA66" s="5"/>
      <c r="AB66" s="5"/>
      <c r="AC66" s="64"/>
      <c r="AD66" s="179"/>
      <c r="AE66" s="5"/>
      <c r="AF66" s="5"/>
      <c r="AG66" s="5"/>
      <c r="AH66" s="5"/>
      <c r="AI66" s="5"/>
      <c r="AJ66" s="5"/>
      <c r="AK66" s="5"/>
      <c r="AL66" s="5"/>
      <c r="AM66" s="6"/>
      <c r="AN66" s="6"/>
      <c r="AO66" s="46"/>
      <c r="AP66" s="46"/>
      <c r="AQ66" s="56"/>
      <c r="AR66" s="56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40"/>
      <c r="BG66" s="40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5" hidden="1" customHeight="1" x14ac:dyDescent="0.25">
      <c r="B67" s="139">
        <v>11</v>
      </c>
      <c r="C67" s="139">
        <v>1</v>
      </c>
      <c r="D67" s="139" t="str">
        <f t="shared" si="0"/>
        <v>SORTING_WEST_H_1_17</v>
      </c>
      <c r="E67" s="139" t="s">
        <v>35</v>
      </c>
      <c r="F67" s="138" t="s">
        <v>45</v>
      </c>
      <c r="G67" s="140" t="s">
        <v>19</v>
      </c>
      <c r="H67" s="140" t="s">
        <v>9</v>
      </c>
      <c r="I67" s="140">
        <v>1</v>
      </c>
      <c r="J67" s="139"/>
      <c r="K67" s="184">
        <f>COUNT(X67:AT67)</f>
        <v>0</v>
      </c>
      <c r="L67" s="141"/>
      <c r="M67" s="42"/>
      <c r="N67" s="46"/>
      <c r="O67" s="46"/>
      <c r="P67" s="46"/>
      <c r="Q67" s="46"/>
      <c r="R67" s="46"/>
      <c r="S67" s="46"/>
      <c r="T67" s="46"/>
      <c r="U67" s="46"/>
      <c r="V67" s="46"/>
      <c r="W67" s="101"/>
      <c r="X67" s="9"/>
      <c r="Y67" s="4"/>
      <c r="Z67" s="3"/>
      <c r="AA67" s="3"/>
      <c r="AB67" s="3"/>
      <c r="AC67" s="31"/>
      <c r="AD67" s="86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5" hidden="1" customHeight="1" x14ac:dyDescent="0.25">
      <c r="B68" s="139">
        <v>11</v>
      </c>
      <c r="C68" s="139">
        <v>2</v>
      </c>
      <c r="D68" s="139" t="str">
        <f t="shared" si="0"/>
        <v>TRANSFER_WEST_H_1_17</v>
      </c>
      <c r="E68" s="139" t="s">
        <v>21</v>
      </c>
      <c r="F68" s="138" t="s">
        <v>21</v>
      </c>
      <c r="G68" s="140" t="s">
        <v>19</v>
      </c>
      <c r="H68" s="140" t="s">
        <v>9</v>
      </c>
      <c r="I68" s="140">
        <v>1</v>
      </c>
      <c r="J68" s="139"/>
      <c r="K68" s="184">
        <f>COUNT(X68:AT68)</f>
        <v>2</v>
      </c>
      <c r="L68" s="141"/>
      <c r="M68" s="42"/>
      <c r="N68" s="46"/>
      <c r="O68" s="46"/>
      <c r="P68" s="46"/>
      <c r="Q68" s="46"/>
      <c r="R68" s="46"/>
      <c r="S68" s="46"/>
      <c r="T68" s="46"/>
      <c r="U68" s="46"/>
      <c r="V68" s="46"/>
      <c r="W68" s="101"/>
      <c r="X68" s="8">
        <v>1</v>
      </c>
      <c r="Y68" s="3">
        <f t="shared" ref="Y68:AA69" si="61">X68+1</f>
        <v>2</v>
      </c>
      <c r="Z68" s="4"/>
      <c r="AA68" s="4"/>
      <c r="AB68" s="3"/>
      <c r="AC68" s="31"/>
      <c r="AD68" s="86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5" customHeight="1" x14ac:dyDescent="0.25">
      <c r="B69" s="139">
        <v>11</v>
      </c>
      <c r="C69" s="139">
        <v>3</v>
      </c>
      <c r="D69" s="139" t="str">
        <f t="shared" si="0"/>
        <v>PREPARE_WEST_H_1_17</v>
      </c>
      <c r="E69" s="139" t="s">
        <v>0</v>
      </c>
      <c r="F69" s="138" t="s">
        <v>46</v>
      </c>
      <c r="G69" s="140" t="s">
        <v>19</v>
      </c>
      <c r="H69" s="140" t="s">
        <v>9</v>
      </c>
      <c r="I69" s="140">
        <v>1</v>
      </c>
      <c r="J69" s="139"/>
      <c r="K69" s="184">
        <f>COUNT(M69:AT69)</f>
        <v>15</v>
      </c>
      <c r="L69" s="141"/>
      <c r="M69" s="82">
        <v>1</v>
      </c>
      <c r="N69" s="5">
        <f t="shared" ref="N69:X69" si="62">M69+1</f>
        <v>2</v>
      </c>
      <c r="O69" s="5">
        <f t="shared" si="62"/>
        <v>3</v>
      </c>
      <c r="P69" s="5">
        <f t="shared" si="62"/>
        <v>4</v>
      </c>
      <c r="Q69" s="5">
        <f t="shared" si="62"/>
        <v>5</v>
      </c>
      <c r="R69" s="5">
        <f t="shared" si="62"/>
        <v>6</v>
      </c>
      <c r="S69" s="5">
        <f t="shared" si="62"/>
        <v>7</v>
      </c>
      <c r="T69" s="5">
        <f t="shared" si="62"/>
        <v>8</v>
      </c>
      <c r="U69" s="5">
        <f t="shared" si="62"/>
        <v>9</v>
      </c>
      <c r="V69" s="5">
        <f t="shared" si="62"/>
        <v>10</v>
      </c>
      <c r="W69" s="178">
        <f t="shared" si="62"/>
        <v>11</v>
      </c>
      <c r="X69" s="82">
        <f t="shared" si="62"/>
        <v>12</v>
      </c>
      <c r="Y69" s="5">
        <f t="shared" si="61"/>
        <v>13</v>
      </c>
      <c r="Z69" s="5">
        <f t="shared" si="61"/>
        <v>14</v>
      </c>
      <c r="AA69" s="5">
        <f t="shared" si="61"/>
        <v>15</v>
      </c>
      <c r="AB69" s="4"/>
      <c r="AC69" s="21"/>
      <c r="AD69" s="86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5" customHeight="1" x14ac:dyDescent="0.25">
      <c r="B70" s="139">
        <v>11</v>
      </c>
      <c r="C70" s="139">
        <v>4</v>
      </c>
      <c r="D70" s="139" t="str">
        <f t="shared" si="0"/>
        <v>SUPPLY_WEST_H_1_17</v>
      </c>
      <c r="E70" s="139" t="s">
        <v>0</v>
      </c>
      <c r="F70" s="142" t="s">
        <v>0</v>
      </c>
      <c r="G70" s="140" t="s">
        <v>19</v>
      </c>
      <c r="H70" s="140" t="s">
        <v>9</v>
      </c>
      <c r="I70" s="140">
        <v>1</v>
      </c>
      <c r="J70" s="141"/>
      <c r="K70" s="184">
        <f>COUNT(AD70:BK70)</f>
        <v>0</v>
      </c>
      <c r="L70" s="141"/>
      <c r="M70" s="42"/>
      <c r="N70" s="46"/>
      <c r="O70" s="46"/>
      <c r="P70" s="46"/>
      <c r="Q70" s="46"/>
      <c r="R70" s="46"/>
      <c r="S70" s="46"/>
      <c r="T70" s="46"/>
      <c r="U70" s="46"/>
      <c r="V70" s="46"/>
      <c r="W70" s="190"/>
      <c r="X70" s="247"/>
      <c r="Y70" s="248"/>
      <c r="Z70" s="46"/>
      <c r="AA70" s="46"/>
      <c r="AB70" s="46"/>
      <c r="AC70" s="57"/>
      <c r="AD70" s="93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5" customHeight="1" x14ac:dyDescent="0.25">
      <c r="B71" s="139">
        <v>11</v>
      </c>
      <c r="C71" s="140">
        <v>5</v>
      </c>
      <c r="D71" s="139" t="str">
        <f t="shared" si="0"/>
        <v>EMPTY_WEST_H_1_17</v>
      </c>
      <c r="E71" s="140" t="s">
        <v>0</v>
      </c>
      <c r="F71" s="142" t="s">
        <v>32</v>
      </c>
      <c r="G71" s="140" t="s">
        <v>19</v>
      </c>
      <c r="H71" s="140" t="s">
        <v>9</v>
      </c>
      <c r="I71" s="140">
        <v>1</v>
      </c>
      <c r="J71" s="143"/>
      <c r="K71" s="184">
        <f>COUNT(AD71:BG71)</f>
        <v>13</v>
      </c>
      <c r="L71" s="143"/>
      <c r="M71" s="42"/>
      <c r="N71" s="46"/>
      <c r="O71" s="46"/>
      <c r="P71" s="46"/>
      <c r="Q71" s="46"/>
      <c r="R71" s="46"/>
      <c r="S71" s="46"/>
      <c r="T71" s="46"/>
      <c r="U71" s="46"/>
      <c r="V71" s="46"/>
      <c r="W71" s="190"/>
      <c r="X71" s="42"/>
      <c r="Y71" s="46"/>
      <c r="Z71" s="46"/>
      <c r="AA71" s="46"/>
      <c r="AB71" s="46"/>
      <c r="AC71" s="57"/>
      <c r="AD71" s="179">
        <v>1</v>
      </c>
      <c r="AE71" s="5">
        <f t="shared" ref="AE71:AP71" si="63">AD71+1</f>
        <v>2</v>
      </c>
      <c r="AF71" s="5">
        <f t="shared" si="63"/>
        <v>3</v>
      </c>
      <c r="AG71" s="5">
        <f t="shared" si="63"/>
        <v>4</v>
      </c>
      <c r="AH71" s="5">
        <f t="shared" si="63"/>
        <v>5</v>
      </c>
      <c r="AI71" s="5">
        <f t="shared" si="63"/>
        <v>6</v>
      </c>
      <c r="AJ71" s="5">
        <f t="shared" si="63"/>
        <v>7</v>
      </c>
      <c r="AK71" s="5">
        <f t="shared" si="63"/>
        <v>8</v>
      </c>
      <c r="AL71" s="5">
        <f t="shared" si="63"/>
        <v>9</v>
      </c>
      <c r="AM71" s="5">
        <f t="shared" si="63"/>
        <v>10</v>
      </c>
      <c r="AN71" s="5">
        <f t="shared" si="63"/>
        <v>11</v>
      </c>
      <c r="AO71" s="5">
        <f t="shared" si="63"/>
        <v>12</v>
      </c>
      <c r="AP71" s="5">
        <f t="shared" si="63"/>
        <v>13</v>
      </c>
      <c r="AQ71" s="46"/>
      <c r="AR71" s="4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5" hidden="1" customHeight="1" x14ac:dyDescent="0.25">
      <c r="B72" s="139">
        <v>11</v>
      </c>
      <c r="C72" s="140">
        <v>6</v>
      </c>
      <c r="D72" s="139" t="str">
        <f t="shared" ref="D72" si="64">F72&amp;"_"&amp;G72&amp;"_"&amp;H72&amp;"_"&amp;I72&amp;"_"&amp;$D$2</f>
        <v>COUNTDOWN_WEST_H_1_17</v>
      </c>
      <c r="E72" s="140"/>
      <c r="F72" s="142" t="s">
        <v>33</v>
      </c>
      <c r="G72" s="140" t="s">
        <v>19</v>
      </c>
      <c r="H72" s="140" t="s">
        <v>9</v>
      </c>
      <c r="I72" s="140">
        <v>1</v>
      </c>
      <c r="J72" s="144"/>
      <c r="K72" s="144"/>
      <c r="L72" s="143"/>
      <c r="M72" s="82"/>
      <c r="N72" s="5"/>
      <c r="O72" s="5"/>
      <c r="P72" s="5"/>
      <c r="Q72" s="5"/>
      <c r="R72" s="5"/>
      <c r="S72" s="5"/>
      <c r="T72" s="5"/>
      <c r="U72" s="5"/>
      <c r="V72" s="5"/>
      <c r="W72" s="178"/>
      <c r="X72" s="29"/>
      <c r="Y72" s="6"/>
      <c r="Z72" s="46"/>
      <c r="AA72" s="46"/>
      <c r="AB72" s="56"/>
      <c r="AC72" s="59"/>
      <c r="AD72" s="93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0"/>
      <c r="AR72" s="3"/>
      <c r="AS72" s="3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5" hidden="1" customHeight="1" x14ac:dyDescent="0.25">
      <c r="B73" s="139">
        <v>12</v>
      </c>
      <c r="C73" s="139">
        <v>1</v>
      </c>
      <c r="D73" s="139" t="str">
        <f t="shared" si="0"/>
        <v>SORTING_WEST_P_2_17</v>
      </c>
      <c r="E73" s="139" t="s">
        <v>35</v>
      </c>
      <c r="F73" s="138" t="s">
        <v>45</v>
      </c>
      <c r="G73" s="140" t="s">
        <v>19</v>
      </c>
      <c r="H73" s="140" t="s">
        <v>41</v>
      </c>
      <c r="I73" s="140">
        <v>2</v>
      </c>
      <c r="J73" s="139"/>
      <c r="K73" s="184">
        <f>COUNT(X73:AT73)</f>
        <v>2</v>
      </c>
      <c r="L73" s="141"/>
      <c r="M73" s="42"/>
      <c r="N73" s="46"/>
      <c r="O73" s="46"/>
      <c r="P73" s="46"/>
      <c r="Q73" s="46"/>
      <c r="R73" s="46"/>
      <c r="S73" s="46"/>
      <c r="T73" s="46"/>
      <c r="U73" s="46"/>
      <c r="V73" s="46"/>
      <c r="W73" s="101"/>
      <c r="X73" s="8">
        <v>1</v>
      </c>
      <c r="Y73" s="3">
        <f t="shared" ref="Y73:AA74" si="65">X73+1</f>
        <v>2</v>
      </c>
      <c r="Z73" s="4"/>
      <c r="AA73" s="4"/>
      <c r="AB73" s="3"/>
      <c r="AC73" s="31"/>
      <c r="AD73" s="86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5" hidden="1" customHeight="1" x14ac:dyDescent="0.25">
      <c r="B74" s="139">
        <v>12</v>
      </c>
      <c r="C74" s="139">
        <v>2</v>
      </c>
      <c r="D74" s="139" t="str">
        <f t="shared" si="0"/>
        <v>TRANSFER_WEST_P_2_17</v>
      </c>
      <c r="E74" s="139" t="s">
        <v>21</v>
      </c>
      <c r="F74" s="138" t="s">
        <v>21</v>
      </c>
      <c r="G74" s="140" t="s">
        <v>19</v>
      </c>
      <c r="H74" s="140" t="s">
        <v>41</v>
      </c>
      <c r="I74" s="140">
        <v>2</v>
      </c>
      <c r="J74" s="139"/>
      <c r="K74" s="184">
        <f>COUNT(X74:AT74)</f>
        <v>4</v>
      </c>
      <c r="L74" s="141"/>
      <c r="M74" s="42"/>
      <c r="N74" s="46"/>
      <c r="O74" s="46"/>
      <c r="P74" s="46"/>
      <c r="Q74" s="46"/>
      <c r="R74" s="46"/>
      <c r="S74" s="46"/>
      <c r="T74" s="46"/>
      <c r="U74" s="46"/>
      <c r="V74" s="46"/>
      <c r="W74" s="101"/>
      <c r="X74" s="8">
        <v>1</v>
      </c>
      <c r="Y74" s="3">
        <f t="shared" si="65"/>
        <v>2</v>
      </c>
      <c r="Z74" s="3">
        <f t="shared" si="65"/>
        <v>3</v>
      </c>
      <c r="AA74" s="3">
        <f t="shared" si="65"/>
        <v>4</v>
      </c>
      <c r="AB74" s="4"/>
      <c r="AC74" s="21"/>
      <c r="AD74" s="86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5" customHeight="1" x14ac:dyDescent="0.25">
      <c r="B75" s="139">
        <v>12</v>
      </c>
      <c r="C75" s="139">
        <v>3</v>
      </c>
      <c r="D75" s="139" t="str">
        <f t="shared" si="0"/>
        <v>PREPARE_WEST_P_2_17</v>
      </c>
      <c r="E75" s="139" t="s">
        <v>0</v>
      </c>
      <c r="F75" s="138" t="s">
        <v>46</v>
      </c>
      <c r="G75" s="140" t="s">
        <v>19</v>
      </c>
      <c r="H75" s="140" t="s">
        <v>41</v>
      </c>
      <c r="I75" s="140">
        <v>2</v>
      </c>
      <c r="J75" s="139"/>
      <c r="K75" s="184">
        <f>COUNT(M75:AT75)</f>
        <v>17</v>
      </c>
      <c r="L75" s="141"/>
      <c r="M75" s="82">
        <v>1</v>
      </c>
      <c r="N75" s="5">
        <f t="shared" ref="N75:AC75" si="66">M75+1</f>
        <v>2</v>
      </c>
      <c r="O75" s="5">
        <f t="shared" si="66"/>
        <v>3</v>
      </c>
      <c r="P75" s="5">
        <f t="shared" si="66"/>
        <v>4</v>
      </c>
      <c r="Q75" s="5">
        <f t="shared" si="66"/>
        <v>5</v>
      </c>
      <c r="R75" s="5">
        <f t="shared" si="66"/>
        <v>6</v>
      </c>
      <c r="S75" s="5">
        <f t="shared" si="66"/>
        <v>7</v>
      </c>
      <c r="T75" s="5">
        <f t="shared" si="66"/>
        <v>8</v>
      </c>
      <c r="U75" s="5">
        <f t="shared" si="66"/>
        <v>9</v>
      </c>
      <c r="V75" s="5">
        <f t="shared" si="66"/>
        <v>10</v>
      </c>
      <c r="W75" s="178">
        <f t="shared" si="66"/>
        <v>11</v>
      </c>
      <c r="X75" s="82">
        <f t="shared" si="66"/>
        <v>12</v>
      </c>
      <c r="Y75" s="5">
        <f t="shared" si="66"/>
        <v>13</v>
      </c>
      <c r="Z75" s="5">
        <f t="shared" si="66"/>
        <v>14</v>
      </c>
      <c r="AA75" s="5">
        <f t="shared" si="66"/>
        <v>15</v>
      </c>
      <c r="AB75" s="5">
        <f t="shared" si="66"/>
        <v>16</v>
      </c>
      <c r="AC75" s="64">
        <f t="shared" si="66"/>
        <v>17</v>
      </c>
      <c r="AD75" s="93"/>
      <c r="AE75" s="9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5" customHeight="1" x14ac:dyDescent="0.25">
      <c r="B76" s="139">
        <v>12</v>
      </c>
      <c r="C76" s="139">
        <v>4</v>
      </c>
      <c r="D76" s="139" t="str">
        <f t="shared" si="0"/>
        <v>SUPPLY_WEST_P_2_17</v>
      </c>
      <c r="E76" s="139" t="s">
        <v>0</v>
      </c>
      <c r="F76" s="142" t="s">
        <v>0</v>
      </c>
      <c r="G76" s="140" t="s">
        <v>19</v>
      </c>
      <c r="H76" s="140" t="s">
        <v>41</v>
      </c>
      <c r="I76" s="140">
        <v>2</v>
      </c>
      <c r="J76" s="141"/>
      <c r="K76" s="184">
        <f>COUNT(AD76:BK76)</f>
        <v>2</v>
      </c>
      <c r="L76" s="141"/>
      <c r="M76" s="42"/>
      <c r="N76" s="46"/>
      <c r="O76" s="46"/>
      <c r="P76" s="46"/>
      <c r="Q76" s="46"/>
      <c r="R76" s="46"/>
      <c r="S76" s="46"/>
      <c r="T76" s="46"/>
      <c r="U76" s="46"/>
      <c r="V76" s="46"/>
      <c r="W76" s="190"/>
      <c r="X76" s="247"/>
      <c r="Y76" s="248"/>
      <c r="Z76" s="46"/>
      <c r="AA76" s="46"/>
      <c r="AB76" s="46"/>
      <c r="AC76" s="57"/>
      <c r="AD76" s="179">
        <v>1</v>
      </c>
      <c r="AE76" s="5">
        <f t="shared" ref="AE76:AR77" si="67">AD76+1</f>
        <v>2</v>
      </c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15" customHeight="1" x14ac:dyDescent="0.25">
      <c r="B77" s="139">
        <v>12</v>
      </c>
      <c r="C77" s="140">
        <v>5</v>
      </c>
      <c r="D77" s="139" t="str">
        <f t="shared" ref="D77:D120" si="68">F77&amp;"_"&amp;G77&amp;"_"&amp;H77&amp;"_"&amp;I77&amp;"_"&amp;$D$2</f>
        <v>EMPTY_WEST_P_2_17</v>
      </c>
      <c r="E77" s="140" t="s">
        <v>0</v>
      </c>
      <c r="F77" s="142" t="s">
        <v>32</v>
      </c>
      <c r="G77" s="140" t="s">
        <v>19</v>
      </c>
      <c r="H77" s="140" t="s">
        <v>41</v>
      </c>
      <c r="I77" s="140">
        <v>2</v>
      </c>
      <c r="J77" s="143"/>
      <c r="K77" s="184">
        <f>COUNT(AD77:BG77)</f>
        <v>15</v>
      </c>
      <c r="L77" s="143"/>
      <c r="M77" s="42"/>
      <c r="N77" s="46"/>
      <c r="O77" s="46"/>
      <c r="P77" s="46"/>
      <c r="Q77" s="46"/>
      <c r="R77" s="46"/>
      <c r="S77" s="46"/>
      <c r="T77" s="46"/>
      <c r="U77" s="46"/>
      <c r="V77" s="46"/>
      <c r="W77" s="190"/>
      <c r="X77" s="42"/>
      <c r="Y77" s="46"/>
      <c r="Z77" s="46"/>
      <c r="AA77" s="46"/>
      <c r="AB77" s="46"/>
      <c r="AC77" s="57"/>
      <c r="AD77" s="179">
        <v>1</v>
      </c>
      <c r="AE77" s="5">
        <f t="shared" si="67"/>
        <v>2</v>
      </c>
      <c r="AF77" s="5">
        <f t="shared" si="67"/>
        <v>3</v>
      </c>
      <c r="AG77" s="5">
        <f t="shared" si="67"/>
        <v>4</v>
      </c>
      <c r="AH77" s="5">
        <f t="shared" si="67"/>
        <v>5</v>
      </c>
      <c r="AI77" s="5">
        <f t="shared" si="67"/>
        <v>6</v>
      </c>
      <c r="AJ77" s="5">
        <f t="shared" si="67"/>
        <v>7</v>
      </c>
      <c r="AK77" s="5">
        <f t="shared" si="67"/>
        <v>8</v>
      </c>
      <c r="AL77" s="5">
        <f t="shared" si="67"/>
        <v>9</v>
      </c>
      <c r="AM77" s="5">
        <f t="shared" si="67"/>
        <v>10</v>
      </c>
      <c r="AN77" s="5">
        <f t="shared" si="67"/>
        <v>11</v>
      </c>
      <c r="AO77" s="5">
        <f t="shared" si="67"/>
        <v>12</v>
      </c>
      <c r="AP77" s="5">
        <f t="shared" si="67"/>
        <v>13</v>
      </c>
      <c r="AQ77" s="5">
        <f t="shared" si="67"/>
        <v>14</v>
      </c>
      <c r="AR77" s="5">
        <f t="shared" si="67"/>
        <v>15</v>
      </c>
      <c r="AS77" s="46"/>
      <c r="AT77" s="93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5" hidden="1" customHeight="1" x14ac:dyDescent="0.25">
      <c r="B78" s="139">
        <v>12</v>
      </c>
      <c r="C78" s="140">
        <v>6</v>
      </c>
      <c r="D78" s="139" t="str">
        <f t="shared" si="68"/>
        <v>COUNTDOWN_WEST_P_2_17</v>
      </c>
      <c r="E78" s="140"/>
      <c r="F78" s="142" t="s">
        <v>33</v>
      </c>
      <c r="G78" s="140" t="s">
        <v>19</v>
      </c>
      <c r="H78" s="140" t="s">
        <v>41</v>
      </c>
      <c r="I78" s="140">
        <v>2</v>
      </c>
      <c r="J78" s="144"/>
      <c r="K78" s="144"/>
      <c r="L78" s="143"/>
      <c r="M78" s="82"/>
      <c r="N78" s="5"/>
      <c r="O78" s="5"/>
      <c r="P78" s="5"/>
      <c r="Q78" s="5"/>
      <c r="R78" s="5"/>
      <c r="S78" s="5"/>
      <c r="T78" s="5"/>
      <c r="U78" s="5"/>
      <c r="V78" s="5"/>
      <c r="W78" s="178"/>
      <c r="X78" s="8"/>
      <c r="Y78" s="6"/>
      <c r="Z78" s="6"/>
      <c r="AA78" s="46"/>
      <c r="AB78" s="46"/>
      <c r="AC78" s="59"/>
      <c r="AD78" s="13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0"/>
      <c r="AS78" s="40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5" hidden="1" customHeight="1" x14ac:dyDescent="0.25">
      <c r="A79" t="s">
        <v>8</v>
      </c>
      <c r="B79" s="139">
        <v>13</v>
      </c>
      <c r="C79" s="139">
        <v>1</v>
      </c>
      <c r="D79" s="139" t="str">
        <f t="shared" si="68"/>
        <v>SORTING_WEST_O_1_17</v>
      </c>
      <c r="E79" s="139" t="s">
        <v>35</v>
      </c>
      <c r="F79" s="138" t="s">
        <v>45</v>
      </c>
      <c r="G79" s="140" t="s">
        <v>19</v>
      </c>
      <c r="H79" s="140" t="s">
        <v>40</v>
      </c>
      <c r="I79" s="140">
        <v>1</v>
      </c>
      <c r="J79" s="139"/>
      <c r="K79" s="184">
        <f>COUNT(X79:AT79)</f>
        <v>4</v>
      </c>
      <c r="L79" s="141"/>
      <c r="M79" s="42"/>
      <c r="N79" s="46"/>
      <c r="O79" s="46"/>
      <c r="P79" s="46"/>
      <c r="Q79" s="46"/>
      <c r="R79" s="46"/>
      <c r="S79" s="46"/>
      <c r="T79" s="46"/>
      <c r="U79" s="46"/>
      <c r="V79" s="46"/>
      <c r="W79" s="101"/>
      <c r="X79" s="8">
        <v>1</v>
      </c>
      <c r="Y79" s="5">
        <f>X79+1</f>
        <v>2</v>
      </c>
      <c r="Z79" s="5">
        <f t="shared" ref="Z79:AA79" si="69">Y79+1</f>
        <v>3</v>
      </c>
      <c r="AA79" s="5">
        <f t="shared" si="69"/>
        <v>4</v>
      </c>
      <c r="AB79" s="4"/>
      <c r="AC79" s="21"/>
      <c r="AD79" s="86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5" hidden="1" customHeight="1" x14ac:dyDescent="0.25">
      <c r="A80" t="s">
        <v>8</v>
      </c>
      <c r="B80" s="139">
        <v>13</v>
      </c>
      <c r="C80" s="139">
        <v>2</v>
      </c>
      <c r="D80" s="139" t="str">
        <f t="shared" si="68"/>
        <v>TRANSFER_WEST_O_1_17</v>
      </c>
      <c r="E80" s="139" t="s">
        <v>21</v>
      </c>
      <c r="F80" s="138" t="s">
        <v>21</v>
      </c>
      <c r="G80" s="140" t="s">
        <v>19</v>
      </c>
      <c r="H80" s="140" t="s">
        <v>40</v>
      </c>
      <c r="I80" s="140">
        <v>1</v>
      </c>
      <c r="J80" s="139"/>
      <c r="K80" s="184">
        <f>COUNT(X80:AT80)</f>
        <v>6</v>
      </c>
      <c r="L80" s="141"/>
      <c r="M80" s="42"/>
      <c r="N80" s="46"/>
      <c r="O80" s="46"/>
      <c r="P80" s="46"/>
      <c r="Q80" s="46"/>
      <c r="R80" s="46"/>
      <c r="S80" s="46"/>
      <c r="T80" s="46"/>
      <c r="U80" s="46"/>
      <c r="V80" s="46"/>
      <c r="W80" s="101"/>
      <c r="X80" s="8">
        <v>1</v>
      </c>
      <c r="Y80" s="3">
        <f t="shared" ref="Y80:AN83" si="70">X80+1</f>
        <v>2</v>
      </c>
      <c r="Z80" s="3">
        <f t="shared" si="70"/>
        <v>3</v>
      </c>
      <c r="AA80" s="3">
        <f t="shared" si="70"/>
        <v>4</v>
      </c>
      <c r="AB80" s="3">
        <f t="shared" si="70"/>
        <v>5</v>
      </c>
      <c r="AC80" s="31">
        <f t="shared" si="70"/>
        <v>6</v>
      </c>
      <c r="AD80" s="93"/>
      <c r="AE80" s="4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5" customHeight="1" x14ac:dyDescent="0.25">
      <c r="A81" t="s">
        <v>8</v>
      </c>
      <c r="B81" s="139">
        <v>13</v>
      </c>
      <c r="C81" s="139">
        <v>3</v>
      </c>
      <c r="D81" s="139" t="str">
        <f t="shared" si="68"/>
        <v>PREPARE_WEST_O_1_17</v>
      </c>
      <c r="E81" s="139" t="s">
        <v>0</v>
      </c>
      <c r="F81" s="138" t="s">
        <v>46</v>
      </c>
      <c r="G81" s="140" t="s">
        <v>19</v>
      </c>
      <c r="H81" s="140" t="s">
        <v>40</v>
      </c>
      <c r="I81" s="140">
        <v>1</v>
      </c>
      <c r="J81" s="139"/>
      <c r="K81" s="184">
        <f>COUNT(M81:AT81)</f>
        <v>19</v>
      </c>
      <c r="L81" s="141"/>
      <c r="M81" s="82">
        <v>1</v>
      </c>
      <c r="N81" s="5">
        <f t="shared" ref="N81:AA81" si="71">M81+1</f>
        <v>2</v>
      </c>
      <c r="O81" s="5">
        <f t="shared" si="71"/>
        <v>3</v>
      </c>
      <c r="P81" s="5">
        <f t="shared" si="71"/>
        <v>4</v>
      </c>
      <c r="Q81" s="5">
        <f t="shared" si="71"/>
        <v>5</v>
      </c>
      <c r="R81" s="5">
        <f t="shared" si="71"/>
        <v>6</v>
      </c>
      <c r="S81" s="5">
        <f t="shared" si="71"/>
        <v>7</v>
      </c>
      <c r="T81" s="5">
        <f t="shared" si="71"/>
        <v>8</v>
      </c>
      <c r="U81" s="5">
        <f t="shared" si="71"/>
        <v>9</v>
      </c>
      <c r="V81" s="5">
        <f t="shared" si="71"/>
        <v>10</v>
      </c>
      <c r="W81" s="178">
        <f t="shared" si="71"/>
        <v>11</v>
      </c>
      <c r="X81" s="82">
        <f t="shared" si="71"/>
        <v>12</v>
      </c>
      <c r="Y81" s="5">
        <f t="shared" si="71"/>
        <v>13</v>
      </c>
      <c r="Z81" s="5">
        <f t="shared" si="71"/>
        <v>14</v>
      </c>
      <c r="AA81" s="5">
        <f t="shared" si="71"/>
        <v>15</v>
      </c>
      <c r="AB81" s="5">
        <f t="shared" si="70"/>
        <v>16</v>
      </c>
      <c r="AC81" s="64">
        <f t="shared" si="70"/>
        <v>17</v>
      </c>
      <c r="AD81" s="179">
        <f t="shared" si="70"/>
        <v>18</v>
      </c>
      <c r="AE81" s="5">
        <f t="shared" si="70"/>
        <v>19</v>
      </c>
      <c r="AF81" s="4"/>
      <c r="AG81" s="4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5" customHeight="1" x14ac:dyDescent="0.25">
      <c r="A82" t="s">
        <v>8</v>
      </c>
      <c r="B82" s="139">
        <v>13</v>
      </c>
      <c r="C82" s="139">
        <v>4</v>
      </c>
      <c r="D82" s="139" t="str">
        <f t="shared" si="68"/>
        <v>SUPPLY_WEST_O_1_17</v>
      </c>
      <c r="E82" s="139" t="s">
        <v>0</v>
      </c>
      <c r="F82" s="142" t="s">
        <v>0</v>
      </c>
      <c r="G82" s="140" t="s">
        <v>19</v>
      </c>
      <c r="H82" s="140" t="s">
        <v>40</v>
      </c>
      <c r="I82" s="140">
        <v>1</v>
      </c>
      <c r="J82" s="141"/>
      <c r="K82" s="184">
        <f>COUNT(AD82:BK82)</f>
        <v>4</v>
      </c>
      <c r="L82" s="141"/>
      <c r="M82" s="42"/>
      <c r="N82" s="46"/>
      <c r="O82" s="46"/>
      <c r="P82" s="46"/>
      <c r="Q82" s="46"/>
      <c r="R82" s="46"/>
      <c r="S82" s="46"/>
      <c r="T82" s="46"/>
      <c r="U82" s="46"/>
      <c r="V82" s="46"/>
      <c r="W82" s="190"/>
      <c r="X82" s="247"/>
      <c r="Y82" s="248"/>
      <c r="Z82" s="46"/>
      <c r="AA82" s="46"/>
      <c r="AB82" s="46"/>
      <c r="AC82" s="57"/>
      <c r="AD82" s="179">
        <v>1</v>
      </c>
      <c r="AE82" s="5">
        <f t="shared" si="70"/>
        <v>2</v>
      </c>
      <c r="AF82" s="5">
        <f t="shared" si="70"/>
        <v>3</v>
      </c>
      <c r="AG82" s="5">
        <f t="shared" si="70"/>
        <v>4</v>
      </c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5" customHeight="1" x14ac:dyDescent="0.25">
      <c r="A83" t="s">
        <v>8</v>
      </c>
      <c r="B83" s="139">
        <v>13</v>
      </c>
      <c r="C83" s="140">
        <v>5</v>
      </c>
      <c r="D83" s="139" t="str">
        <f t="shared" si="68"/>
        <v>EMPTY_WEST_O_1_17</v>
      </c>
      <c r="E83" s="140" t="s">
        <v>0</v>
      </c>
      <c r="F83" s="142" t="s">
        <v>32</v>
      </c>
      <c r="G83" s="140" t="s">
        <v>19</v>
      </c>
      <c r="H83" s="140" t="s">
        <v>40</v>
      </c>
      <c r="I83" s="140">
        <v>1</v>
      </c>
      <c r="J83" s="143"/>
      <c r="K83" s="184">
        <f>COUNT(AD83:BG83)</f>
        <v>17</v>
      </c>
      <c r="L83" s="143"/>
      <c r="M83" s="42"/>
      <c r="N83" s="46"/>
      <c r="O83" s="46"/>
      <c r="P83" s="46"/>
      <c r="Q83" s="46"/>
      <c r="R83" s="46"/>
      <c r="S83" s="46"/>
      <c r="T83" s="46"/>
      <c r="U83" s="46"/>
      <c r="V83" s="46"/>
      <c r="W83" s="190"/>
      <c r="X83" s="42"/>
      <c r="Y83" s="46"/>
      <c r="Z83" s="46"/>
      <c r="AA83" s="46"/>
      <c r="AB83" s="46"/>
      <c r="AC83" s="57"/>
      <c r="AD83" s="179">
        <v>1</v>
      </c>
      <c r="AE83" s="5">
        <f t="shared" si="70"/>
        <v>2</v>
      </c>
      <c r="AF83" s="5">
        <f t="shared" si="70"/>
        <v>3</v>
      </c>
      <c r="AG83" s="5">
        <f t="shared" si="70"/>
        <v>4</v>
      </c>
      <c r="AH83" s="5">
        <f t="shared" si="70"/>
        <v>5</v>
      </c>
      <c r="AI83" s="5">
        <f t="shared" si="70"/>
        <v>6</v>
      </c>
      <c r="AJ83" s="5">
        <f t="shared" si="70"/>
        <v>7</v>
      </c>
      <c r="AK83" s="5">
        <f t="shared" si="70"/>
        <v>8</v>
      </c>
      <c r="AL83" s="5">
        <f t="shared" si="70"/>
        <v>9</v>
      </c>
      <c r="AM83" s="5">
        <f t="shared" si="70"/>
        <v>10</v>
      </c>
      <c r="AN83" s="5">
        <f t="shared" si="70"/>
        <v>11</v>
      </c>
      <c r="AO83" s="5">
        <f t="shared" ref="AO83:AQ83" si="72">AN83+1</f>
        <v>12</v>
      </c>
      <c r="AP83" s="5">
        <f t="shared" si="72"/>
        <v>13</v>
      </c>
      <c r="AQ83" s="5">
        <f t="shared" si="72"/>
        <v>14</v>
      </c>
      <c r="AR83" s="5">
        <f>AQ83+1</f>
        <v>15</v>
      </c>
      <c r="AS83" s="5">
        <f t="shared" ref="AS83:AT83" si="73">AR83+1</f>
        <v>16</v>
      </c>
      <c r="AT83" s="5">
        <f t="shared" si="73"/>
        <v>17</v>
      </c>
      <c r="AU83" s="46"/>
      <c r="AV83" s="4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5" hidden="1" customHeight="1" x14ac:dyDescent="0.25">
      <c r="A84" t="s">
        <v>8</v>
      </c>
      <c r="B84" s="139">
        <v>13</v>
      </c>
      <c r="C84" s="140">
        <v>6</v>
      </c>
      <c r="D84" s="139" t="str">
        <f t="shared" si="68"/>
        <v>COUNTDOWN_WEST_O_1_17</v>
      </c>
      <c r="E84" s="140"/>
      <c r="F84" s="142" t="s">
        <v>33</v>
      </c>
      <c r="G84" s="140" t="s">
        <v>19</v>
      </c>
      <c r="H84" s="140" t="s">
        <v>40</v>
      </c>
      <c r="I84" s="140">
        <v>1</v>
      </c>
      <c r="J84" s="144"/>
      <c r="K84" s="144"/>
      <c r="L84" s="143"/>
      <c r="M84" s="82"/>
      <c r="N84" s="5"/>
      <c r="O84" s="5"/>
      <c r="P84" s="5"/>
      <c r="Q84" s="5"/>
      <c r="R84" s="5"/>
      <c r="S84" s="5"/>
      <c r="T84" s="5"/>
      <c r="U84" s="5"/>
      <c r="V84" s="5"/>
      <c r="W84" s="178"/>
      <c r="X84" s="8"/>
      <c r="Y84" s="3"/>
      <c r="Z84" s="3"/>
      <c r="AA84" s="6"/>
      <c r="AB84" s="6"/>
      <c r="AC84" s="57"/>
      <c r="AD84" s="133"/>
      <c r="AE84" s="56"/>
      <c r="AF84" s="56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0"/>
      <c r="AU84" s="40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5" hidden="1" customHeight="1" x14ac:dyDescent="0.25">
      <c r="B85" s="139">
        <v>14</v>
      </c>
      <c r="C85" s="139">
        <v>1</v>
      </c>
      <c r="D85" s="139" t="str">
        <f t="shared" si="68"/>
        <v>SORTING_WEST_L_2_17</v>
      </c>
      <c r="E85" s="139" t="s">
        <v>35</v>
      </c>
      <c r="F85" s="138" t="s">
        <v>45</v>
      </c>
      <c r="G85" s="140" t="s">
        <v>19</v>
      </c>
      <c r="H85" s="140" t="s">
        <v>13</v>
      </c>
      <c r="I85" s="140">
        <v>2</v>
      </c>
      <c r="J85" s="139"/>
      <c r="K85" s="184">
        <f>COUNT(X85:AT85)</f>
        <v>6</v>
      </c>
      <c r="L85" s="141"/>
      <c r="M85" s="42"/>
      <c r="N85" s="46"/>
      <c r="O85" s="46"/>
      <c r="P85" s="46"/>
      <c r="Q85" s="46"/>
      <c r="R85" s="46"/>
      <c r="S85" s="46"/>
      <c r="T85" s="46"/>
      <c r="U85" s="46"/>
      <c r="V85" s="46"/>
      <c r="W85" s="101"/>
      <c r="X85" s="8">
        <v>1</v>
      </c>
      <c r="Y85" s="5">
        <f t="shared" ref="Y85:AN89" si="74">X85+1</f>
        <v>2</v>
      </c>
      <c r="Z85" s="5">
        <f t="shared" si="74"/>
        <v>3</v>
      </c>
      <c r="AA85" s="5">
        <f t="shared" si="74"/>
        <v>4</v>
      </c>
      <c r="AB85" s="5">
        <f t="shared" si="74"/>
        <v>5</v>
      </c>
      <c r="AC85" s="64">
        <f t="shared" si="74"/>
        <v>6</v>
      </c>
      <c r="AD85" s="93"/>
      <c r="AE85" s="4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5" hidden="1" customHeight="1" x14ac:dyDescent="0.25">
      <c r="B86" s="139">
        <v>14</v>
      </c>
      <c r="C86" s="139">
        <v>2</v>
      </c>
      <c r="D86" s="139" t="str">
        <f t="shared" si="68"/>
        <v>TRANSFER_WEST_L_2_17</v>
      </c>
      <c r="E86" s="139" t="s">
        <v>21</v>
      </c>
      <c r="F86" s="138" t="s">
        <v>21</v>
      </c>
      <c r="G86" s="140" t="s">
        <v>19</v>
      </c>
      <c r="H86" s="140" t="s">
        <v>13</v>
      </c>
      <c r="I86" s="140">
        <v>2</v>
      </c>
      <c r="J86" s="139"/>
      <c r="K86" s="184">
        <f>COUNT(X86:AT86)</f>
        <v>8</v>
      </c>
      <c r="L86" s="141"/>
      <c r="M86" s="42"/>
      <c r="N86" s="46"/>
      <c r="O86" s="46"/>
      <c r="P86" s="46"/>
      <c r="Q86" s="46"/>
      <c r="R86" s="46"/>
      <c r="S86" s="46"/>
      <c r="T86" s="46"/>
      <c r="U86" s="46"/>
      <c r="V86" s="46"/>
      <c r="W86" s="101"/>
      <c r="X86" s="8">
        <v>1</v>
      </c>
      <c r="Y86" s="3">
        <f t="shared" si="74"/>
        <v>2</v>
      </c>
      <c r="Z86" s="3">
        <f t="shared" si="74"/>
        <v>3</v>
      </c>
      <c r="AA86" s="3">
        <f t="shared" si="74"/>
        <v>4</v>
      </c>
      <c r="AB86" s="3">
        <f t="shared" si="74"/>
        <v>5</v>
      </c>
      <c r="AC86" s="31">
        <f t="shared" si="74"/>
        <v>6</v>
      </c>
      <c r="AD86" s="86">
        <f t="shared" si="74"/>
        <v>7</v>
      </c>
      <c r="AE86" s="3">
        <f t="shared" si="74"/>
        <v>8</v>
      </c>
      <c r="AF86" s="4"/>
      <c r="AG86" s="4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5" customHeight="1" x14ac:dyDescent="0.25">
      <c r="B87" s="139">
        <v>14</v>
      </c>
      <c r="C87" s="139">
        <v>3</v>
      </c>
      <c r="D87" s="139" t="str">
        <f t="shared" si="68"/>
        <v>PREPARE_WEST_L_2_17</v>
      </c>
      <c r="E87" s="139" t="s">
        <v>0</v>
      </c>
      <c r="F87" s="138" t="s">
        <v>46</v>
      </c>
      <c r="G87" s="140" t="s">
        <v>19</v>
      </c>
      <c r="H87" s="140" t="s">
        <v>13</v>
      </c>
      <c r="I87" s="140">
        <v>2</v>
      </c>
      <c r="J87" s="139"/>
      <c r="K87" s="184">
        <f>COUNT(M87:AT87)</f>
        <v>21</v>
      </c>
      <c r="L87" s="141"/>
      <c r="M87" s="82">
        <v>1</v>
      </c>
      <c r="N87" s="5">
        <f t="shared" ref="N87:AA87" si="75">M87+1</f>
        <v>2</v>
      </c>
      <c r="O87" s="5">
        <f t="shared" si="75"/>
        <v>3</v>
      </c>
      <c r="P87" s="5">
        <f t="shared" si="75"/>
        <v>4</v>
      </c>
      <c r="Q87" s="5">
        <f t="shared" si="75"/>
        <v>5</v>
      </c>
      <c r="R87" s="5">
        <f t="shared" si="75"/>
        <v>6</v>
      </c>
      <c r="S87" s="5">
        <f t="shared" si="75"/>
        <v>7</v>
      </c>
      <c r="T87" s="5">
        <f t="shared" si="75"/>
        <v>8</v>
      </c>
      <c r="U87" s="5">
        <f t="shared" si="75"/>
        <v>9</v>
      </c>
      <c r="V87" s="5">
        <f t="shared" si="75"/>
        <v>10</v>
      </c>
      <c r="W87" s="178">
        <f t="shared" si="75"/>
        <v>11</v>
      </c>
      <c r="X87" s="82">
        <f t="shared" si="75"/>
        <v>12</v>
      </c>
      <c r="Y87" s="5">
        <f t="shared" si="75"/>
        <v>13</v>
      </c>
      <c r="Z87" s="5">
        <f t="shared" si="75"/>
        <v>14</v>
      </c>
      <c r="AA87" s="5">
        <f t="shared" si="75"/>
        <v>15</v>
      </c>
      <c r="AB87" s="5">
        <f t="shared" si="74"/>
        <v>16</v>
      </c>
      <c r="AC87" s="64">
        <f t="shared" si="74"/>
        <v>17</v>
      </c>
      <c r="AD87" s="179">
        <f t="shared" si="74"/>
        <v>18</v>
      </c>
      <c r="AE87" s="5">
        <f t="shared" si="74"/>
        <v>19</v>
      </c>
      <c r="AF87" s="5">
        <f t="shared" si="74"/>
        <v>20</v>
      </c>
      <c r="AG87" s="5">
        <f t="shared" si="74"/>
        <v>21</v>
      </c>
      <c r="AH87" s="4"/>
      <c r="AI87" s="4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5" customHeight="1" x14ac:dyDescent="0.25">
      <c r="B88" s="139">
        <v>14</v>
      </c>
      <c r="C88" s="139">
        <v>4</v>
      </c>
      <c r="D88" s="139" t="str">
        <f t="shared" si="68"/>
        <v>SUPPLY_WEST_L_2_17</v>
      </c>
      <c r="E88" s="139" t="s">
        <v>0</v>
      </c>
      <c r="F88" s="142" t="s">
        <v>0</v>
      </c>
      <c r="G88" s="140" t="s">
        <v>19</v>
      </c>
      <c r="H88" s="140" t="s">
        <v>13</v>
      </c>
      <c r="I88" s="140">
        <v>2</v>
      </c>
      <c r="J88" s="141"/>
      <c r="K88" s="184">
        <f>COUNT(AD88:BK88)</f>
        <v>6</v>
      </c>
      <c r="L88" s="141"/>
      <c r="M88" s="42"/>
      <c r="N88" s="46"/>
      <c r="O88" s="46"/>
      <c r="P88" s="46"/>
      <c r="Q88" s="46"/>
      <c r="R88" s="46"/>
      <c r="S88" s="46"/>
      <c r="T88" s="46"/>
      <c r="U88" s="46"/>
      <c r="V88" s="46"/>
      <c r="W88" s="190"/>
      <c r="X88" s="247"/>
      <c r="Y88" s="248"/>
      <c r="Z88" s="46"/>
      <c r="AA88" s="46"/>
      <c r="AB88" s="46"/>
      <c r="AC88" s="57"/>
      <c r="AD88" s="179">
        <v>1</v>
      </c>
      <c r="AE88" s="5">
        <f t="shared" si="74"/>
        <v>2</v>
      </c>
      <c r="AF88" s="5">
        <f t="shared" si="74"/>
        <v>3</v>
      </c>
      <c r="AG88" s="5">
        <f t="shared" si="74"/>
        <v>4</v>
      </c>
      <c r="AH88" s="5">
        <f t="shared" si="74"/>
        <v>5</v>
      </c>
      <c r="AI88" s="5">
        <f t="shared" si="74"/>
        <v>6</v>
      </c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3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5" customHeight="1" x14ac:dyDescent="0.25">
      <c r="B89" s="139">
        <v>14</v>
      </c>
      <c r="C89" s="140">
        <v>5</v>
      </c>
      <c r="D89" s="139" t="str">
        <f t="shared" si="68"/>
        <v>EMPTY_WEST_L_2_17</v>
      </c>
      <c r="E89" s="140" t="s">
        <v>0</v>
      </c>
      <c r="F89" s="142" t="s">
        <v>32</v>
      </c>
      <c r="G89" s="140" t="s">
        <v>19</v>
      </c>
      <c r="H89" s="140" t="s">
        <v>13</v>
      </c>
      <c r="I89" s="140">
        <v>2</v>
      </c>
      <c r="J89" s="143"/>
      <c r="K89" s="184">
        <f>COUNT(AD89:BG89)</f>
        <v>19</v>
      </c>
      <c r="L89" s="143"/>
      <c r="M89" s="42"/>
      <c r="N89" s="46"/>
      <c r="O89" s="46"/>
      <c r="P89" s="46"/>
      <c r="Q89" s="46"/>
      <c r="R89" s="46"/>
      <c r="S89" s="46"/>
      <c r="T89" s="46"/>
      <c r="U89" s="46"/>
      <c r="V89" s="46"/>
      <c r="W89" s="190"/>
      <c r="X89" s="42"/>
      <c r="Y89" s="46"/>
      <c r="Z89" s="46"/>
      <c r="AA89" s="46"/>
      <c r="AB89" s="46"/>
      <c r="AC89" s="57"/>
      <c r="AD89" s="179">
        <v>1</v>
      </c>
      <c r="AE89" s="5">
        <f t="shared" si="74"/>
        <v>2</v>
      </c>
      <c r="AF89" s="5">
        <f t="shared" si="74"/>
        <v>3</v>
      </c>
      <c r="AG89" s="5">
        <f t="shared" si="74"/>
        <v>4</v>
      </c>
      <c r="AH89" s="5">
        <f t="shared" si="74"/>
        <v>5</v>
      </c>
      <c r="AI89" s="5">
        <f t="shared" si="74"/>
        <v>6</v>
      </c>
      <c r="AJ89" s="5">
        <f t="shared" si="74"/>
        <v>7</v>
      </c>
      <c r="AK89" s="5">
        <f t="shared" si="74"/>
        <v>8</v>
      </c>
      <c r="AL89" s="5">
        <f t="shared" si="74"/>
        <v>9</v>
      </c>
      <c r="AM89" s="5">
        <f t="shared" si="74"/>
        <v>10</v>
      </c>
      <c r="AN89" s="5">
        <f t="shared" si="74"/>
        <v>11</v>
      </c>
      <c r="AO89" s="5">
        <f t="shared" ref="AO89:AV89" si="76">AN89+1</f>
        <v>12</v>
      </c>
      <c r="AP89" s="5">
        <f t="shared" si="76"/>
        <v>13</v>
      </c>
      <c r="AQ89" s="5">
        <f t="shared" si="76"/>
        <v>14</v>
      </c>
      <c r="AR89" s="5">
        <f t="shared" si="76"/>
        <v>15</v>
      </c>
      <c r="AS89" s="5">
        <f t="shared" si="76"/>
        <v>16</v>
      </c>
      <c r="AT89" s="5">
        <f t="shared" si="76"/>
        <v>17</v>
      </c>
      <c r="AU89" s="5">
        <f t="shared" si="76"/>
        <v>18</v>
      </c>
      <c r="AV89" s="5">
        <f t="shared" si="76"/>
        <v>19</v>
      </c>
      <c r="AW89" s="46"/>
      <c r="AX89" s="4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5" hidden="1" customHeight="1" x14ac:dyDescent="0.25">
      <c r="B90" s="139">
        <v>14</v>
      </c>
      <c r="C90" s="140">
        <v>6</v>
      </c>
      <c r="D90" s="139" t="str">
        <f t="shared" si="68"/>
        <v>COUNTDOWN_WEST_L_2_17</v>
      </c>
      <c r="E90" s="140"/>
      <c r="F90" s="142" t="s">
        <v>33</v>
      </c>
      <c r="G90" s="140" t="s">
        <v>19</v>
      </c>
      <c r="H90" s="140" t="s">
        <v>13</v>
      </c>
      <c r="I90" s="140">
        <v>2</v>
      </c>
      <c r="J90" s="144"/>
      <c r="K90" s="144"/>
      <c r="L90" s="143"/>
      <c r="M90" s="82"/>
      <c r="N90" s="5"/>
      <c r="O90" s="5"/>
      <c r="P90" s="5"/>
      <c r="Q90" s="5"/>
      <c r="R90" s="5"/>
      <c r="S90" s="5"/>
      <c r="T90" s="5"/>
      <c r="U90" s="5"/>
      <c r="V90" s="5"/>
      <c r="W90" s="178"/>
      <c r="X90" s="8"/>
      <c r="Y90" s="3"/>
      <c r="Z90" s="3"/>
      <c r="AA90" s="3"/>
      <c r="AB90" s="3"/>
      <c r="AC90" s="28"/>
      <c r="AD90" s="132"/>
      <c r="AE90" s="46"/>
      <c r="AF90" s="46"/>
      <c r="AG90" s="56"/>
      <c r="AH90" s="56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0"/>
      <c r="AW90" s="40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5" hidden="1" customHeight="1" x14ac:dyDescent="0.25">
      <c r="B91" s="139">
        <v>16</v>
      </c>
      <c r="C91" s="139">
        <v>1</v>
      </c>
      <c r="D91" s="139" t="str">
        <f t="shared" si="68"/>
        <v>SORTING_WEST_N_1_17</v>
      </c>
      <c r="E91" s="139" t="s">
        <v>35</v>
      </c>
      <c r="F91" s="138" t="s">
        <v>45</v>
      </c>
      <c r="G91" s="140" t="s">
        <v>19</v>
      </c>
      <c r="H91" s="140" t="s">
        <v>15</v>
      </c>
      <c r="I91" s="140">
        <v>1</v>
      </c>
      <c r="J91" s="139"/>
      <c r="K91" s="184">
        <f>COUNT(X91:AT91)</f>
        <v>8</v>
      </c>
      <c r="L91" s="141"/>
      <c r="M91" s="42"/>
      <c r="N91" s="46"/>
      <c r="O91" s="46"/>
      <c r="P91" s="46"/>
      <c r="Q91" s="46"/>
      <c r="R91" s="46"/>
      <c r="S91" s="46"/>
      <c r="T91" s="46"/>
      <c r="U91" s="46"/>
      <c r="V91" s="46"/>
      <c r="W91" s="101"/>
      <c r="X91" s="8">
        <v>1</v>
      </c>
      <c r="Y91" s="5">
        <f t="shared" ref="Y91:AN95" si="77">X91+1</f>
        <v>2</v>
      </c>
      <c r="Z91" s="5">
        <f t="shared" si="77"/>
        <v>3</v>
      </c>
      <c r="AA91" s="5">
        <f t="shared" si="77"/>
        <v>4</v>
      </c>
      <c r="AB91" s="5">
        <f t="shared" si="77"/>
        <v>5</v>
      </c>
      <c r="AC91" s="64">
        <f t="shared" si="77"/>
        <v>6</v>
      </c>
      <c r="AD91" s="179">
        <f t="shared" si="77"/>
        <v>7</v>
      </c>
      <c r="AE91" s="5">
        <f t="shared" si="77"/>
        <v>8</v>
      </c>
      <c r="AF91" s="4"/>
      <c r="AG91" s="4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5" hidden="1" customHeight="1" x14ac:dyDescent="0.25">
      <c r="B92" s="139">
        <v>16</v>
      </c>
      <c r="C92" s="139">
        <v>2</v>
      </c>
      <c r="D92" s="139" t="str">
        <f t="shared" si="68"/>
        <v>TRANSFER_WEST_N_1_17</v>
      </c>
      <c r="E92" s="139" t="s">
        <v>21</v>
      </c>
      <c r="F92" s="138" t="s">
        <v>21</v>
      </c>
      <c r="G92" s="140" t="s">
        <v>19</v>
      </c>
      <c r="H92" s="140" t="s">
        <v>15</v>
      </c>
      <c r="I92" s="140">
        <v>1</v>
      </c>
      <c r="J92" s="139"/>
      <c r="K92" s="184">
        <f>COUNT(X92:AT92)</f>
        <v>10</v>
      </c>
      <c r="L92" s="141"/>
      <c r="M92" s="42"/>
      <c r="N92" s="46"/>
      <c r="O92" s="46"/>
      <c r="P92" s="46"/>
      <c r="Q92" s="46"/>
      <c r="R92" s="46"/>
      <c r="S92" s="46"/>
      <c r="T92" s="46"/>
      <c r="U92" s="46"/>
      <c r="V92" s="46"/>
      <c r="W92" s="101"/>
      <c r="X92" s="8">
        <v>1</v>
      </c>
      <c r="Y92" s="3">
        <f t="shared" si="77"/>
        <v>2</v>
      </c>
      <c r="Z92" s="3">
        <f t="shared" si="77"/>
        <v>3</v>
      </c>
      <c r="AA92" s="3">
        <f t="shared" si="77"/>
        <v>4</v>
      </c>
      <c r="AB92" s="3">
        <f t="shared" si="77"/>
        <v>5</v>
      </c>
      <c r="AC92" s="31">
        <f t="shared" si="77"/>
        <v>6</v>
      </c>
      <c r="AD92" s="86">
        <f t="shared" si="77"/>
        <v>7</v>
      </c>
      <c r="AE92" s="3">
        <f t="shared" si="77"/>
        <v>8</v>
      </c>
      <c r="AF92" s="3">
        <f t="shared" si="77"/>
        <v>9</v>
      </c>
      <c r="AG92" s="3">
        <f t="shared" si="77"/>
        <v>10</v>
      </c>
      <c r="AH92" s="4"/>
      <c r="AI92" s="4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5" customHeight="1" x14ac:dyDescent="0.25">
      <c r="B93" s="139">
        <v>16</v>
      </c>
      <c r="C93" s="139">
        <v>3</v>
      </c>
      <c r="D93" s="139" t="str">
        <f t="shared" si="68"/>
        <v>PREPARE_WEST_N_1_17</v>
      </c>
      <c r="E93" s="139" t="s">
        <v>0</v>
      </c>
      <c r="F93" s="138" t="s">
        <v>46</v>
      </c>
      <c r="G93" s="140" t="s">
        <v>19</v>
      </c>
      <c r="H93" s="140" t="s">
        <v>15</v>
      </c>
      <c r="I93" s="140">
        <v>1</v>
      </c>
      <c r="J93" s="139"/>
      <c r="K93" s="184">
        <f>COUNT(M93:AT93)</f>
        <v>23</v>
      </c>
      <c r="L93" s="141"/>
      <c r="M93" s="82">
        <v>1</v>
      </c>
      <c r="N93" s="5">
        <f t="shared" ref="N93:AA93" si="78">M93+1</f>
        <v>2</v>
      </c>
      <c r="O93" s="5">
        <f t="shared" si="78"/>
        <v>3</v>
      </c>
      <c r="P93" s="5">
        <f t="shared" si="78"/>
        <v>4</v>
      </c>
      <c r="Q93" s="5">
        <f t="shared" si="78"/>
        <v>5</v>
      </c>
      <c r="R93" s="5">
        <f t="shared" si="78"/>
        <v>6</v>
      </c>
      <c r="S93" s="5">
        <f t="shared" si="78"/>
        <v>7</v>
      </c>
      <c r="T93" s="5">
        <f t="shared" si="78"/>
        <v>8</v>
      </c>
      <c r="U93" s="5">
        <f t="shared" si="78"/>
        <v>9</v>
      </c>
      <c r="V93" s="5">
        <f t="shared" si="78"/>
        <v>10</v>
      </c>
      <c r="W93" s="178">
        <f t="shared" si="78"/>
        <v>11</v>
      </c>
      <c r="X93" s="82">
        <f t="shared" si="78"/>
        <v>12</v>
      </c>
      <c r="Y93" s="5">
        <f t="shared" si="78"/>
        <v>13</v>
      </c>
      <c r="Z93" s="5">
        <f t="shared" si="78"/>
        <v>14</v>
      </c>
      <c r="AA93" s="5">
        <f t="shared" si="78"/>
        <v>15</v>
      </c>
      <c r="AB93" s="5">
        <f t="shared" si="77"/>
        <v>16</v>
      </c>
      <c r="AC93" s="64">
        <f t="shared" si="77"/>
        <v>17</v>
      </c>
      <c r="AD93" s="179">
        <f t="shared" si="77"/>
        <v>18</v>
      </c>
      <c r="AE93" s="5">
        <f t="shared" si="77"/>
        <v>19</v>
      </c>
      <c r="AF93" s="5">
        <f t="shared" si="77"/>
        <v>20</v>
      </c>
      <c r="AG93" s="5">
        <f t="shared" si="77"/>
        <v>21</v>
      </c>
      <c r="AH93" s="5">
        <f t="shared" si="77"/>
        <v>22</v>
      </c>
      <c r="AI93" s="5">
        <f t="shared" si="77"/>
        <v>23</v>
      </c>
      <c r="AJ93" s="4"/>
      <c r="AK93" s="4"/>
      <c r="AL93" s="4"/>
      <c r="AM93" s="3"/>
      <c r="AN93" s="3"/>
      <c r="AO93" s="3"/>
      <c r="AP93" s="3"/>
      <c r="AQ93" s="3"/>
      <c r="AR93" s="3"/>
      <c r="AS93" s="3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5" customHeight="1" x14ac:dyDescent="0.25">
      <c r="B94" s="139">
        <v>16</v>
      </c>
      <c r="C94" s="139">
        <v>4</v>
      </c>
      <c r="D94" s="139" t="str">
        <f t="shared" si="68"/>
        <v>SUPPLY_WEST_N_1_17</v>
      </c>
      <c r="E94" s="139" t="s">
        <v>0</v>
      </c>
      <c r="F94" s="142" t="s">
        <v>0</v>
      </c>
      <c r="G94" s="140" t="s">
        <v>19</v>
      </c>
      <c r="H94" s="140" t="s">
        <v>15</v>
      </c>
      <c r="I94" s="140">
        <v>1</v>
      </c>
      <c r="J94" s="141"/>
      <c r="K94" s="184">
        <f>COUNT(AD94:BK94)</f>
        <v>9</v>
      </c>
      <c r="L94" s="141"/>
      <c r="M94" s="42"/>
      <c r="N94" s="46"/>
      <c r="O94" s="46"/>
      <c r="P94" s="46"/>
      <c r="Q94" s="46"/>
      <c r="R94" s="46"/>
      <c r="S94" s="46"/>
      <c r="T94" s="46"/>
      <c r="U94" s="46"/>
      <c r="V94" s="46"/>
      <c r="W94" s="190"/>
      <c r="X94" s="247"/>
      <c r="Y94" s="248"/>
      <c r="Z94" s="46"/>
      <c r="AA94" s="46"/>
      <c r="AB94" s="46"/>
      <c r="AC94" s="57"/>
      <c r="AD94" s="179">
        <v>1</v>
      </c>
      <c r="AE94" s="5">
        <f t="shared" si="77"/>
        <v>2</v>
      </c>
      <c r="AF94" s="5">
        <f t="shared" si="77"/>
        <v>3</v>
      </c>
      <c r="AG94" s="5">
        <f t="shared" si="77"/>
        <v>4</v>
      </c>
      <c r="AH94" s="5">
        <f t="shared" si="77"/>
        <v>5</v>
      </c>
      <c r="AI94" s="5">
        <f t="shared" si="77"/>
        <v>6</v>
      </c>
      <c r="AJ94" s="5">
        <f t="shared" si="77"/>
        <v>7</v>
      </c>
      <c r="AK94" s="5">
        <f t="shared" si="77"/>
        <v>8</v>
      </c>
      <c r="AL94" s="5">
        <f t="shared" si="77"/>
        <v>9</v>
      </c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5" customHeight="1" x14ac:dyDescent="0.25">
      <c r="B95" s="139">
        <v>16</v>
      </c>
      <c r="C95" s="140">
        <v>5</v>
      </c>
      <c r="D95" s="139" t="str">
        <f t="shared" si="68"/>
        <v>EMPTY_WEST_N_1_17</v>
      </c>
      <c r="E95" s="140" t="s">
        <v>0</v>
      </c>
      <c r="F95" s="142" t="s">
        <v>32</v>
      </c>
      <c r="G95" s="140" t="s">
        <v>19</v>
      </c>
      <c r="H95" s="140" t="s">
        <v>15</v>
      </c>
      <c r="I95" s="140">
        <v>1</v>
      </c>
      <c r="J95" s="143"/>
      <c r="K95" s="184">
        <f>COUNT(AD95:BG95)</f>
        <v>21</v>
      </c>
      <c r="L95" s="143"/>
      <c r="M95" s="42"/>
      <c r="N95" s="46"/>
      <c r="O95" s="46"/>
      <c r="P95" s="46"/>
      <c r="Q95" s="46"/>
      <c r="R95" s="46"/>
      <c r="S95" s="46"/>
      <c r="T95" s="46"/>
      <c r="U95" s="46"/>
      <c r="V95" s="46"/>
      <c r="W95" s="190"/>
      <c r="X95" s="42"/>
      <c r="Y95" s="46"/>
      <c r="Z95" s="46"/>
      <c r="AA95" s="46"/>
      <c r="AB95" s="46"/>
      <c r="AC95" s="57"/>
      <c r="AD95" s="179">
        <v>1</v>
      </c>
      <c r="AE95" s="5">
        <f t="shared" si="77"/>
        <v>2</v>
      </c>
      <c r="AF95" s="5">
        <f t="shared" si="77"/>
        <v>3</v>
      </c>
      <c r="AG95" s="5">
        <f t="shared" si="77"/>
        <v>4</v>
      </c>
      <c r="AH95" s="5">
        <f t="shared" si="77"/>
        <v>5</v>
      </c>
      <c r="AI95" s="5">
        <f t="shared" si="77"/>
        <v>6</v>
      </c>
      <c r="AJ95" s="5">
        <f t="shared" si="77"/>
        <v>7</v>
      </c>
      <c r="AK95" s="5">
        <f t="shared" si="77"/>
        <v>8</v>
      </c>
      <c r="AL95" s="5">
        <f t="shared" si="77"/>
        <v>9</v>
      </c>
      <c r="AM95" s="5">
        <f t="shared" si="77"/>
        <v>10</v>
      </c>
      <c r="AN95" s="5">
        <f t="shared" si="77"/>
        <v>11</v>
      </c>
      <c r="AO95" s="5">
        <f t="shared" ref="AO95:AX95" si="79">AN95+1</f>
        <v>12</v>
      </c>
      <c r="AP95" s="5">
        <f t="shared" si="79"/>
        <v>13</v>
      </c>
      <c r="AQ95" s="5">
        <f t="shared" si="79"/>
        <v>14</v>
      </c>
      <c r="AR95" s="5">
        <f t="shared" si="79"/>
        <v>15</v>
      </c>
      <c r="AS95" s="5">
        <f t="shared" si="79"/>
        <v>16</v>
      </c>
      <c r="AT95" s="5">
        <f t="shared" si="79"/>
        <v>17</v>
      </c>
      <c r="AU95" s="5">
        <f t="shared" si="79"/>
        <v>18</v>
      </c>
      <c r="AV95" s="5">
        <f t="shared" si="79"/>
        <v>19</v>
      </c>
      <c r="AW95" s="5">
        <f t="shared" si="79"/>
        <v>20</v>
      </c>
      <c r="AX95" s="5">
        <f t="shared" si="79"/>
        <v>21</v>
      </c>
      <c r="AY95" s="46"/>
      <c r="AZ95" s="4"/>
      <c r="BA95" s="3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5" hidden="1" customHeight="1" x14ac:dyDescent="0.25">
      <c r="B96" s="139">
        <v>16</v>
      </c>
      <c r="C96" s="140">
        <v>6</v>
      </c>
      <c r="D96" s="139" t="str">
        <f t="shared" si="68"/>
        <v>COUNTDOWN_WEST_N_1_17</v>
      </c>
      <c r="E96" s="140"/>
      <c r="F96" s="142" t="s">
        <v>33</v>
      </c>
      <c r="G96" s="140" t="s">
        <v>19</v>
      </c>
      <c r="H96" s="140" t="s">
        <v>15</v>
      </c>
      <c r="I96" s="140">
        <v>1</v>
      </c>
      <c r="J96" s="144"/>
      <c r="K96" s="144"/>
      <c r="L96" s="143"/>
      <c r="M96" s="82"/>
      <c r="N96" s="5"/>
      <c r="O96" s="5"/>
      <c r="P96" s="5"/>
      <c r="Q96" s="5"/>
      <c r="R96" s="5"/>
      <c r="S96" s="5"/>
      <c r="T96" s="5"/>
      <c r="U96" s="5"/>
      <c r="V96" s="5"/>
      <c r="W96" s="178"/>
      <c r="X96" s="8"/>
      <c r="Y96" s="3"/>
      <c r="Z96" s="3"/>
      <c r="AA96" s="3"/>
      <c r="AB96" s="3"/>
      <c r="AC96" s="31"/>
      <c r="AD96" s="86"/>
      <c r="AE96" s="6"/>
      <c r="AF96" s="6"/>
      <c r="AG96" s="46"/>
      <c r="AH96" s="46"/>
      <c r="AI96" s="56"/>
      <c r="AJ96" s="56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0"/>
      <c r="AY96" s="40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5" hidden="1" customHeight="1" x14ac:dyDescent="0.25">
      <c r="B97" s="139">
        <v>17</v>
      </c>
      <c r="C97" s="139">
        <v>1</v>
      </c>
      <c r="D97" s="139" t="str">
        <f t="shared" si="68"/>
        <v>SORTING_WEST_J_2_17</v>
      </c>
      <c r="E97" s="139" t="s">
        <v>35</v>
      </c>
      <c r="F97" s="138" t="s">
        <v>45</v>
      </c>
      <c r="G97" s="140" t="s">
        <v>19</v>
      </c>
      <c r="H97" s="140" t="s">
        <v>11</v>
      </c>
      <c r="I97" s="140">
        <v>2</v>
      </c>
      <c r="J97" s="139"/>
      <c r="K97" s="184">
        <f>COUNT(X97:AT97)</f>
        <v>10</v>
      </c>
      <c r="L97" s="141"/>
      <c r="M97" s="42"/>
      <c r="N97" s="46"/>
      <c r="O97" s="46"/>
      <c r="P97" s="46"/>
      <c r="Q97" s="46"/>
      <c r="R97" s="46"/>
      <c r="S97" s="46"/>
      <c r="T97" s="46"/>
      <c r="U97" s="46"/>
      <c r="V97" s="46"/>
      <c r="W97" s="101"/>
      <c r="X97" s="8">
        <v>1</v>
      </c>
      <c r="Y97" s="5">
        <f t="shared" ref="Y97:AN101" si="80">X97+1</f>
        <v>2</v>
      </c>
      <c r="Z97" s="5">
        <f t="shared" si="80"/>
        <v>3</v>
      </c>
      <c r="AA97" s="5">
        <f t="shared" si="80"/>
        <v>4</v>
      </c>
      <c r="AB97" s="5">
        <f t="shared" si="80"/>
        <v>5</v>
      </c>
      <c r="AC97" s="64">
        <f t="shared" si="80"/>
        <v>6</v>
      </c>
      <c r="AD97" s="179">
        <f t="shared" si="80"/>
        <v>7</v>
      </c>
      <c r="AE97" s="5">
        <f t="shared" si="80"/>
        <v>8</v>
      </c>
      <c r="AF97" s="5">
        <f t="shared" si="80"/>
        <v>9</v>
      </c>
      <c r="AG97" s="5">
        <f t="shared" si="80"/>
        <v>10</v>
      </c>
      <c r="AH97" s="4"/>
      <c r="AI97" s="4"/>
      <c r="AJ97" s="3"/>
      <c r="AK97" s="3"/>
      <c r="AL97" s="3"/>
      <c r="AM97" s="3"/>
      <c r="AN97" s="3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5" hidden="1" customHeight="1" x14ac:dyDescent="0.25">
      <c r="B98" s="139">
        <v>17</v>
      </c>
      <c r="C98" s="139">
        <v>2</v>
      </c>
      <c r="D98" s="139" t="str">
        <f t="shared" si="68"/>
        <v>TRANSFER_WEST_J_2_17</v>
      </c>
      <c r="E98" s="139" t="s">
        <v>21</v>
      </c>
      <c r="F98" s="138" t="s">
        <v>21</v>
      </c>
      <c r="G98" s="140" t="s">
        <v>19</v>
      </c>
      <c r="H98" s="140" t="s">
        <v>11</v>
      </c>
      <c r="I98" s="140">
        <v>2</v>
      </c>
      <c r="J98" s="139"/>
      <c r="K98" s="184">
        <f>COUNT(X98:AT98)</f>
        <v>12</v>
      </c>
      <c r="L98" s="141"/>
      <c r="M98" s="42"/>
      <c r="N98" s="46"/>
      <c r="O98" s="46"/>
      <c r="P98" s="46"/>
      <c r="Q98" s="46"/>
      <c r="R98" s="46"/>
      <c r="S98" s="46"/>
      <c r="T98" s="46"/>
      <c r="U98" s="46"/>
      <c r="V98" s="46"/>
      <c r="W98" s="101"/>
      <c r="X98" s="82">
        <v>1</v>
      </c>
      <c r="Y98" s="3">
        <f t="shared" si="80"/>
        <v>2</v>
      </c>
      <c r="Z98" s="3">
        <f t="shared" si="80"/>
        <v>3</v>
      </c>
      <c r="AA98" s="3">
        <f t="shared" si="80"/>
        <v>4</v>
      </c>
      <c r="AB98" s="3">
        <f t="shared" si="80"/>
        <v>5</v>
      </c>
      <c r="AC98" s="31">
        <f t="shared" si="80"/>
        <v>6</v>
      </c>
      <c r="AD98" s="86">
        <f t="shared" si="80"/>
        <v>7</v>
      </c>
      <c r="AE98" s="3">
        <f t="shared" si="80"/>
        <v>8</v>
      </c>
      <c r="AF98" s="3">
        <f t="shared" si="80"/>
        <v>9</v>
      </c>
      <c r="AG98" s="3">
        <f t="shared" si="80"/>
        <v>10</v>
      </c>
      <c r="AH98" s="3">
        <f t="shared" si="80"/>
        <v>11</v>
      </c>
      <c r="AI98" s="3">
        <f t="shared" si="80"/>
        <v>12</v>
      </c>
      <c r="AJ98" s="4"/>
      <c r="AK98" s="3"/>
      <c r="AL98" s="3"/>
      <c r="AM98" s="3"/>
      <c r="AN98" s="3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5" customHeight="1" x14ac:dyDescent="0.25">
      <c r="B99" s="139">
        <v>17</v>
      </c>
      <c r="C99" s="139">
        <v>3</v>
      </c>
      <c r="D99" s="139" t="str">
        <f t="shared" si="68"/>
        <v>PREPARE_WEST_J_2_17</v>
      </c>
      <c r="E99" s="139" t="s">
        <v>0</v>
      </c>
      <c r="F99" s="138" t="s">
        <v>46</v>
      </c>
      <c r="G99" s="140" t="s">
        <v>19</v>
      </c>
      <c r="H99" s="140" t="s">
        <v>11</v>
      </c>
      <c r="I99" s="140">
        <v>2</v>
      </c>
      <c r="J99" s="139"/>
      <c r="K99" s="184">
        <f>COUNT(M99:AT99)</f>
        <v>25</v>
      </c>
      <c r="L99" s="141"/>
      <c r="M99" s="82">
        <v>1</v>
      </c>
      <c r="N99" s="5">
        <f t="shared" ref="N99:X99" si="81">M99+1</f>
        <v>2</v>
      </c>
      <c r="O99" s="5">
        <f t="shared" si="81"/>
        <v>3</v>
      </c>
      <c r="P99" s="5">
        <f t="shared" si="81"/>
        <v>4</v>
      </c>
      <c r="Q99" s="5">
        <f t="shared" si="81"/>
        <v>5</v>
      </c>
      <c r="R99" s="5">
        <f t="shared" si="81"/>
        <v>6</v>
      </c>
      <c r="S99" s="5">
        <f t="shared" si="81"/>
        <v>7</v>
      </c>
      <c r="T99" s="5">
        <f t="shared" si="81"/>
        <v>8</v>
      </c>
      <c r="U99" s="5">
        <f t="shared" si="81"/>
        <v>9</v>
      </c>
      <c r="V99" s="5">
        <f t="shared" si="81"/>
        <v>10</v>
      </c>
      <c r="W99" s="178">
        <f t="shared" si="81"/>
        <v>11</v>
      </c>
      <c r="X99" s="82">
        <f t="shared" si="81"/>
        <v>12</v>
      </c>
      <c r="Y99" s="5">
        <f t="shared" si="80"/>
        <v>13</v>
      </c>
      <c r="Z99" s="5">
        <f t="shared" si="80"/>
        <v>14</v>
      </c>
      <c r="AA99" s="5">
        <f t="shared" si="80"/>
        <v>15</v>
      </c>
      <c r="AB99" s="5">
        <f t="shared" si="80"/>
        <v>16</v>
      </c>
      <c r="AC99" s="64">
        <f t="shared" si="80"/>
        <v>17</v>
      </c>
      <c r="AD99" s="179">
        <f t="shared" si="80"/>
        <v>18</v>
      </c>
      <c r="AE99" s="5">
        <f t="shared" si="80"/>
        <v>19</v>
      </c>
      <c r="AF99" s="5">
        <f t="shared" si="80"/>
        <v>20</v>
      </c>
      <c r="AG99" s="5">
        <f t="shared" si="80"/>
        <v>21</v>
      </c>
      <c r="AH99" s="5">
        <f t="shared" si="80"/>
        <v>22</v>
      </c>
      <c r="AI99" s="5">
        <f t="shared" si="80"/>
        <v>23</v>
      </c>
      <c r="AJ99" s="5">
        <f t="shared" si="80"/>
        <v>24</v>
      </c>
      <c r="AK99" s="5">
        <f t="shared" si="80"/>
        <v>25</v>
      </c>
      <c r="AL99" s="4"/>
      <c r="AM99" s="4"/>
      <c r="AN99" s="3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5" customHeight="1" x14ac:dyDescent="0.25">
      <c r="B100" s="139">
        <v>17</v>
      </c>
      <c r="C100" s="139">
        <v>4</v>
      </c>
      <c r="D100" s="139" t="str">
        <f t="shared" si="68"/>
        <v>SUPPLY_WEST_J_2_17</v>
      </c>
      <c r="E100" s="139" t="s">
        <v>0</v>
      </c>
      <c r="F100" s="142" t="s">
        <v>0</v>
      </c>
      <c r="G100" s="140" t="s">
        <v>19</v>
      </c>
      <c r="H100" s="140" t="s">
        <v>11</v>
      </c>
      <c r="I100" s="140">
        <v>2</v>
      </c>
      <c r="J100" s="141"/>
      <c r="K100" s="184">
        <f>COUNT(AD100:BK100)</f>
        <v>10</v>
      </c>
      <c r="L100" s="141"/>
      <c r="M100" s="42"/>
      <c r="N100" s="46"/>
      <c r="O100" s="46"/>
      <c r="P100" s="46"/>
      <c r="Q100" s="46"/>
      <c r="R100" s="46"/>
      <c r="S100" s="46"/>
      <c r="T100" s="46"/>
      <c r="U100" s="46"/>
      <c r="V100" s="46"/>
      <c r="W100" s="190"/>
      <c r="X100" s="247"/>
      <c r="Y100" s="248"/>
      <c r="Z100" s="46"/>
      <c r="AA100" s="46"/>
      <c r="AB100" s="46"/>
      <c r="AC100" s="57"/>
      <c r="AD100" s="179">
        <v>1</v>
      </c>
      <c r="AE100" s="5">
        <f t="shared" si="80"/>
        <v>2</v>
      </c>
      <c r="AF100" s="5">
        <f t="shared" si="80"/>
        <v>3</v>
      </c>
      <c r="AG100" s="5">
        <f t="shared" si="80"/>
        <v>4</v>
      </c>
      <c r="AH100" s="5">
        <f t="shared" si="80"/>
        <v>5</v>
      </c>
      <c r="AI100" s="5">
        <f t="shared" si="80"/>
        <v>6</v>
      </c>
      <c r="AJ100" s="5">
        <f t="shared" si="80"/>
        <v>7</v>
      </c>
      <c r="AK100" s="5">
        <f t="shared" si="80"/>
        <v>8</v>
      </c>
      <c r="AL100" s="5">
        <f>AK100+1</f>
        <v>9</v>
      </c>
      <c r="AM100" s="5">
        <f>AL100+1</f>
        <v>10</v>
      </c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5" customHeight="1" x14ac:dyDescent="0.25">
      <c r="B101" s="139">
        <v>17</v>
      </c>
      <c r="C101" s="140">
        <v>5</v>
      </c>
      <c r="D101" s="139" t="str">
        <f t="shared" si="68"/>
        <v>EMPTY_WEST_J_2_17</v>
      </c>
      <c r="E101" s="140" t="s">
        <v>0</v>
      </c>
      <c r="F101" s="142" t="s">
        <v>32</v>
      </c>
      <c r="G101" s="140" t="s">
        <v>19</v>
      </c>
      <c r="H101" s="140" t="s">
        <v>11</v>
      </c>
      <c r="I101" s="140">
        <v>2</v>
      </c>
      <c r="J101" s="143"/>
      <c r="K101" s="184">
        <f>COUNT(AD101:BG101)</f>
        <v>23</v>
      </c>
      <c r="L101" s="143"/>
      <c r="M101" s="42"/>
      <c r="N101" s="46"/>
      <c r="O101" s="46"/>
      <c r="P101" s="46"/>
      <c r="Q101" s="46"/>
      <c r="R101" s="46"/>
      <c r="S101" s="46"/>
      <c r="T101" s="46"/>
      <c r="U101" s="46"/>
      <c r="V101" s="46"/>
      <c r="W101" s="190"/>
      <c r="X101" s="42"/>
      <c r="Y101" s="46"/>
      <c r="Z101" s="46"/>
      <c r="AA101" s="46"/>
      <c r="AB101" s="46"/>
      <c r="AC101" s="57"/>
      <c r="AD101" s="179">
        <v>1</v>
      </c>
      <c r="AE101" s="5">
        <f t="shared" si="80"/>
        <v>2</v>
      </c>
      <c r="AF101" s="5">
        <f t="shared" si="80"/>
        <v>3</v>
      </c>
      <c r="AG101" s="5">
        <f t="shared" si="80"/>
        <v>4</v>
      </c>
      <c r="AH101" s="5">
        <f t="shared" si="80"/>
        <v>5</v>
      </c>
      <c r="AI101" s="5">
        <f t="shared" si="80"/>
        <v>6</v>
      </c>
      <c r="AJ101" s="5">
        <f t="shared" si="80"/>
        <v>7</v>
      </c>
      <c r="AK101" s="5">
        <f t="shared" si="80"/>
        <v>8</v>
      </c>
      <c r="AL101" s="5">
        <f t="shared" si="80"/>
        <v>9</v>
      </c>
      <c r="AM101" s="5">
        <f t="shared" si="80"/>
        <v>10</v>
      </c>
      <c r="AN101" s="5">
        <f t="shared" si="80"/>
        <v>11</v>
      </c>
      <c r="AO101" s="5">
        <f t="shared" ref="AO101:AZ101" si="82">AN101+1</f>
        <v>12</v>
      </c>
      <c r="AP101" s="5">
        <f t="shared" si="82"/>
        <v>13</v>
      </c>
      <c r="AQ101" s="5">
        <f t="shared" si="82"/>
        <v>14</v>
      </c>
      <c r="AR101" s="5">
        <f t="shared" si="82"/>
        <v>15</v>
      </c>
      <c r="AS101" s="5">
        <f t="shared" si="82"/>
        <v>16</v>
      </c>
      <c r="AT101" s="5">
        <f t="shared" si="82"/>
        <v>17</v>
      </c>
      <c r="AU101" s="5">
        <f t="shared" si="82"/>
        <v>18</v>
      </c>
      <c r="AV101" s="5">
        <f t="shared" si="82"/>
        <v>19</v>
      </c>
      <c r="AW101" s="5">
        <f t="shared" si="82"/>
        <v>20</v>
      </c>
      <c r="AX101" s="5">
        <f t="shared" si="82"/>
        <v>21</v>
      </c>
      <c r="AY101" s="5">
        <f t="shared" si="82"/>
        <v>22</v>
      </c>
      <c r="AZ101" s="5">
        <f t="shared" si="82"/>
        <v>23</v>
      </c>
      <c r="BA101" s="46"/>
      <c r="BB101" s="4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5" hidden="1" customHeight="1" x14ac:dyDescent="0.25">
      <c r="B102" s="139">
        <v>17</v>
      </c>
      <c r="C102" s="140">
        <v>6</v>
      </c>
      <c r="D102" s="139" t="str">
        <f t="shared" si="68"/>
        <v>COUNTDOWN_WEST_J_2_17</v>
      </c>
      <c r="E102" s="140"/>
      <c r="F102" s="142" t="s">
        <v>33</v>
      </c>
      <c r="G102" s="140" t="s">
        <v>19</v>
      </c>
      <c r="H102" s="140" t="s">
        <v>11</v>
      </c>
      <c r="I102" s="140">
        <v>2</v>
      </c>
      <c r="J102" s="144"/>
      <c r="K102" s="144"/>
      <c r="L102" s="143"/>
      <c r="M102" s="82"/>
      <c r="N102" s="5"/>
      <c r="O102" s="5"/>
      <c r="P102" s="5"/>
      <c r="Q102" s="5"/>
      <c r="R102" s="5"/>
      <c r="S102" s="5"/>
      <c r="T102" s="5"/>
      <c r="U102" s="5"/>
      <c r="V102" s="5"/>
      <c r="W102" s="178"/>
      <c r="X102" s="8"/>
      <c r="Y102" s="3"/>
      <c r="Z102" s="3"/>
      <c r="AA102" s="3"/>
      <c r="AB102" s="3"/>
      <c r="AC102" s="31"/>
      <c r="AD102" s="86"/>
      <c r="AE102" s="3"/>
      <c r="AF102" s="3"/>
      <c r="AG102" s="6"/>
      <c r="AH102" s="6"/>
      <c r="AI102" s="46"/>
      <c r="AJ102" s="46"/>
      <c r="AK102" s="56"/>
      <c r="AL102" s="56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0"/>
      <c r="BA102" s="40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5" hidden="1" customHeight="1" x14ac:dyDescent="0.25">
      <c r="B103" s="139">
        <v>18</v>
      </c>
      <c r="C103" s="139">
        <v>1</v>
      </c>
      <c r="D103" s="139" t="str">
        <f t="shared" si="68"/>
        <v>SORTING_WEST_Q_1_17</v>
      </c>
      <c r="E103" s="139" t="s">
        <v>35</v>
      </c>
      <c r="F103" s="138" t="s">
        <v>45</v>
      </c>
      <c r="G103" s="140" t="s">
        <v>19</v>
      </c>
      <c r="H103" s="140" t="s">
        <v>59</v>
      </c>
      <c r="I103" s="140">
        <v>1</v>
      </c>
      <c r="J103" s="139"/>
      <c r="K103" s="184">
        <f>COUNT(X103:AT103)</f>
        <v>12</v>
      </c>
      <c r="L103" s="141"/>
      <c r="M103" s="42"/>
      <c r="N103" s="46"/>
      <c r="O103" s="46"/>
      <c r="P103" s="46"/>
      <c r="Q103" s="46"/>
      <c r="R103" s="46"/>
      <c r="S103" s="46"/>
      <c r="T103" s="46"/>
      <c r="U103" s="46"/>
      <c r="V103" s="46"/>
      <c r="W103" s="101"/>
      <c r="X103" s="8">
        <v>1</v>
      </c>
      <c r="Y103" s="5">
        <f t="shared" ref="Y103:AN107" si="83">X103+1</f>
        <v>2</v>
      </c>
      <c r="Z103" s="5">
        <f t="shared" si="83"/>
        <v>3</v>
      </c>
      <c r="AA103" s="5">
        <f t="shared" si="83"/>
        <v>4</v>
      </c>
      <c r="AB103" s="5">
        <f t="shared" si="83"/>
        <v>5</v>
      </c>
      <c r="AC103" s="64">
        <f t="shared" si="83"/>
        <v>6</v>
      </c>
      <c r="AD103" s="179">
        <f t="shared" si="83"/>
        <v>7</v>
      </c>
      <c r="AE103" s="5">
        <f t="shared" si="83"/>
        <v>8</v>
      </c>
      <c r="AF103" s="5">
        <f t="shared" si="83"/>
        <v>9</v>
      </c>
      <c r="AG103" s="5">
        <f t="shared" si="83"/>
        <v>10</v>
      </c>
      <c r="AH103" s="5">
        <f t="shared" si="83"/>
        <v>11</v>
      </c>
      <c r="AI103" s="5">
        <f t="shared" si="83"/>
        <v>12</v>
      </c>
      <c r="AJ103" s="4"/>
      <c r="AK103" s="3"/>
      <c r="AL103" s="3"/>
      <c r="AM103" s="3"/>
      <c r="AN103" s="3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15" hidden="1" customHeight="1" x14ac:dyDescent="0.25">
      <c r="B104" s="139">
        <v>18</v>
      </c>
      <c r="C104" s="139">
        <v>2</v>
      </c>
      <c r="D104" s="139" t="str">
        <f t="shared" si="68"/>
        <v>TRANSFER_WEST_Q_1_17</v>
      </c>
      <c r="E104" s="139" t="s">
        <v>21</v>
      </c>
      <c r="F104" s="138" t="s">
        <v>21</v>
      </c>
      <c r="G104" s="140" t="s">
        <v>19</v>
      </c>
      <c r="H104" s="140" t="s">
        <v>59</v>
      </c>
      <c r="I104" s="140">
        <v>1</v>
      </c>
      <c r="J104" s="139"/>
      <c r="K104" s="184">
        <f>COUNT(X104:AT104)</f>
        <v>13</v>
      </c>
      <c r="L104" s="141"/>
      <c r="M104" s="42"/>
      <c r="N104" s="46"/>
      <c r="O104" s="46"/>
      <c r="P104" s="46"/>
      <c r="Q104" s="46"/>
      <c r="R104" s="46"/>
      <c r="S104" s="46"/>
      <c r="T104" s="46"/>
      <c r="U104" s="46"/>
      <c r="V104" s="46"/>
      <c r="W104" s="101"/>
      <c r="X104" s="82">
        <v>1</v>
      </c>
      <c r="Y104" s="3">
        <f t="shared" si="83"/>
        <v>2</v>
      </c>
      <c r="Z104" s="3">
        <f t="shared" si="83"/>
        <v>3</v>
      </c>
      <c r="AA104" s="3">
        <f t="shared" si="83"/>
        <v>4</v>
      </c>
      <c r="AB104" s="3">
        <f t="shared" si="83"/>
        <v>5</v>
      </c>
      <c r="AC104" s="31">
        <f t="shared" si="83"/>
        <v>6</v>
      </c>
      <c r="AD104" s="86">
        <f t="shared" si="83"/>
        <v>7</v>
      </c>
      <c r="AE104" s="3">
        <f t="shared" si="83"/>
        <v>8</v>
      </c>
      <c r="AF104" s="3">
        <f t="shared" si="83"/>
        <v>9</v>
      </c>
      <c r="AG104" s="3">
        <f t="shared" si="83"/>
        <v>10</v>
      </c>
      <c r="AH104" s="3">
        <f t="shared" si="83"/>
        <v>11</v>
      </c>
      <c r="AI104" s="3">
        <f t="shared" si="83"/>
        <v>12</v>
      </c>
      <c r="AJ104" s="3">
        <f t="shared" si="83"/>
        <v>13</v>
      </c>
      <c r="AK104" s="4"/>
      <c r="AL104" s="4"/>
      <c r="AM104" s="3"/>
      <c r="AN104" s="3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15" customHeight="1" x14ac:dyDescent="0.25">
      <c r="B105" s="139">
        <v>18</v>
      </c>
      <c r="C105" s="139">
        <v>3</v>
      </c>
      <c r="D105" s="139" t="str">
        <f t="shared" si="68"/>
        <v>PREPARE_WEST_Q_1_17</v>
      </c>
      <c r="E105" s="139" t="s">
        <v>0</v>
      </c>
      <c r="F105" s="138" t="s">
        <v>46</v>
      </c>
      <c r="G105" s="140" t="s">
        <v>19</v>
      </c>
      <c r="H105" s="140" t="s">
        <v>59</v>
      </c>
      <c r="I105" s="140">
        <v>1</v>
      </c>
      <c r="J105" s="139"/>
      <c r="K105" s="184">
        <f>COUNT(M105:AT105)</f>
        <v>27</v>
      </c>
      <c r="L105" s="141"/>
      <c r="M105" s="82">
        <v>1</v>
      </c>
      <c r="N105" s="5">
        <f t="shared" ref="N105:AA105" si="84">M105+1</f>
        <v>2</v>
      </c>
      <c r="O105" s="5">
        <f t="shared" si="84"/>
        <v>3</v>
      </c>
      <c r="P105" s="5">
        <f t="shared" si="84"/>
        <v>4</v>
      </c>
      <c r="Q105" s="5">
        <f t="shared" si="84"/>
        <v>5</v>
      </c>
      <c r="R105" s="5">
        <f t="shared" si="84"/>
        <v>6</v>
      </c>
      <c r="S105" s="5">
        <f t="shared" si="84"/>
        <v>7</v>
      </c>
      <c r="T105" s="5">
        <f t="shared" si="84"/>
        <v>8</v>
      </c>
      <c r="U105" s="5">
        <f t="shared" si="84"/>
        <v>9</v>
      </c>
      <c r="V105" s="5">
        <f t="shared" si="84"/>
        <v>10</v>
      </c>
      <c r="W105" s="178">
        <f t="shared" si="84"/>
        <v>11</v>
      </c>
      <c r="X105" s="82">
        <f t="shared" si="84"/>
        <v>12</v>
      </c>
      <c r="Y105" s="5">
        <f t="shared" si="84"/>
        <v>13</v>
      </c>
      <c r="Z105" s="5">
        <f t="shared" si="84"/>
        <v>14</v>
      </c>
      <c r="AA105" s="5">
        <f t="shared" si="84"/>
        <v>15</v>
      </c>
      <c r="AB105" s="5">
        <f t="shared" si="83"/>
        <v>16</v>
      </c>
      <c r="AC105" s="64">
        <f t="shared" si="83"/>
        <v>17</v>
      </c>
      <c r="AD105" s="179">
        <f t="shared" si="83"/>
        <v>18</v>
      </c>
      <c r="AE105" s="5">
        <f t="shared" si="83"/>
        <v>19</v>
      </c>
      <c r="AF105" s="5">
        <f t="shared" si="83"/>
        <v>20</v>
      </c>
      <c r="AG105" s="5">
        <f t="shared" si="83"/>
        <v>21</v>
      </c>
      <c r="AH105" s="5">
        <f t="shared" si="83"/>
        <v>22</v>
      </c>
      <c r="AI105" s="5">
        <f t="shared" si="83"/>
        <v>23</v>
      </c>
      <c r="AJ105" s="5">
        <f t="shared" si="83"/>
        <v>24</v>
      </c>
      <c r="AK105" s="5">
        <f t="shared" si="83"/>
        <v>25</v>
      </c>
      <c r="AL105" s="5">
        <f t="shared" si="83"/>
        <v>26</v>
      </c>
      <c r="AM105" s="5">
        <f t="shared" si="83"/>
        <v>27</v>
      </c>
      <c r="AN105" s="4"/>
      <c r="AO105" s="4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15" customHeight="1" x14ac:dyDescent="0.25">
      <c r="B106" s="139">
        <v>18</v>
      </c>
      <c r="C106" s="139">
        <v>4</v>
      </c>
      <c r="D106" s="139" t="str">
        <f t="shared" si="68"/>
        <v>SUPPLY_WEST_Q_1_17</v>
      </c>
      <c r="E106" s="139" t="s">
        <v>0</v>
      </c>
      <c r="F106" s="142" t="s">
        <v>0</v>
      </c>
      <c r="G106" s="140" t="s">
        <v>19</v>
      </c>
      <c r="H106" s="140" t="s">
        <v>59</v>
      </c>
      <c r="I106" s="140">
        <v>1</v>
      </c>
      <c r="J106" s="141"/>
      <c r="K106" s="184">
        <f>COUNT(AD106:BK106)</f>
        <v>12</v>
      </c>
      <c r="L106" s="141"/>
      <c r="M106" s="42"/>
      <c r="N106" s="46"/>
      <c r="O106" s="46"/>
      <c r="P106" s="46"/>
      <c r="Q106" s="46"/>
      <c r="R106" s="46"/>
      <c r="S106" s="46"/>
      <c r="T106" s="46"/>
      <c r="U106" s="46"/>
      <c r="V106" s="46"/>
      <c r="W106" s="190"/>
      <c r="X106" s="247"/>
      <c r="Y106" s="248"/>
      <c r="Z106" s="46"/>
      <c r="AA106" s="46"/>
      <c r="AB106" s="46"/>
      <c r="AC106" s="57"/>
      <c r="AD106" s="179">
        <v>1</v>
      </c>
      <c r="AE106" s="5">
        <f t="shared" si="83"/>
        <v>2</v>
      </c>
      <c r="AF106" s="5">
        <f t="shared" si="83"/>
        <v>3</v>
      </c>
      <c r="AG106" s="5">
        <f t="shared" si="83"/>
        <v>4</v>
      </c>
      <c r="AH106" s="5">
        <f t="shared" si="83"/>
        <v>5</v>
      </c>
      <c r="AI106" s="5">
        <f t="shared" si="83"/>
        <v>6</v>
      </c>
      <c r="AJ106" s="5">
        <f t="shared" si="83"/>
        <v>7</v>
      </c>
      <c r="AK106" s="5">
        <f t="shared" si="83"/>
        <v>8</v>
      </c>
      <c r="AL106" s="5">
        <f>AK106+1</f>
        <v>9</v>
      </c>
      <c r="AM106" s="5">
        <f>AL106+1</f>
        <v>10</v>
      </c>
      <c r="AN106" s="5">
        <f>AM106+1</f>
        <v>11</v>
      </c>
      <c r="AO106" s="5">
        <f>AN106+1</f>
        <v>12</v>
      </c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15" customHeight="1" x14ac:dyDescent="0.25">
      <c r="B107" s="139">
        <v>18</v>
      </c>
      <c r="C107" s="140">
        <v>5</v>
      </c>
      <c r="D107" s="139" t="str">
        <f t="shared" si="68"/>
        <v>EMPTY_WEST_Q_1_17</v>
      </c>
      <c r="E107" s="140" t="s">
        <v>0</v>
      </c>
      <c r="F107" s="142" t="s">
        <v>32</v>
      </c>
      <c r="G107" s="140" t="s">
        <v>19</v>
      </c>
      <c r="H107" s="140" t="s">
        <v>59</v>
      </c>
      <c r="I107" s="140">
        <v>1</v>
      </c>
      <c r="J107" s="143"/>
      <c r="K107" s="184">
        <f>COUNT(AD107:BG107)</f>
        <v>25</v>
      </c>
      <c r="L107" s="143"/>
      <c r="M107" s="42"/>
      <c r="N107" s="46"/>
      <c r="O107" s="46"/>
      <c r="P107" s="46"/>
      <c r="Q107" s="46"/>
      <c r="R107" s="46"/>
      <c r="S107" s="46"/>
      <c r="T107" s="46"/>
      <c r="U107" s="46"/>
      <c r="V107" s="46"/>
      <c r="W107" s="190"/>
      <c r="X107" s="42"/>
      <c r="Y107" s="46"/>
      <c r="Z107" s="46"/>
      <c r="AA107" s="46"/>
      <c r="AB107" s="46"/>
      <c r="AC107" s="57"/>
      <c r="AD107" s="179">
        <v>1</v>
      </c>
      <c r="AE107" s="5">
        <f t="shared" si="83"/>
        <v>2</v>
      </c>
      <c r="AF107" s="5">
        <f t="shared" si="83"/>
        <v>3</v>
      </c>
      <c r="AG107" s="5">
        <f t="shared" si="83"/>
        <v>4</v>
      </c>
      <c r="AH107" s="5">
        <f t="shared" si="83"/>
        <v>5</v>
      </c>
      <c r="AI107" s="5">
        <f t="shared" si="83"/>
        <v>6</v>
      </c>
      <c r="AJ107" s="5">
        <f t="shared" si="83"/>
        <v>7</v>
      </c>
      <c r="AK107" s="5">
        <f t="shared" si="83"/>
        <v>8</v>
      </c>
      <c r="AL107" s="5">
        <f t="shared" si="83"/>
        <v>9</v>
      </c>
      <c r="AM107" s="5">
        <f t="shared" si="83"/>
        <v>10</v>
      </c>
      <c r="AN107" s="5">
        <f t="shared" si="83"/>
        <v>11</v>
      </c>
      <c r="AO107" s="5">
        <f t="shared" ref="AO107:BB107" si="85">AN107+1</f>
        <v>12</v>
      </c>
      <c r="AP107" s="5">
        <f t="shared" si="85"/>
        <v>13</v>
      </c>
      <c r="AQ107" s="5">
        <f t="shared" si="85"/>
        <v>14</v>
      </c>
      <c r="AR107" s="5">
        <f t="shared" si="85"/>
        <v>15</v>
      </c>
      <c r="AS107" s="5">
        <f t="shared" si="85"/>
        <v>16</v>
      </c>
      <c r="AT107" s="5">
        <f t="shared" si="85"/>
        <v>17</v>
      </c>
      <c r="AU107" s="5">
        <f t="shared" si="85"/>
        <v>18</v>
      </c>
      <c r="AV107" s="5">
        <f t="shared" si="85"/>
        <v>19</v>
      </c>
      <c r="AW107" s="5">
        <f t="shared" si="85"/>
        <v>20</v>
      </c>
      <c r="AX107" s="5">
        <f t="shared" si="85"/>
        <v>21</v>
      </c>
      <c r="AY107" s="5">
        <f t="shared" si="85"/>
        <v>22</v>
      </c>
      <c r="AZ107" s="5">
        <f t="shared" si="85"/>
        <v>23</v>
      </c>
      <c r="BA107" s="5">
        <f t="shared" si="85"/>
        <v>24</v>
      </c>
      <c r="BB107" s="5">
        <f t="shared" si="85"/>
        <v>25</v>
      </c>
      <c r="BC107" s="46"/>
      <c r="BD107" s="4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5" hidden="1" customHeight="1" x14ac:dyDescent="0.25">
      <c r="B108" s="139">
        <v>18</v>
      </c>
      <c r="C108" s="140">
        <v>6</v>
      </c>
      <c r="D108" s="139" t="str">
        <f t="shared" si="68"/>
        <v>COUNTDOWN_WEST_Q_1_17</v>
      </c>
      <c r="E108" s="140"/>
      <c r="F108" s="142" t="s">
        <v>33</v>
      </c>
      <c r="G108" s="140" t="s">
        <v>19</v>
      </c>
      <c r="H108" s="140" t="s">
        <v>59</v>
      </c>
      <c r="I108" s="140">
        <v>1</v>
      </c>
      <c r="J108" s="144"/>
      <c r="K108" s="144"/>
      <c r="L108" s="143"/>
      <c r="M108" s="82"/>
      <c r="N108" s="5"/>
      <c r="O108" s="5"/>
      <c r="P108" s="5"/>
      <c r="Q108" s="5"/>
      <c r="R108" s="5"/>
      <c r="S108" s="5"/>
      <c r="T108" s="5"/>
      <c r="U108" s="5"/>
      <c r="V108" s="5"/>
      <c r="W108" s="178"/>
      <c r="X108" s="8"/>
      <c r="Y108" s="3"/>
      <c r="Z108" s="3"/>
      <c r="AA108" s="3"/>
      <c r="AB108" s="3"/>
      <c r="AC108" s="31"/>
      <c r="AD108" s="86"/>
      <c r="AE108" s="3"/>
      <c r="AF108" s="3"/>
      <c r="AG108" s="3"/>
      <c r="AH108" s="3"/>
      <c r="AI108" s="6"/>
      <c r="AJ108" s="6"/>
      <c r="AK108" s="46"/>
      <c r="AL108" s="46"/>
      <c r="AM108" s="56"/>
      <c r="AN108" s="56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0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5" hidden="1" customHeight="1" x14ac:dyDescent="0.25">
      <c r="A109" t="s">
        <v>7</v>
      </c>
      <c r="B109" s="139">
        <v>19</v>
      </c>
      <c r="C109" s="139">
        <v>1</v>
      </c>
      <c r="D109" s="139" t="str">
        <f t="shared" si="68"/>
        <v>SORTING_WEST_F_2_17</v>
      </c>
      <c r="E109" s="139" t="s">
        <v>35</v>
      </c>
      <c r="F109" s="138" t="s">
        <v>45</v>
      </c>
      <c r="G109" s="140" t="s">
        <v>19</v>
      </c>
      <c r="H109" s="140" t="s">
        <v>7</v>
      </c>
      <c r="I109" s="140">
        <v>2</v>
      </c>
      <c r="J109" s="139"/>
      <c r="K109" s="184">
        <f>COUNT(X109:AT109)</f>
        <v>13</v>
      </c>
      <c r="L109" s="141"/>
      <c r="M109" s="42"/>
      <c r="N109" s="46"/>
      <c r="O109" s="46"/>
      <c r="P109" s="46"/>
      <c r="Q109" s="46"/>
      <c r="R109" s="46"/>
      <c r="S109" s="46"/>
      <c r="T109" s="46"/>
      <c r="U109" s="46"/>
      <c r="V109" s="46"/>
      <c r="W109" s="101"/>
      <c r="X109" s="8">
        <v>1</v>
      </c>
      <c r="Y109" s="5">
        <f t="shared" ref="Y109:AN112" si="86">X109+1</f>
        <v>2</v>
      </c>
      <c r="Z109" s="5">
        <f t="shared" si="86"/>
        <v>3</v>
      </c>
      <c r="AA109" s="5">
        <f t="shared" si="86"/>
        <v>4</v>
      </c>
      <c r="AB109" s="5">
        <f t="shared" si="86"/>
        <v>5</v>
      </c>
      <c r="AC109" s="64">
        <f t="shared" si="86"/>
        <v>6</v>
      </c>
      <c r="AD109" s="179">
        <f t="shared" si="86"/>
        <v>7</v>
      </c>
      <c r="AE109" s="5">
        <f t="shared" si="86"/>
        <v>8</v>
      </c>
      <c r="AF109" s="5">
        <f t="shared" si="86"/>
        <v>9</v>
      </c>
      <c r="AG109" s="5">
        <f t="shared" si="86"/>
        <v>10</v>
      </c>
      <c r="AH109" s="5">
        <f t="shared" si="86"/>
        <v>11</v>
      </c>
      <c r="AI109" s="5">
        <f t="shared" si="86"/>
        <v>12</v>
      </c>
      <c r="AJ109" s="5">
        <f t="shared" si="86"/>
        <v>13</v>
      </c>
      <c r="AK109" s="4"/>
      <c r="AL109" s="4"/>
      <c r="AM109" s="3"/>
      <c r="AN109" s="3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  <row r="110" spans="1:97" ht="15" hidden="1" customHeight="1" x14ac:dyDescent="0.25">
      <c r="A110" t="s">
        <v>7</v>
      </c>
      <c r="B110" s="139">
        <v>19</v>
      </c>
      <c r="C110" s="139">
        <v>2</v>
      </c>
      <c r="D110" s="139" t="str">
        <f t="shared" si="68"/>
        <v>TRANSFER_WEST_F_2_17</v>
      </c>
      <c r="E110" s="139" t="s">
        <v>21</v>
      </c>
      <c r="F110" s="138" t="s">
        <v>21</v>
      </c>
      <c r="G110" s="140" t="s">
        <v>19</v>
      </c>
      <c r="H110" s="140" t="s">
        <v>7</v>
      </c>
      <c r="I110" s="140">
        <v>2</v>
      </c>
      <c r="J110" s="139"/>
      <c r="K110" s="184">
        <f>COUNT(X110:AT110)</f>
        <v>15</v>
      </c>
      <c r="L110" s="141"/>
      <c r="M110" s="42"/>
      <c r="N110" s="46"/>
      <c r="O110" s="46"/>
      <c r="P110" s="46"/>
      <c r="Q110" s="46"/>
      <c r="R110" s="46"/>
      <c r="S110" s="46"/>
      <c r="T110" s="46"/>
      <c r="U110" s="46"/>
      <c r="V110" s="46"/>
      <c r="W110" s="101"/>
      <c r="X110" s="82">
        <v>1</v>
      </c>
      <c r="Y110" s="3">
        <f t="shared" si="86"/>
        <v>2</v>
      </c>
      <c r="Z110" s="3">
        <f t="shared" si="86"/>
        <v>3</v>
      </c>
      <c r="AA110" s="3">
        <f t="shared" si="86"/>
        <v>4</v>
      </c>
      <c r="AB110" s="3">
        <f t="shared" si="86"/>
        <v>5</v>
      </c>
      <c r="AC110" s="31">
        <f t="shared" si="86"/>
        <v>6</v>
      </c>
      <c r="AD110" s="86">
        <f t="shared" si="86"/>
        <v>7</v>
      </c>
      <c r="AE110" s="3">
        <f t="shared" si="86"/>
        <v>8</v>
      </c>
      <c r="AF110" s="3">
        <f t="shared" si="86"/>
        <v>9</v>
      </c>
      <c r="AG110" s="3">
        <f t="shared" si="86"/>
        <v>10</v>
      </c>
      <c r="AH110" s="3">
        <f t="shared" si="86"/>
        <v>11</v>
      </c>
      <c r="AI110" s="3">
        <f t="shared" si="86"/>
        <v>12</v>
      </c>
      <c r="AJ110" s="3">
        <f t="shared" si="86"/>
        <v>13</v>
      </c>
      <c r="AK110" s="3">
        <f t="shared" si="86"/>
        <v>14</v>
      </c>
      <c r="AL110" s="3">
        <f t="shared" si="86"/>
        <v>15</v>
      </c>
      <c r="AM110" s="4"/>
      <c r="AN110" s="4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</row>
    <row r="111" spans="1:97" ht="15" customHeight="1" x14ac:dyDescent="0.25">
      <c r="A111" t="s">
        <v>7</v>
      </c>
      <c r="B111" s="139">
        <v>19</v>
      </c>
      <c r="C111" s="139">
        <v>3</v>
      </c>
      <c r="D111" s="139" t="str">
        <f t="shared" si="68"/>
        <v>PREPARE_WEST_F_2_17</v>
      </c>
      <c r="E111" s="139" t="s">
        <v>0</v>
      </c>
      <c r="F111" s="138" t="s">
        <v>46</v>
      </c>
      <c r="G111" s="140" t="s">
        <v>19</v>
      </c>
      <c r="H111" s="140" t="s">
        <v>7</v>
      </c>
      <c r="I111" s="140">
        <v>2</v>
      </c>
      <c r="J111" s="139"/>
      <c r="K111" s="184">
        <f>COUNT(M111:AT111)</f>
        <v>29</v>
      </c>
      <c r="L111" s="141"/>
      <c r="M111" s="82">
        <v>1</v>
      </c>
      <c r="N111" s="5">
        <f t="shared" ref="N111:AA111" si="87">M111+1</f>
        <v>2</v>
      </c>
      <c r="O111" s="5">
        <f t="shared" si="87"/>
        <v>3</v>
      </c>
      <c r="P111" s="5">
        <f t="shared" si="87"/>
        <v>4</v>
      </c>
      <c r="Q111" s="5">
        <f t="shared" si="87"/>
        <v>5</v>
      </c>
      <c r="R111" s="5">
        <f t="shared" si="87"/>
        <v>6</v>
      </c>
      <c r="S111" s="5">
        <f t="shared" si="87"/>
        <v>7</v>
      </c>
      <c r="T111" s="5">
        <f t="shared" si="87"/>
        <v>8</v>
      </c>
      <c r="U111" s="5">
        <f t="shared" si="87"/>
        <v>9</v>
      </c>
      <c r="V111" s="5">
        <f t="shared" si="87"/>
        <v>10</v>
      </c>
      <c r="W111" s="178">
        <f t="shared" si="87"/>
        <v>11</v>
      </c>
      <c r="X111" s="82">
        <f t="shared" si="87"/>
        <v>12</v>
      </c>
      <c r="Y111" s="5">
        <f t="shared" si="87"/>
        <v>13</v>
      </c>
      <c r="Z111" s="5">
        <f t="shared" si="87"/>
        <v>14</v>
      </c>
      <c r="AA111" s="5">
        <f t="shared" si="87"/>
        <v>15</v>
      </c>
      <c r="AB111" s="5">
        <f t="shared" si="86"/>
        <v>16</v>
      </c>
      <c r="AC111" s="64">
        <f t="shared" si="86"/>
        <v>17</v>
      </c>
      <c r="AD111" s="179">
        <f t="shared" si="86"/>
        <v>18</v>
      </c>
      <c r="AE111" s="5">
        <f t="shared" si="86"/>
        <v>19</v>
      </c>
      <c r="AF111" s="5">
        <f t="shared" si="86"/>
        <v>20</v>
      </c>
      <c r="AG111" s="5">
        <f t="shared" si="86"/>
        <v>21</v>
      </c>
      <c r="AH111" s="5">
        <f t="shared" si="86"/>
        <v>22</v>
      </c>
      <c r="AI111" s="5">
        <f t="shared" si="86"/>
        <v>23</v>
      </c>
      <c r="AJ111" s="5">
        <f t="shared" si="86"/>
        <v>24</v>
      </c>
      <c r="AK111" s="5">
        <f t="shared" si="86"/>
        <v>25</v>
      </c>
      <c r="AL111" s="5">
        <f t="shared" si="86"/>
        <v>26</v>
      </c>
      <c r="AM111" s="5">
        <f t="shared" si="86"/>
        <v>27</v>
      </c>
      <c r="AN111" s="5">
        <f t="shared" si="86"/>
        <v>28</v>
      </c>
      <c r="AO111" s="5">
        <f t="shared" ref="AE111:AT113" si="88">AN111+1</f>
        <v>29</v>
      </c>
      <c r="AP111" s="4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</row>
    <row r="112" spans="1:97" ht="15" customHeight="1" x14ac:dyDescent="0.25">
      <c r="A112" t="s">
        <v>7</v>
      </c>
      <c r="B112" s="139">
        <v>19</v>
      </c>
      <c r="C112" s="139">
        <v>4</v>
      </c>
      <c r="D112" s="139" t="str">
        <f t="shared" si="68"/>
        <v>SUPPLY_WEST_F_2_17</v>
      </c>
      <c r="E112" s="139" t="s">
        <v>0</v>
      </c>
      <c r="F112" s="142" t="s">
        <v>0</v>
      </c>
      <c r="G112" s="140" t="s">
        <v>19</v>
      </c>
      <c r="H112" s="140" t="s">
        <v>7</v>
      </c>
      <c r="I112" s="140">
        <v>2</v>
      </c>
      <c r="J112" s="141"/>
      <c r="K112" s="184">
        <f>COUNT(AD112:BK112)</f>
        <v>13</v>
      </c>
      <c r="L112" s="141"/>
      <c r="M112" s="42"/>
      <c r="N112" s="46"/>
      <c r="O112" s="46"/>
      <c r="P112" s="46"/>
      <c r="Q112" s="46"/>
      <c r="R112" s="46"/>
      <c r="S112" s="46"/>
      <c r="T112" s="46"/>
      <c r="U112" s="46"/>
      <c r="V112" s="46"/>
      <c r="W112" s="190"/>
      <c r="X112" s="247"/>
      <c r="Y112" s="248"/>
      <c r="Z112" s="46"/>
      <c r="AA112" s="46"/>
      <c r="AB112" s="46"/>
      <c r="AC112" s="57"/>
      <c r="AD112" s="179">
        <v>1</v>
      </c>
      <c r="AE112" s="5">
        <f t="shared" si="88"/>
        <v>2</v>
      </c>
      <c r="AF112" s="5">
        <f t="shared" si="88"/>
        <v>3</v>
      </c>
      <c r="AG112" s="5">
        <f t="shared" si="88"/>
        <v>4</v>
      </c>
      <c r="AH112" s="5">
        <f t="shared" si="88"/>
        <v>5</v>
      </c>
      <c r="AI112" s="5">
        <f t="shared" si="88"/>
        <v>6</v>
      </c>
      <c r="AJ112" s="5">
        <f t="shared" si="88"/>
        <v>7</v>
      </c>
      <c r="AK112" s="5">
        <f t="shared" si="88"/>
        <v>8</v>
      </c>
      <c r="AL112" s="5">
        <f t="shared" si="88"/>
        <v>9</v>
      </c>
      <c r="AM112" s="5">
        <f>AL112+1</f>
        <v>10</v>
      </c>
      <c r="AN112" s="5">
        <f t="shared" si="86"/>
        <v>11</v>
      </c>
      <c r="AO112" s="5">
        <f t="shared" si="88"/>
        <v>12</v>
      </c>
      <c r="AP112" s="5">
        <f t="shared" si="88"/>
        <v>13</v>
      </c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</row>
    <row r="113" spans="1:97" ht="15" customHeight="1" x14ac:dyDescent="0.25">
      <c r="A113" t="s">
        <v>7</v>
      </c>
      <c r="B113" s="139">
        <v>19</v>
      </c>
      <c r="C113" s="140">
        <v>5</v>
      </c>
      <c r="D113" s="139" t="str">
        <f t="shared" si="68"/>
        <v>EMPTY_WEST_F_2_17</v>
      </c>
      <c r="E113" s="140" t="s">
        <v>0</v>
      </c>
      <c r="F113" s="142" t="s">
        <v>32</v>
      </c>
      <c r="G113" s="140" t="s">
        <v>19</v>
      </c>
      <c r="H113" s="140" t="s">
        <v>7</v>
      </c>
      <c r="I113" s="140">
        <v>2</v>
      </c>
      <c r="J113" s="143"/>
      <c r="K113" s="184">
        <f>COUNT(AD113:BG113)</f>
        <v>27</v>
      </c>
      <c r="L113" s="143"/>
      <c r="M113" s="42"/>
      <c r="N113" s="46"/>
      <c r="O113" s="46"/>
      <c r="P113" s="46"/>
      <c r="Q113" s="46"/>
      <c r="R113" s="46"/>
      <c r="S113" s="46"/>
      <c r="T113" s="46"/>
      <c r="U113" s="46"/>
      <c r="V113" s="46"/>
      <c r="W113" s="190"/>
      <c r="X113" s="42"/>
      <c r="Y113" s="46"/>
      <c r="Z113" s="46"/>
      <c r="AA113" s="46"/>
      <c r="AB113" s="46"/>
      <c r="AC113" s="57"/>
      <c r="AD113" s="179">
        <v>1</v>
      </c>
      <c r="AE113" s="5">
        <f t="shared" si="88"/>
        <v>2</v>
      </c>
      <c r="AF113" s="5">
        <f t="shared" si="88"/>
        <v>3</v>
      </c>
      <c r="AG113" s="5">
        <f t="shared" si="88"/>
        <v>4</v>
      </c>
      <c r="AH113" s="5">
        <f t="shared" si="88"/>
        <v>5</v>
      </c>
      <c r="AI113" s="5">
        <f t="shared" si="88"/>
        <v>6</v>
      </c>
      <c r="AJ113" s="5">
        <f t="shared" si="88"/>
        <v>7</v>
      </c>
      <c r="AK113" s="5">
        <f t="shared" si="88"/>
        <v>8</v>
      </c>
      <c r="AL113" s="5">
        <f t="shared" si="88"/>
        <v>9</v>
      </c>
      <c r="AM113" s="5">
        <f t="shared" si="88"/>
        <v>10</v>
      </c>
      <c r="AN113" s="5">
        <f t="shared" si="88"/>
        <v>11</v>
      </c>
      <c r="AO113" s="5">
        <f t="shared" si="88"/>
        <v>12</v>
      </c>
      <c r="AP113" s="5">
        <f t="shared" si="88"/>
        <v>13</v>
      </c>
      <c r="AQ113" s="5">
        <f t="shared" si="88"/>
        <v>14</v>
      </c>
      <c r="AR113" s="5">
        <f t="shared" si="88"/>
        <v>15</v>
      </c>
      <c r="AS113" s="5">
        <f t="shared" si="88"/>
        <v>16</v>
      </c>
      <c r="AT113" s="5">
        <f t="shared" si="88"/>
        <v>17</v>
      </c>
      <c r="AU113" s="5">
        <f t="shared" ref="AU113:BD113" si="89">AT113+1</f>
        <v>18</v>
      </c>
      <c r="AV113" s="5">
        <f t="shared" si="89"/>
        <v>19</v>
      </c>
      <c r="AW113" s="5">
        <f t="shared" si="89"/>
        <v>20</v>
      </c>
      <c r="AX113" s="5">
        <f t="shared" si="89"/>
        <v>21</v>
      </c>
      <c r="AY113" s="5">
        <f t="shared" si="89"/>
        <v>22</v>
      </c>
      <c r="AZ113" s="5">
        <f t="shared" si="89"/>
        <v>23</v>
      </c>
      <c r="BA113" s="5">
        <f t="shared" si="89"/>
        <v>24</v>
      </c>
      <c r="BB113" s="5">
        <f t="shared" si="89"/>
        <v>25</v>
      </c>
      <c r="BC113" s="5">
        <f t="shared" si="89"/>
        <v>26</v>
      </c>
      <c r="BD113" s="5">
        <f t="shared" si="89"/>
        <v>27</v>
      </c>
      <c r="BE113" s="46"/>
      <c r="BF113" s="4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</row>
    <row r="114" spans="1:97" ht="15" hidden="1" customHeight="1" x14ac:dyDescent="0.25">
      <c r="A114" t="s">
        <v>7</v>
      </c>
      <c r="B114" s="139">
        <v>19</v>
      </c>
      <c r="C114" s="140">
        <v>6</v>
      </c>
      <c r="D114" s="139" t="str">
        <f t="shared" si="68"/>
        <v>COUNTDOWN_WEST_F_2_17</v>
      </c>
      <c r="E114" s="140"/>
      <c r="F114" s="142" t="s">
        <v>33</v>
      </c>
      <c r="G114" s="140" t="s">
        <v>19</v>
      </c>
      <c r="H114" s="140" t="s">
        <v>7</v>
      </c>
      <c r="I114" s="140">
        <v>2</v>
      </c>
      <c r="J114" s="144"/>
      <c r="K114" s="144"/>
      <c r="L114" s="143"/>
      <c r="M114" s="82"/>
      <c r="N114" s="5"/>
      <c r="O114" s="5"/>
      <c r="P114" s="5"/>
      <c r="Q114" s="5"/>
      <c r="R114" s="5"/>
      <c r="S114" s="5"/>
      <c r="T114" s="5"/>
      <c r="U114" s="5"/>
      <c r="V114" s="5"/>
      <c r="W114" s="178"/>
      <c r="X114" s="8"/>
      <c r="Y114" s="3"/>
      <c r="Z114" s="3"/>
      <c r="AA114" s="3"/>
      <c r="AB114" s="3"/>
      <c r="AC114" s="31"/>
      <c r="AD114" s="86"/>
      <c r="AE114" s="3"/>
      <c r="AF114" s="3"/>
      <c r="AG114" s="3"/>
      <c r="AH114" s="3"/>
      <c r="AI114" s="3"/>
      <c r="AJ114" s="3"/>
      <c r="AK114" s="6"/>
      <c r="AL114" s="6"/>
      <c r="AM114" s="46"/>
      <c r="AN114" s="46"/>
      <c r="AO114" s="56"/>
      <c r="AP114" s="56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0"/>
      <c r="BE114" s="40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</row>
    <row r="115" spans="1:97" ht="15" hidden="1" customHeight="1" x14ac:dyDescent="0.25">
      <c r="A115" t="s">
        <v>14</v>
      </c>
      <c r="B115" s="139">
        <v>20</v>
      </c>
      <c r="C115" s="139">
        <v>1</v>
      </c>
      <c r="D115" s="139" t="str">
        <f t="shared" si="68"/>
        <v>SORTING_WEST_M_1_17</v>
      </c>
      <c r="E115" s="139" t="s">
        <v>35</v>
      </c>
      <c r="F115" s="138" t="s">
        <v>45</v>
      </c>
      <c r="G115" s="140" t="s">
        <v>19</v>
      </c>
      <c r="H115" s="140" t="s">
        <v>14</v>
      </c>
      <c r="I115" s="140">
        <v>1</v>
      </c>
      <c r="J115" s="139"/>
      <c r="K115" s="184">
        <f>COUNT(X115:AT115)</f>
        <v>15</v>
      </c>
      <c r="L115" s="141"/>
      <c r="M115" s="42"/>
      <c r="N115" s="46"/>
      <c r="O115" s="46"/>
      <c r="P115" s="46"/>
      <c r="Q115" s="46"/>
      <c r="R115" s="46"/>
      <c r="S115" s="46"/>
      <c r="T115" s="46"/>
      <c r="U115" s="46"/>
      <c r="V115" s="46"/>
      <c r="W115" s="101"/>
      <c r="X115" s="8">
        <v>1</v>
      </c>
      <c r="Y115" s="5">
        <f t="shared" ref="Y115:AN119" si="90">X115+1</f>
        <v>2</v>
      </c>
      <c r="Z115" s="5">
        <f t="shared" si="90"/>
        <v>3</v>
      </c>
      <c r="AA115" s="5">
        <f t="shared" si="90"/>
        <v>4</v>
      </c>
      <c r="AB115" s="5">
        <f t="shared" si="90"/>
        <v>5</v>
      </c>
      <c r="AC115" s="64">
        <f t="shared" si="90"/>
        <v>6</v>
      </c>
      <c r="AD115" s="179">
        <f t="shared" si="90"/>
        <v>7</v>
      </c>
      <c r="AE115" s="5">
        <f t="shared" si="90"/>
        <v>8</v>
      </c>
      <c r="AF115" s="5">
        <f t="shared" si="90"/>
        <v>9</v>
      </c>
      <c r="AG115" s="5">
        <f t="shared" si="90"/>
        <v>10</v>
      </c>
      <c r="AH115" s="5">
        <f t="shared" si="90"/>
        <v>11</v>
      </c>
      <c r="AI115" s="5">
        <f t="shared" si="90"/>
        <v>12</v>
      </c>
      <c r="AJ115" s="5">
        <f t="shared" si="90"/>
        <v>13</v>
      </c>
      <c r="AK115" s="5">
        <f t="shared" si="90"/>
        <v>14</v>
      </c>
      <c r="AL115" s="5">
        <f t="shared" si="90"/>
        <v>15</v>
      </c>
      <c r="AM115" s="4"/>
      <c r="AN115" s="4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</row>
    <row r="116" spans="1:97" ht="15" hidden="1" customHeight="1" x14ac:dyDescent="0.25">
      <c r="A116" t="s">
        <v>14</v>
      </c>
      <c r="B116" s="139">
        <v>20</v>
      </c>
      <c r="C116" s="139">
        <v>2</v>
      </c>
      <c r="D116" s="139" t="str">
        <f t="shared" si="68"/>
        <v>TRANSFER_WEST_M_1_17</v>
      </c>
      <c r="E116" s="139" t="s">
        <v>21</v>
      </c>
      <c r="F116" s="138" t="s">
        <v>21</v>
      </c>
      <c r="G116" s="140" t="s">
        <v>19</v>
      </c>
      <c r="H116" s="140" t="s">
        <v>14</v>
      </c>
      <c r="I116" s="140">
        <v>1</v>
      </c>
      <c r="J116" s="139"/>
      <c r="K116" s="184">
        <f>COUNT(X116:AT116)</f>
        <v>17</v>
      </c>
      <c r="L116" s="141"/>
      <c r="M116" s="42"/>
      <c r="N116" s="46"/>
      <c r="O116" s="46"/>
      <c r="P116" s="46"/>
      <c r="Q116" s="46"/>
      <c r="R116" s="46"/>
      <c r="S116" s="46"/>
      <c r="T116" s="46"/>
      <c r="U116" s="46"/>
      <c r="V116" s="46"/>
      <c r="W116" s="193"/>
      <c r="X116" s="92">
        <v>1</v>
      </c>
      <c r="Y116" s="3">
        <f t="shared" si="90"/>
        <v>2</v>
      </c>
      <c r="Z116" s="3">
        <f t="shared" si="90"/>
        <v>3</v>
      </c>
      <c r="AA116" s="3">
        <f t="shared" si="90"/>
        <v>4</v>
      </c>
      <c r="AB116" s="3">
        <f t="shared" si="90"/>
        <v>5</v>
      </c>
      <c r="AC116" s="31">
        <f t="shared" si="90"/>
        <v>6</v>
      </c>
      <c r="AD116" s="86">
        <f t="shared" si="90"/>
        <v>7</v>
      </c>
      <c r="AE116" s="3">
        <f t="shared" si="90"/>
        <v>8</v>
      </c>
      <c r="AF116" s="3">
        <f t="shared" si="90"/>
        <v>9</v>
      </c>
      <c r="AG116" s="3">
        <f t="shared" si="90"/>
        <v>10</v>
      </c>
      <c r="AH116" s="3">
        <f t="shared" si="90"/>
        <v>11</v>
      </c>
      <c r="AI116" s="3">
        <f t="shared" si="90"/>
        <v>12</v>
      </c>
      <c r="AJ116" s="3">
        <f t="shared" si="90"/>
        <v>13</v>
      </c>
      <c r="AK116" s="3">
        <f t="shared" si="90"/>
        <v>14</v>
      </c>
      <c r="AL116" s="3">
        <f t="shared" si="90"/>
        <v>15</v>
      </c>
      <c r="AM116" s="3">
        <f t="shared" si="90"/>
        <v>16</v>
      </c>
      <c r="AN116" s="3">
        <f t="shared" si="90"/>
        <v>17</v>
      </c>
      <c r="AO116" s="4"/>
      <c r="AP116" s="4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3"/>
      <c r="BG116" s="3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</row>
    <row r="117" spans="1:97" ht="15" customHeight="1" x14ac:dyDescent="0.25">
      <c r="A117" t="s">
        <v>14</v>
      </c>
      <c r="B117" s="139">
        <v>20</v>
      </c>
      <c r="C117" s="139">
        <v>3</v>
      </c>
      <c r="D117" s="139" t="str">
        <f t="shared" si="68"/>
        <v>PREPARE_WEST_M_1_17</v>
      </c>
      <c r="E117" s="139" t="s">
        <v>0</v>
      </c>
      <c r="F117" s="138" t="s">
        <v>46</v>
      </c>
      <c r="G117" s="140" t="s">
        <v>19</v>
      </c>
      <c r="H117" s="140" t="s">
        <v>14</v>
      </c>
      <c r="I117" s="140">
        <v>1</v>
      </c>
      <c r="J117" s="139"/>
      <c r="K117" s="184">
        <f>COUNT(M117:AT117)</f>
        <v>30</v>
      </c>
      <c r="L117" s="141"/>
      <c r="M117" s="82">
        <v>1</v>
      </c>
      <c r="N117" s="5">
        <f t="shared" ref="N117:AA117" si="91">M117+1</f>
        <v>2</v>
      </c>
      <c r="O117" s="5">
        <f t="shared" si="91"/>
        <v>3</v>
      </c>
      <c r="P117" s="5">
        <f t="shared" si="91"/>
        <v>4</v>
      </c>
      <c r="Q117" s="5">
        <f t="shared" si="91"/>
        <v>5</v>
      </c>
      <c r="R117" s="5">
        <f t="shared" si="91"/>
        <v>6</v>
      </c>
      <c r="S117" s="5">
        <f t="shared" si="91"/>
        <v>7</v>
      </c>
      <c r="T117" s="5">
        <f t="shared" si="91"/>
        <v>8</v>
      </c>
      <c r="U117" s="5">
        <f t="shared" si="91"/>
        <v>9</v>
      </c>
      <c r="V117" s="5">
        <f t="shared" si="91"/>
        <v>10</v>
      </c>
      <c r="W117" s="178">
        <f t="shared" si="91"/>
        <v>11</v>
      </c>
      <c r="X117" s="82">
        <f t="shared" si="91"/>
        <v>12</v>
      </c>
      <c r="Y117" s="5">
        <f t="shared" si="91"/>
        <v>13</v>
      </c>
      <c r="Z117" s="5">
        <f t="shared" si="91"/>
        <v>14</v>
      </c>
      <c r="AA117" s="5">
        <f t="shared" si="91"/>
        <v>15</v>
      </c>
      <c r="AB117" s="5">
        <f t="shared" si="90"/>
        <v>16</v>
      </c>
      <c r="AC117" s="64">
        <f t="shared" si="90"/>
        <v>17</v>
      </c>
      <c r="AD117" s="179">
        <f t="shared" si="90"/>
        <v>18</v>
      </c>
      <c r="AE117" s="5">
        <f t="shared" si="90"/>
        <v>19</v>
      </c>
      <c r="AF117" s="5">
        <f t="shared" si="90"/>
        <v>20</v>
      </c>
      <c r="AG117" s="5">
        <f t="shared" si="90"/>
        <v>21</v>
      </c>
      <c r="AH117" s="5">
        <f t="shared" si="90"/>
        <v>22</v>
      </c>
      <c r="AI117" s="5">
        <f t="shared" si="90"/>
        <v>23</v>
      </c>
      <c r="AJ117" s="5">
        <f t="shared" si="90"/>
        <v>24</v>
      </c>
      <c r="AK117" s="5">
        <f t="shared" si="90"/>
        <v>25</v>
      </c>
      <c r="AL117" s="5">
        <f t="shared" si="90"/>
        <v>26</v>
      </c>
      <c r="AM117" s="5">
        <f t="shared" si="90"/>
        <v>27</v>
      </c>
      <c r="AN117" s="5">
        <f t="shared" si="90"/>
        <v>28</v>
      </c>
      <c r="AO117" s="5">
        <f t="shared" ref="AO117:BD119" si="92">AN117+1</f>
        <v>29</v>
      </c>
      <c r="AP117" s="5">
        <f t="shared" si="92"/>
        <v>30</v>
      </c>
      <c r="AQ117" s="4"/>
      <c r="AR117" s="4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</row>
    <row r="118" spans="1:97" ht="15" customHeight="1" x14ac:dyDescent="0.25">
      <c r="A118" t="s">
        <v>14</v>
      </c>
      <c r="B118" s="139">
        <v>20</v>
      </c>
      <c r="C118" s="139">
        <v>4</v>
      </c>
      <c r="D118" s="139" t="str">
        <f t="shared" si="68"/>
        <v>SUPPLY_WEST_M_1_17</v>
      </c>
      <c r="E118" s="139" t="s">
        <v>0</v>
      </c>
      <c r="F118" s="142" t="s">
        <v>0</v>
      </c>
      <c r="G118" s="140" t="s">
        <v>19</v>
      </c>
      <c r="H118" s="140" t="s">
        <v>14</v>
      </c>
      <c r="I118" s="140">
        <v>1</v>
      </c>
      <c r="J118" s="141"/>
      <c r="K118" s="184">
        <f>COUNT(AD118:BK118)</f>
        <v>15</v>
      </c>
      <c r="L118" s="141"/>
      <c r="M118" s="42"/>
      <c r="N118" s="46"/>
      <c r="O118" s="46"/>
      <c r="P118" s="46"/>
      <c r="Q118" s="46"/>
      <c r="R118" s="46"/>
      <c r="S118" s="46"/>
      <c r="T118" s="46"/>
      <c r="U118" s="46"/>
      <c r="V118" s="46"/>
      <c r="W118" s="190"/>
      <c r="X118" s="247"/>
      <c r="Y118" s="248"/>
      <c r="Z118" s="46"/>
      <c r="AA118" s="46"/>
      <c r="AB118" s="46"/>
      <c r="AC118" s="57"/>
      <c r="AD118" s="179">
        <v>1</v>
      </c>
      <c r="AE118" s="5">
        <f t="shared" si="90"/>
        <v>2</v>
      </c>
      <c r="AF118" s="5">
        <f t="shared" si="90"/>
        <v>3</v>
      </c>
      <c r="AG118" s="5">
        <f t="shared" si="90"/>
        <v>4</v>
      </c>
      <c r="AH118" s="5">
        <f t="shared" si="90"/>
        <v>5</v>
      </c>
      <c r="AI118" s="5">
        <f t="shared" si="90"/>
        <v>6</v>
      </c>
      <c r="AJ118" s="5">
        <f t="shared" si="90"/>
        <v>7</v>
      </c>
      <c r="AK118" s="5">
        <f t="shared" si="90"/>
        <v>8</v>
      </c>
      <c r="AL118" s="5">
        <f t="shared" si="90"/>
        <v>9</v>
      </c>
      <c r="AM118" s="5">
        <f>AL118+1</f>
        <v>10</v>
      </c>
      <c r="AN118" s="5">
        <f t="shared" si="90"/>
        <v>11</v>
      </c>
      <c r="AO118" s="5">
        <f t="shared" si="92"/>
        <v>12</v>
      </c>
      <c r="AP118" s="5">
        <f t="shared" si="92"/>
        <v>13</v>
      </c>
      <c r="AQ118" s="5">
        <f t="shared" si="92"/>
        <v>14</v>
      </c>
      <c r="AR118" s="5">
        <f t="shared" si="92"/>
        <v>15</v>
      </c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</row>
    <row r="119" spans="1:97" ht="15" customHeight="1" x14ac:dyDescent="0.25">
      <c r="A119" t="s">
        <v>14</v>
      </c>
      <c r="B119" s="139">
        <v>20</v>
      </c>
      <c r="C119" s="140">
        <v>5</v>
      </c>
      <c r="D119" s="139" t="str">
        <f t="shared" si="68"/>
        <v>EMPTY_WEST_M_1_17</v>
      </c>
      <c r="E119" s="140" t="s">
        <v>0</v>
      </c>
      <c r="F119" s="142" t="s">
        <v>32</v>
      </c>
      <c r="G119" s="140" t="s">
        <v>19</v>
      </c>
      <c r="H119" s="140" t="s">
        <v>14</v>
      </c>
      <c r="I119" s="140">
        <v>1</v>
      </c>
      <c r="J119" s="143"/>
      <c r="K119" s="184">
        <f>COUNT(AD119:BG119)</f>
        <v>29</v>
      </c>
      <c r="L119" s="143"/>
      <c r="M119" s="42"/>
      <c r="N119" s="46"/>
      <c r="O119" s="46"/>
      <c r="P119" s="46"/>
      <c r="Q119" s="46"/>
      <c r="R119" s="46"/>
      <c r="S119" s="46"/>
      <c r="T119" s="46"/>
      <c r="U119" s="46"/>
      <c r="V119" s="46"/>
      <c r="W119" s="190"/>
      <c r="X119" s="42"/>
      <c r="Y119" s="46"/>
      <c r="Z119" s="46"/>
      <c r="AA119" s="46"/>
      <c r="AB119" s="46"/>
      <c r="AC119" s="57"/>
      <c r="AD119" s="179">
        <v>1</v>
      </c>
      <c r="AE119" s="5">
        <f t="shared" si="90"/>
        <v>2</v>
      </c>
      <c r="AF119" s="5">
        <f t="shared" si="90"/>
        <v>3</v>
      </c>
      <c r="AG119" s="5">
        <f t="shared" si="90"/>
        <v>4</v>
      </c>
      <c r="AH119" s="5">
        <f t="shared" si="90"/>
        <v>5</v>
      </c>
      <c r="AI119" s="5">
        <f t="shared" si="90"/>
        <v>6</v>
      </c>
      <c r="AJ119" s="5">
        <f t="shared" si="90"/>
        <v>7</v>
      </c>
      <c r="AK119" s="5">
        <f t="shared" si="90"/>
        <v>8</v>
      </c>
      <c r="AL119" s="5">
        <f t="shared" si="90"/>
        <v>9</v>
      </c>
      <c r="AM119" s="5">
        <f t="shared" si="90"/>
        <v>10</v>
      </c>
      <c r="AN119" s="5">
        <f t="shared" si="90"/>
        <v>11</v>
      </c>
      <c r="AO119" s="5">
        <f t="shared" si="92"/>
        <v>12</v>
      </c>
      <c r="AP119" s="5">
        <f t="shared" si="92"/>
        <v>13</v>
      </c>
      <c r="AQ119" s="5">
        <f t="shared" si="92"/>
        <v>14</v>
      </c>
      <c r="AR119" s="5">
        <f t="shared" si="92"/>
        <v>15</v>
      </c>
      <c r="AS119" s="5">
        <f t="shared" si="92"/>
        <v>16</v>
      </c>
      <c r="AT119" s="5">
        <f t="shared" si="92"/>
        <v>17</v>
      </c>
      <c r="AU119" s="5">
        <f t="shared" si="92"/>
        <v>18</v>
      </c>
      <c r="AV119" s="5">
        <f t="shared" si="92"/>
        <v>19</v>
      </c>
      <c r="AW119" s="5">
        <f t="shared" si="92"/>
        <v>20</v>
      </c>
      <c r="AX119" s="5">
        <f t="shared" si="92"/>
        <v>21</v>
      </c>
      <c r="AY119" s="5">
        <f t="shared" si="92"/>
        <v>22</v>
      </c>
      <c r="AZ119" s="5">
        <f t="shared" si="92"/>
        <v>23</v>
      </c>
      <c r="BA119" s="5">
        <f t="shared" si="92"/>
        <v>24</v>
      </c>
      <c r="BB119" s="5">
        <f t="shared" si="92"/>
        <v>25</v>
      </c>
      <c r="BC119" s="5">
        <f t="shared" si="92"/>
        <v>26</v>
      </c>
      <c r="BD119" s="5">
        <f t="shared" si="92"/>
        <v>27</v>
      </c>
      <c r="BE119" s="5">
        <f t="shared" ref="BE119:BF119" si="93">BD119+1</f>
        <v>28</v>
      </c>
      <c r="BF119" s="5">
        <f t="shared" si="93"/>
        <v>29</v>
      </c>
      <c r="BG119" s="46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</row>
    <row r="120" spans="1:97" ht="15.75" hidden="1" customHeight="1" thickBot="1" x14ac:dyDescent="0.3">
      <c r="A120" t="s">
        <v>14</v>
      </c>
      <c r="B120" s="139">
        <v>20</v>
      </c>
      <c r="C120" s="140">
        <v>6</v>
      </c>
      <c r="D120" s="139" t="str">
        <f t="shared" si="68"/>
        <v>COUNTDOWN_WEST_M_1_17</v>
      </c>
      <c r="E120" s="140"/>
      <c r="F120" s="142" t="s">
        <v>33</v>
      </c>
      <c r="G120" s="140" t="s">
        <v>19</v>
      </c>
      <c r="H120" s="140" t="s">
        <v>14</v>
      </c>
      <c r="I120" s="140">
        <v>1</v>
      </c>
      <c r="J120" s="144"/>
      <c r="K120" s="144"/>
      <c r="L120" s="143"/>
      <c r="M120" s="156"/>
      <c r="N120" s="157"/>
      <c r="O120" s="157"/>
      <c r="P120" s="157"/>
      <c r="Q120" s="157"/>
      <c r="R120" s="157"/>
      <c r="S120" s="157"/>
      <c r="T120" s="157"/>
      <c r="U120" s="157"/>
      <c r="V120" s="157"/>
      <c r="W120" s="159"/>
      <c r="X120" s="76"/>
      <c r="Y120" s="74"/>
      <c r="Z120" s="74"/>
      <c r="AA120" s="74"/>
      <c r="AB120" s="74"/>
      <c r="AC120" s="75"/>
      <c r="AD120" s="86"/>
      <c r="AE120" s="3"/>
      <c r="AF120" s="3"/>
      <c r="AG120" s="3"/>
      <c r="AH120" s="3"/>
      <c r="AI120" s="3"/>
      <c r="AJ120" s="3"/>
      <c r="AK120" s="3"/>
      <c r="AL120" s="3"/>
      <c r="AM120" s="6"/>
      <c r="AN120" s="6"/>
      <c r="AO120" s="46"/>
      <c r="AP120" s="46"/>
      <c r="AQ120" s="56"/>
      <c r="AR120" s="56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0"/>
      <c r="BG120" s="40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</row>
    <row r="121" spans="1:97" x14ac:dyDescent="0.25">
      <c r="I121" s="168"/>
    </row>
    <row r="122" spans="1:97" x14ac:dyDescent="0.25">
      <c r="I122" s="169"/>
    </row>
    <row r="123" spans="1:97" x14ac:dyDescent="0.25">
      <c r="I123" s="169"/>
    </row>
    <row r="124" spans="1:97" x14ac:dyDescent="0.25">
      <c r="I124" s="169"/>
    </row>
    <row r="125" spans="1:97" x14ac:dyDescent="0.25">
      <c r="I125" s="169"/>
    </row>
    <row r="126" spans="1:97" x14ac:dyDescent="0.25">
      <c r="I126" s="169"/>
    </row>
  </sheetData>
  <autoFilter ref="A6:CS120">
    <filterColumn colId="5">
      <filters>
        <filter val="EMPTY"/>
        <filter val="PREPARE"/>
        <filter val="SUPPLY"/>
      </filters>
    </filterColumn>
  </autoFilter>
  <mergeCells count="2">
    <mergeCell ref="V2:Y2"/>
    <mergeCell ref="AB2:A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CF121"/>
  <sheetViews>
    <sheetView zoomScale="85" zoomScaleNormal="85" workbookViewId="0">
      <selection activeCell="AX21" sqref="AX21"/>
    </sheetView>
  </sheetViews>
  <sheetFormatPr defaultRowHeight="15" x14ac:dyDescent="0.25"/>
  <cols>
    <col min="1" max="1" width="3.5703125" customWidth="1"/>
    <col min="2" max="2" width="6.85546875" bestFit="1" customWidth="1"/>
    <col min="3" max="3" width="14.7109375" customWidth="1"/>
    <col min="4" max="4" width="27.140625" bestFit="1" customWidth="1"/>
    <col min="5" max="5" width="16.85546875" bestFit="1" customWidth="1"/>
    <col min="6" max="6" width="14.85546875" bestFit="1" customWidth="1"/>
    <col min="7" max="7" width="6.7109375" bestFit="1" customWidth="1"/>
    <col min="9" max="9" width="4.7109375" bestFit="1" customWidth="1"/>
    <col min="10" max="11" width="8.140625" customWidth="1"/>
    <col min="13" max="48" width="3.28515625" customWidth="1"/>
    <col min="49" max="66" width="3.42578125" customWidth="1"/>
    <col min="67" max="84" width="2.85546875" customWidth="1"/>
  </cols>
  <sheetData>
    <row r="1" spans="2:84" ht="5.25" customHeight="1" x14ac:dyDescent="0.25"/>
    <row r="2" spans="2:84" ht="21" x14ac:dyDescent="0.25">
      <c r="B2" s="44" t="s">
        <v>60</v>
      </c>
      <c r="D2" s="335">
        <v>18</v>
      </c>
      <c r="E2" s="334" t="s">
        <v>66</v>
      </c>
      <c r="W2" s="359" t="s">
        <v>43</v>
      </c>
      <c r="X2" s="359"/>
      <c r="Y2" s="359"/>
      <c r="Z2" s="359"/>
      <c r="AC2" s="359" t="s">
        <v>44</v>
      </c>
      <c r="AD2" s="359"/>
      <c r="AE2" s="359"/>
      <c r="AF2" s="359"/>
    </row>
    <row r="3" spans="2:84" x14ac:dyDescent="0.25">
      <c r="Y3" s="162"/>
      <c r="AE3" s="164"/>
      <c r="AF3" s="2"/>
    </row>
    <row r="4" spans="2:84" ht="18.75" customHeight="1" x14ac:dyDescent="0.25">
      <c r="B4" s="135" t="s">
        <v>26</v>
      </c>
      <c r="C4" s="135" t="s">
        <v>25</v>
      </c>
      <c r="D4" s="135"/>
      <c r="E4" s="135" t="s">
        <v>34</v>
      </c>
      <c r="F4" s="135" t="s">
        <v>29</v>
      </c>
      <c r="G4" s="135" t="s">
        <v>17</v>
      </c>
      <c r="H4" s="135" t="s">
        <v>1</v>
      </c>
      <c r="I4" s="135" t="s">
        <v>20</v>
      </c>
      <c r="J4" s="135" t="s">
        <v>30</v>
      </c>
      <c r="K4" s="135" t="s">
        <v>31</v>
      </c>
      <c r="L4" s="135" t="s">
        <v>27</v>
      </c>
      <c r="Y4" s="165"/>
      <c r="AE4" s="151"/>
    </row>
    <row r="5" spans="2:84" ht="18.75" customHeight="1" x14ac:dyDescent="0.25">
      <c r="B5" s="136"/>
      <c r="C5" s="136"/>
      <c r="D5" s="136"/>
      <c r="E5" s="136"/>
      <c r="F5" s="136"/>
      <c r="G5" s="136"/>
      <c r="H5" s="136"/>
      <c r="I5" s="145"/>
      <c r="J5" s="136"/>
      <c r="K5" s="136">
        <v>17</v>
      </c>
      <c r="L5" s="137" t="s">
        <v>37</v>
      </c>
      <c r="M5" s="4">
        <v>18</v>
      </c>
      <c r="N5" s="4">
        <v>17</v>
      </c>
      <c r="O5" s="4">
        <v>16</v>
      </c>
      <c r="P5" s="4">
        <v>15</v>
      </c>
      <c r="Q5" s="4">
        <v>14</v>
      </c>
      <c r="R5" s="4">
        <v>13</v>
      </c>
      <c r="S5" s="4">
        <v>12</v>
      </c>
      <c r="T5" s="4">
        <v>11</v>
      </c>
      <c r="U5" s="4">
        <v>10</v>
      </c>
      <c r="V5" s="4">
        <v>9</v>
      </c>
      <c r="W5" s="4">
        <v>8</v>
      </c>
      <c r="X5" s="97">
        <v>7</v>
      </c>
      <c r="Y5" s="4">
        <v>6</v>
      </c>
      <c r="Z5" s="4">
        <v>5</v>
      </c>
      <c r="AA5" s="4">
        <v>4</v>
      </c>
      <c r="AB5" s="4">
        <v>3</v>
      </c>
      <c r="AC5" s="4">
        <v>2</v>
      </c>
      <c r="AD5" s="4">
        <v>1</v>
      </c>
      <c r="AE5" s="95">
        <v>18</v>
      </c>
      <c r="AF5" s="40">
        <v>17</v>
      </c>
      <c r="AG5" s="40">
        <v>16</v>
      </c>
      <c r="AH5" s="40">
        <v>15</v>
      </c>
      <c r="AI5" s="40">
        <v>14</v>
      </c>
      <c r="AJ5" s="40">
        <v>13</v>
      </c>
      <c r="AK5" s="40">
        <v>12</v>
      </c>
      <c r="AL5" s="40">
        <v>11</v>
      </c>
      <c r="AM5" s="40">
        <v>10</v>
      </c>
      <c r="AN5" s="40">
        <v>9</v>
      </c>
      <c r="AO5" s="40">
        <v>8</v>
      </c>
      <c r="AP5" s="40">
        <v>7</v>
      </c>
      <c r="AQ5" s="40">
        <v>6</v>
      </c>
      <c r="AR5" s="40">
        <v>5</v>
      </c>
      <c r="AS5" s="40">
        <v>4</v>
      </c>
      <c r="AT5" s="40">
        <v>3</v>
      </c>
      <c r="AU5" s="40">
        <v>2</v>
      </c>
      <c r="AV5" s="40">
        <v>1</v>
      </c>
      <c r="AW5" s="37">
        <v>18</v>
      </c>
      <c r="AX5" s="37">
        <v>17</v>
      </c>
      <c r="AY5" s="37">
        <v>16</v>
      </c>
      <c r="AZ5" s="37">
        <v>15</v>
      </c>
      <c r="BA5" s="37">
        <v>14</v>
      </c>
      <c r="BB5" s="37">
        <v>13</v>
      </c>
      <c r="BC5" s="37">
        <v>12</v>
      </c>
      <c r="BD5" s="37">
        <v>11</v>
      </c>
      <c r="BE5" s="37">
        <v>10</v>
      </c>
      <c r="BF5" s="37">
        <v>9</v>
      </c>
      <c r="BG5" s="37">
        <v>8</v>
      </c>
      <c r="BH5" s="37">
        <v>7</v>
      </c>
      <c r="BI5" s="37">
        <v>6</v>
      </c>
      <c r="BJ5" s="37">
        <v>5</v>
      </c>
      <c r="BK5" s="37">
        <v>4</v>
      </c>
      <c r="BL5" s="37">
        <v>3</v>
      </c>
      <c r="BM5" s="37">
        <v>2</v>
      </c>
      <c r="BN5" s="37">
        <v>1</v>
      </c>
      <c r="BO5" s="4">
        <v>18</v>
      </c>
      <c r="BP5" s="4">
        <v>17</v>
      </c>
      <c r="BQ5" s="4">
        <v>16</v>
      </c>
      <c r="BR5" s="4">
        <v>15</v>
      </c>
      <c r="BS5" s="4">
        <v>14</v>
      </c>
      <c r="BT5" s="4">
        <v>13</v>
      </c>
      <c r="BU5" s="4">
        <v>12</v>
      </c>
      <c r="BV5" s="4">
        <v>11</v>
      </c>
      <c r="BW5" s="4">
        <v>10</v>
      </c>
      <c r="BX5" s="4">
        <v>9</v>
      </c>
      <c r="BY5" s="4">
        <v>8</v>
      </c>
      <c r="BZ5" s="4">
        <v>7</v>
      </c>
      <c r="CA5" s="4">
        <v>6</v>
      </c>
      <c r="CB5" s="4">
        <v>5</v>
      </c>
      <c r="CC5" s="4">
        <v>4</v>
      </c>
      <c r="CD5" s="4">
        <v>3</v>
      </c>
      <c r="CE5" s="4">
        <v>2</v>
      </c>
      <c r="CF5" s="4">
        <v>1</v>
      </c>
    </row>
    <row r="6" spans="2:84" ht="18.75" customHeight="1" x14ac:dyDescent="0.25">
      <c r="B6" s="146">
        <v>0</v>
      </c>
      <c r="C6" s="146">
        <v>0</v>
      </c>
      <c r="D6" s="146"/>
      <c r="E6" s="146"/>
      <c r="F6" s="147" t="s">
        <v>23</v>
      </c>
      <c r="G6" s="146"/>
      <c r="H6" s="149"/>
      <c r="I6" s="148"/>
      <c r="J6" s="149"/>
      <c r="K6" s="150"/>
      <c r="L6" s="150"/>
      <c r="M6" s="4">
        <v>12</v>
      </c>
      <c r="N6" s="4">
        <v>11</v>
      </c>
      <c r="O6" s="4">
        <v>10</v>
      </c>
      <c r="P6" s="4">
        <v>9</v>
      </c>
      <c r="Q6" s="4">
        <v>8</v>
      </c>
      <c r="R6" s="97">
        <v>7</v>
      </c>
      <c r="S6" s="4">
        <v>6</v>
      </c>
      <c r="T6" s="4">
        <v>5</v>
      </c>
      <c r="U6" s="4">
        <v>4</v>
      </c>
      <c r="V6" s="4">
        <v>3</v>
      </c>
      <c r="W6" s="4">
        <v>2</v>
      </c>
      <c r="X6" s="4">
        <v>1</v>
      </c>
      <c r="Y6" s="95">
        <v>18</v>
      </c>
      <c r="Z6" s="40">
        <v>17</v>
      </c>
      <c r="AA6" s="40">
        <v>16</v>
      </c>
      <c r="AB6" s="40">
        <v>15</v>
      </c>
      <c r="AC6" s="40">
        <v>14</v>
      </c>
      <c r="AD6" s="40">
        <v>13</v>
      </c>
      <c r="AE6" s="40">
        <v>12</v>
      </c>
      <c r="AF6" s="40">
        <v>11</v>
      </c>
      <c r="AG6" s="40">
        <v>10</v>
      </c>
      <c r="AH6" s="40">
        <v>9</v>
      </c>
      <c r="AI6" s="40">
        <v>8</v>
      </c>
      <c r="AJ6" s="40">
        <v>7</v>
      </c>
      <c r="AK6" s="40">
        <v>6</v>
      </c>
      <c r="AL6" s="40">
        <v>5</v>
      </c>
      <c r="AM6" s="40">
        <v>4</v>
      </c>
      <c r="AN6" s="40">
        <v>3</v>
      </c>
      <c r="AO6" s="40">
        <v>2</v>
      </c>
      <c r="AP6" s="40">
        <v>1</v>
      </c>
      <c r="AQ6" s="37">
        <v>18</v>
      </c>
      <c r="AR6" s="37">
        <v>17</v>
      </c>
      <c r="AS6" s="37">
        <v>16</v>
      </c>
      <c r="AT6" s="37">
        <v>15</v>
      </c>
      <c r="AU6" s="37">
        <v>14</v>
      </c>
      <c r="AV6" s="37">
        <v>13</v>
      </c>
      <c r="AW6" s="37">
        <v>12</v>
      </c>
      <c r="AX6" s="37">
        <v>11</v>
      </c>
      <c r="AY6" s="37">
        <v>10</v>
      </c>
      <c r="AZ6" s="37">
        <v>9</v>
      </c>
      <c r="BA6" s="37">
        <v>8</v>
      </c>
      <c r="BB6" s="37">
        <v>7</v>
      </c>
      <c r="BC6" s="37">
        <v>6</v>
      </c>
      <c r="BD6" s="37">
        <v>5</v>
      </c>
      <c r="BE6" s="37">
        <v>4</v>
      </c>
      <c r="BF6" s="37">
        <v>3</v>
      </c>
      <c r="BG6" s="37">
        <v>2</v>
      </c>
      <c r="BH6" s="37">
        <v>1</v>
      </c>
      <c r="BI6" s="4">
        <v>18</v>
      </c>
      <c r="BJ6" s="4">
        <v>17</v>
      </c>
      <c r="BK6" s="4">
        <v>16</v>
      </c>
      <c r="BL6" s="4">
        <v>15</v>
      </c>
      <c r="BM6" s="4">
        <v>14</v>
      </c>
      <c r="BN6" s="4">
        <v>13</v>
      </c>
      <c r="BO6" s="4">
        <v>12</v>
      </c>
      <c r="BP6" s="4">
        <v>11</v>
      </c>
      <c r="BQ6" s="4">
        <v>10</v>
      </c>
      <c r="BR6" s="4">
        <v>9</v>
      </c>
      <c r="BS6" s="4">
        <v>8</v>
      </c>
      <c r="BT6" s="4">
        <v>7</v>
      </c>
      <c r="BU6" s="4">
        <v>6</v>
      </c>
      <c r="BV6" s="4">
        <v>5</v>
      </c>
      <c r="BW6" s="4">
        <v>4</v>
      </c>
      <c r="BX6" s="4">
        <v>3</v>
      </c>
      <c r="BY6" s="4">
        <v>2</v>
      </c>
      <c r="BZ6" s="4">
        <v>1</v>
      </c>
      <c r="CA6" s="5">
        <v>18</v>
      </c>
      <c r="CB6" s="5">
        <v>17</v>
      </c>
      <c r="CC6" s="5">
        <v>16</v>
      </c>
      <c r="CD6" s="5">
        <v>15</v>
      </c>
      <c r="CE6" s="5">
        <v>14</v>
      </c>
      <c r="CF6" s="5">
        <v>13</v>
      </c>
    </row>
    <row r="7" spans="2:84" hidden="1" x14ac:dyDescent="0.25">
      <c r="B7" s="139">
        <v>1</v>
      </c>
      <c r="C7" s="139">
        <v>1</v>
      </c>
      <c r="D7" s="139" t="str">
        <f>F7&amp;"_"&amp;G7&amp;"_"&amp;H7&amp;"_"&amp;I7&amp;"_"&amp;$D$2</f>
        <v>SORTING_EAST_UNP_1_18</v>
      </c>
      <c r="E7" s="139" t="s">
        <v>35</v>
      </c>
      <c r="F7" s="138" t="s">
        <v>45</v>
      </c>
      <c r="G7" s="140" t="s">
        <v>18</v>
      </c>
      <c r="H7" s="140" t="s">
        <v>42</v>
      </c>
      <c r="I7" s="140">
        <v>1</v>
      </c>
      <c r="J7" s="139"/>
      <c r="K7" s="184">
        <f>COUNT(Y7:AV7)</f>
        <v>0</v>
      </c>
      <c r="L7" s="139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101"/>
      <c r="Y7" s="11"/>
      <c r="Z7" s="12"/>
      <c r="AA7" s="16"/>
      <c r="AB7" s="16"/>
      <c r="AC7" s="16"/>
      <c r="AD7" s="17"/>
      <c r="AE7" s="179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</row>
    <row r="8" spans="2:84" hidden="1" x14ac:dyDescent="0.25">
      <c r="B8" s="139">
        <v>1</v>
      </c>
      <c r="C8" s="139">
        <v>2</v>
      </c>
      <c r="D8" s="139" t="str">
        <f t="shared" ref="D8:D77" si="0">F8&amp;"_"&amp;G8&amp;"_"&amp;H8&amp;"_"&amp;I8&amp;"_"&amp;$D$2</f>
        <v>TRANSFER_EAST_UNP_1_18</v>
      </c>
      <c r="E8" s="139" t="s">
        <v>21</v>
      </c>
      <c r="F8" s="138" t="s">
        <v>21</v>
      </c>
      <c r="G8" s="140" t="s">
        <v>18</v>
      </c>
      <c r="H8" s="140" t="s">
        <v>42</v>
      </c>
      <c r="I8" s="140">
        <v>1</v>
      </c>
      <c r="J8" s="139"/>
      <c r="K8" s="184">
        <f>COUNT(Y8:AV8)</f>
        <v>2</v>
      </c>
      <c r="L8" s="139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101"/>
      <c r="Y8" s="82">
        <v>1</v>
      </c>
      <c r="Z8" s="5">
        <f>Y8+1</f>
        <v>2</v>
      </c>
      <c r="AA8" s="4"/>
      <c r="AB8" s="3"/>
      <c r="AC8" s="5"/>
      <c r="AD8" s="64"/>
      <c r="AE8" s="179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</row>
    <row r="9" spans="2:84" x14ac:dyDescent="0.25">
      <c r="B9" s="139">
        <v>1</v>
      </c>
      <c r="C9" s="139">
        <v>3</v>
      </c>
      <c r="D9" s="139" t="str">
        <f t="shared" si="0"/>
        <v>PREPARE_EAST_UNP_1_18</v>
      </c>
      <c r="E9" s="139" t="s">
        <v>0</v>
      </c>
      <c r="F9" s="138" t="s">
        <v>46</v>
      </c>
      <c r="G9" s="140" t="s">
        <v>18</v>
      </c>
      <c r="H9" s="140" t="s">
        <v>42</v>
      </c>
      <c r="I9" s="140">
        <v>1</v>
      </c>
      <c r="J9" s="139"/>
      <c r="K9" s="184">
        <f>COUNT(M9:AV9)</f>
        <v>16</v>
      </c>
      <c r="L9" s="139"/>
      <c r="M9" s="5">
        <v>1</v>
      </c>
      <c r="N9" s="5">
        <f>M9+1</f>
        <v>2</v>
      </c>
      <c r="O9" s="5">
        <f t="shared" ref="O9:AB9" si="1">N9+1</f>
        <v>3</v>
      </c>
      <c r="P9" s="5">
        <f t="shared" si="1"/>
        <v>4</v>
      </c>
      <c r="Q9" s="5">
        <f t="shared" si="1"/>
        <v>5</v>
      </c>
      <c r="R9" s="5">
        <f t="shared" si="1"/>
        <v>6</v>
      </c>
      <c r="S9" s="5">
        <f t="shared" si="1"/>
        <v>7</v>
      </c>
      <c r="T9" s="5">
        <f t="shared" si="1"/>
        <v>8</v>
      </c>
      <c r="U9" s="5">
        <f t="shared" si="1"/>
        <v>9</v>
      </c>
      <c r="V9" s="5">
        <f t="shared" si="1"/>
        <v>10</v>
      </c>
      <c r="W9" s="5">
        <f t="shared" si="1"/>
        <v>11</v>
      </c>
      <c r="X9" s="178">
        <f t="shared" si="1"/>
        <v>12</v>
      </c>
      <c r="Y9" s="82">
        <f t="shared" si="1"/>
        <v>13</v>
      </c>
      <c r="Z9" s="5">
        <f t="shared" si="1"/>
        <v>14</v>
      </c>
      <c r="AA9" s="5">
        <f t="shared" si="1"/>
        <v>15</v>
      </c>
      <c r="AB9" s="5">
        <f t="shared" si="1"/>
        <v>16</v>
      </c>
      <c r="AC9" s="4"/>
      <c r="AD9" s="21"/>
      <c r="AE9" s="179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</row>
    <row r="10" spans="2:84" x14ac:dyDescent="0.25">
      <c r="B10" s="139">
        <v>1</v>
      </c>
      <c r="C10" s="139">
        <v>4</v>
      </c>
      <c r="D10" s="139" t="str">
        <f t="shared" si="0"/>
        <v>SUPPLY_EAST_UNP_1_18</v>
      </c>
      <c r="E10" s="139" t="s">
        <v>0</v>
      </c>
      <c r="F10" s="142" t="s">
        <v>0</v>
      </c>
      <c r="G10" s="140" t="s">
        <v>18</v>
      </c>
      <c r="H10" s="140" t="s">
        <v>42</v>
      </c>
      <c r="I10" s="140">
        <v>1</v>
      </c>
      <c r="J10" s="141"/>
      <c r="K10" s="184">
        <f>COUNT(AE10:BN10)</f>
        <v>0</v>
      </c>
      <c r="L10" s="13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90"/>
      <c r="Y10" s="191"/>
      <c r="Z10" s="189"/>
      <c r="AA10" s="189"/>
      <c r="AB10" s="189"/>
      <c r="AC10" s="189"/>
      <c r="AD10" s="192"/>
      <c r="AE10" s="93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</row>
    <row r="11" spans="2:84" x14ac:dyDescent="0.25">
      <c r="B11" s="139">
        <v>1</v>
      </c>
      <c r="C11" s="140">
        <v>5</v>
      </c>
      <c r="D11" s="139" t="str">
        <f t="shared" si="0"/>
        <v>EMPTY_EAST_UNP_1_18</v>
      </c>
      <c r="E11" s="140" t="s">
        <v>0</v>
      </c>
      <c r="F11" s="142" t="s">
        <v>32</v>
      </c>
      <c r="G11" s="140" t="s">
        <v>18</v>
      </c>
      <c r="H11" s="140" t="s">
        <v>42</v>
      </c>
      <c r="I11" s="140">
        <v>1</v>
      </c>
      <c r="J11" s="143"/>
      <c r="K11" s="184">
        <f>COUNT(AE11:BN11)</f>
        <v>14</v>
      </c>
      <c r="L11" s="140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90"/>
      <c r="Y11" s="191"/>
      <c r="Z11" s="189"/>
      <c r="AA11" s="189"/>
      <c r="AB11" s="189"/>
      <c r="AC11" s="189"/>
      <c r="AD11" s="192"/>
      <c r="AE11" s="131">
        <v>1</v>
      </c>
      <c r="AF11" s="1">
        <f>AE11+1</f>
        <v>2</v>
      </c>
      <c r="AG11" s="1">
        <f t="shared" ref="AG11:AR11" si="2">AF11+1</f>
        <v>3</v>
      </c>
      <c r="AH11" s="1">
        <f t="shared" si="2"/>
        <v>4</v>
      </c>
      <c r="AI11" s="1">
        <f t="shared" si="2"/>
        <v>5</v>
      </c>
      <c r="AJ11" s="1">
        <f t="shared" si="2"/>
        <v>6</v>
      </c>
      <c r="AK11" s="1">
        <f t="shared" si="2"/>
        <v>7</v>
      </c>
      <c r="AL11" s="1">
        <f t="shared" si="2"/>
        <v>8</v>
      </c>
      <c r="AM11" s="1">
        <f t="shared" si="2"/>
        <v>9</v>
      </c>
      <c r="AN11" s="1">
        <f t="shared" si="2"/>
        <v>10</v>
      </c>
      <c r="AO11" s="1">
        <f t="shared" si="2"/>
        <v>11</v>
      </c>
      <c r="AP11" s="1">
        <f t="shared" si="2"/>
        <v>12</v>
      </c>
      <c r="AQ11" s="1">
        <f t="shared" si="2"/>
        <v>13</v>
      </c>
      <c r="AR11" s="1">
        <f t="shared" si="2"/>
        <v>14</v>
      </c>
      <c r="AS11" s="46"/>
      <c r="AT11" s="4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</row>
    <row r="12" spans="2:84" hidden="1" x14ac:dyDescent="0.25">
      <c r="B12" s="139">
        <v>1</v>
      </c>
      <c r="C12" s="140">
        <v>6</v>
      </c>
      <c r="D12" s="139" t="str">
        <f t="shared" si="0"/>
        <v>COUNTDOWN_EAST_UNP_1_18</v>
      </c>
      <c r="E12" s="140"/>
      <c r="F12" s="142" t="s">
        <v>33</v>
      </c>
      <c r="G12" s="140" t="s">
        <v>18</v>
      </c>
      <c r="H12" s="140" t="s">
        <v>42</v>
      </c>
      <c r="I12" s="140">
        <v>1</v>
      </c>
      <c r="J12" s="144"/>
      <c r="K12" s="144"/>
      <c r="L12" s="140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178"/>
      <c r="Y12" s="29"/>
      <c r="Z12" s="6"/>
      <c r="AA12" s="46"/>
      <c r="AB12" s="46"/>
      <c r="AC12" s="56"/>
      <c r="AD12" s="64"/>
      <c r="AE12" s="93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</row>
    <row r="13" spans="2:84" hidden="1" x14ac:dyDescent="0.25">
      <c r="B13" s="139">
        <v>2</v>
      </c>
      <c r="C13" s="139">
        <v>1</v>
      </c>
      <c r="D13" s="139" t="str">
        <f t="shared" si="0"/>
        <v>SORTING_EAST_A_2_18</v>
      </c>
      <c r="E13" s="139" t="s">
        <v>35</v>
      </c>
      <c r="F13" s="138" t="s">
        <v>45</v>
      </c>
      <c r="G13" s="140" t="s">
        <v>18</v>
      </c>
      <c r="H13" s="140" t="s">
        <v>2</v>
      </c>
      <c r="I13" s="140">
        <v>2</v>
      </c>
      <c r="J13" s="139"/>
      <c r="K13" s="184">
        <f>COUNT(Y13:AV13)</f>
        <v>2</v>
      </c>
      <c r="L13" s="139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101"/>
      <c r="Y13" s="82">
        <v>1</v>
      </c>
      <c r="Z13" s="5">
        <f>Y13+1</f>
        <v>2</v>
      </c>
      <c r="AA13" s="4"/>
      <c r="AB13" s="3"/>
      <c r="AC13" s="5"/>
      <c r="AD13" s="64"/>
      <c r="AE13" s="179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</row>
    <row r="14" spans="2:84" hidden="1" x14ac:dyDescent="0.25">
      <c r="B14" s="139">
        <v>2</v>
      </c>
      <c r="C14" s="139">
        <v>2</v>
      </c>
      <c r="D14" s="139" t="str">
        <f t="shared" si="0"/>
        <v>TRANSFER_EAST_A_2_18</v>
      </c>
      <c r="E14" s="139" t="s">
        <v>21</v>
      </c>
      <c r="F14" s="138" t="s">
        <v>21</v>
      </c>
      <c r="G14" s="140" t="s">
        <v>18</v>
      </c>
      <c r="H14" s="140" t="s">
        <v>2</v>
      </c>
      <c r="I14" s="140">
        <v>2</v>
      </c>
      <c r="J14" s="139"/>
      <c r="K14" s="184">
        <f>COUNT(Y14:AV14)</f>
        <v>3</v>
      </c>
      <c r="L14" s="139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101"/>
      <c r="Y14" s="82">
        <v>1</v>
      </c>
      <c r="Z14" s="5">
        <f t="shared" ref="Z14:AA14" si="3">Y14+1</f>
        <v>2</v>
      </c>
      <c r="AA14" s="5">
        <f t="shared" si="3"/>
        <v>3</v>
      </c>
      <c r="AB14" s="4"/>
      <c r="AC14" s="3"/>
      <c r="AD14" s="31"/>
      <c r="AE14" s="179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</row>
    <row r="15" spans="2:84" x14ac:dyDescent="0.25">
      <c r="B15" s="139">
        <v>2</v>
      </c>
      <c r="C15" s="139">
        <v>3</v>
      </c>
      <c r="D15" s="139" t="str">
        <f t="shared" si="0"/>
        <v>PREPARE_EAST_A_2_18</v>
      </c>
      <c r="E15" s="139" t="s">
        <v>0</v>
      </c>
      <c r="F15" s="138" t="s">
        <v>46</v>
      </c>
      <c r="G15" s="140" t="s">
        <v>18</v>
      </c>
      <c r="H15" s="140" t="s">
        <v>2</v>
      </c>
      <c r="I15" s="140">
        <v>2</v>
      </c>
      <c r="J15" s="139"/>
      <c r="K15" s="184">
        <f>COUNT(M15:AV15)</f>
        <v>18</v>
      </c>
      <c r="L15" s="139"/>
      <c r="M15" s="5">
        <v>1</v>
      </c>
      <c r="N15" s="5">
        <f t="shared" ref="N15:AD15" si="4">M15+1</f>
        <v>2</v>
      </c>
      <c r="O15" s="5">
        <f t="shared" si="4"/>
        <v>3</v>
      </c>
      <c r="P15" s="5">
        <f t="shared" si="4"/>
        <v>4</v>
      </c>
      <c r="Q15" s="5">
        <f t="shared" si="4"/>
        <v>5</v>
      </c>
      <c r="R15" s="5">
        <f t="shared" si="4"/>
        <v>6</v>
      </c>
      <c r="S15" s="5">
        <f t="shared" si="4"/>
        <v>7</v>
      </c>
      <c r="T15" s="5">
        <f t="shared" si="4"/>
        <v>8</v>
      </c>
      <c r="U15" s="5">
        <f t="shared" si="4"/>
        <v>9</v>
      </c>
      <c r="V15" s="5">
        <f t="shared" si="4"/>
        <v>10</v>
      </c>
      <c r="W15" s="5">
        <f t="shared" si="4"/>
        <v>11</v>
      </c>
      <c r="X15" s="178">
        <f t="shared" si="4"/>
        <v>12</v>
      </c>
      <c r="Y15" s="82">
        <f t="shared" si="4"/>
        <v>13</v>
      </c>
      <c r="Z15" s="5">
        <f t="shared" si="4"/>
        <v>14</v>
      </c>
      <c r="AA15" s="5">
        <f t="shared" si="4"/>
        <v>15</v>
      </c>
      <c r="AB15" s="5">
        <f t="shared" si="4"/>
        <v>16</v>
      </c>
      <c r="AC15" s="5">
        <f t="shared" si="4"/>
        <v>17</v>
      </c>
      <c r="AD15" s="64">
        <f t="shared" si="4"/>
        <v>18</v>
      </c>
      <c r="AE15" s="93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</row>
    <row r="16" spans="2:84" x14ac:dyDescent="0.25">
      <c r="B16" s="139">
        <v>2</v>
      </c>
      <c r="C16" s="139">
        <v>4</v>
      </c>
      <c r="D16" s="139" t="str">
        <f t="shared" si="0"/>
        <v>SUPPLY_EAST_A_2_18</v>
      </c>
      <c r="E16" s="139" t="s">
        <v>0</v>
      </c>
      <c r="F16" s="142" t="s">
        <v>0</v>
      </c>
      <c r="G16" s="140" t="s">
        <v>18</v>
      </c>
      <c r="H16" s="140" t="s">
        <v>2</v>
      </c>
      <c r="I16" s="140">
        <v>2</v>
      </c>
      <c r="J16" s="141"/>
      <c r="K16" s="184">
        <f>COUNT(AE16:BN16)</f>
        <v>1</v>
      </c>
      <c r="L16" s="13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90"/>
      <c r="Y16" s="191"/>
      <c r="Z16" s="189"/>
      <c r="AA16" s="189"/>
      <c r="AB16" s="189"/>
      <c r="AC16" s="46"/>
      <c r="AD16" s="57"/>
      <c r="AE16" s="131">
        <v>1</v>
      </c>
      <c r="AF16" s="93"/>
      <c r="AG16" s="93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</row>
    <row r="17" spans="1:84" x14ac:dyDescent="0.25">
      <c r="B17" s="139">
        <v>2</v>
      </c>
      <c r="C17" s="140">
        <v>5</v>
      </c>
      <c r="D17" s="139" t="str">
        <f t="shared" si="0"/>
        <v>EMPTY_EAST_A_2_18</v>
      </c>
      <c r="E17" s="140" t="s">
        <v>0</v>
      </c>
      <c r="F17" s="142" t="s">
        <v>32</v>
      </c>
      <c r="G17" s="140" t="s">
        <v>18</v>
      </c>
      <c r="H17" s="140" t="s">
        <v>2</v>
      </c>
      <c r="I17" s="140">
        <v>2</v>
      </c>
      <c r="J17" s="143"/>
      <c r="K17" s="184">
        <f>COUNT(AE17:BN17)</f>
        <v>16</v>
      </c>
      <c r="L17" s="140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90"/>
      <c r="Y17" s="191"/>
      <c r="Z17" s="189"/>
      <c r="AA17" s="189"/>
      <c r="AB17" s="189"/>
      <c r="AC17" s="189"/>
      <c r="AD17" s="192"/>
      <c r="AE17" s="131">
        <v>1</v>
      </c>
      <c r="AF17" s="1">
        <f t="shared" ref="AF17:AT17" si="5">AE17+1</f>
        <v>2</v>
      </c>
      <c r="AG17" s="1">
        <f t="shared" si="5"/>
        <v>3</v>
      </c>
      <c r="AH17" s="1">
        <f t="shared" si="5"/>
        <v>4</v>
      </c>
      <c r="AI17" s="1">
        <f t="shared" si="5"/>
        <v>5</v>
      </c>
      <c r="AJ17" s="1">
        <f t="shared" si="5"/>
        <v>6</v>
      </c>
      <c r="AK17" s="1">
        <f t="shared" si="5"/>
        <v>7</v>
      </c>
      <c r="AL17" s="1">
        <f t="shared" si="5"/>
        <v>8</v>
      </c>
      <c r="AM17" s="1">
        <f t="shared" si="5"/>
        <v>9</v>
      </c>
      <c r="AN17" s="1">
        <f t="shared" si="5"/>
        <v>10</v>
      </c>
      <c r="AO17" s="1">
        <f t="shared" si="5"/>
        <v>11</v>
      </c>
      <c r="AP17" s="1">
        <f t="shared" si="5"/>
        <v>12</v>
      </c>
      <c r="AQ17" s="1">
        <f t="shared" si="5"/>
        <v>13</v>
      </c>
      <c r="AR17" s="1">
        <f t="shared" si="5"/>
        <v>14</v>
      </c>
      <c r="AS17" s="1">
        <f t="shared" si="5"/>
        <v>15</v>
      </c>
      <c r="AT17" s="1">
        <f t="shared" si="5"/>
        <v>16</v>
      </c>
      <c r="AU17" s="46"/>
      <c r="AV17" s="4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</row>
    <row r="18" spans="1:84" hidden="1" x14ac:dyDescent="0.25">
      <c r="B18" s="139">
        <v>2</v>
      </c>
      <c r="C18" s="140">
        <v>6</v>
      </c>
      <c r="D18" s="139" t="str">
        <f t="shared" si="0"/>
        <v>COUNTDOWN_EAST_A_2_18</v>
      </c>
      <c r="E18" s="140"/>
      <c r="F18" s="142" t="s">
        <v>33</v>
      </c>
      <c r="G18" s="140" t="s">
        <v>18</v>
      </c>
      <c r="H18" s="140" t="s">
        <v>2</v>
      </c>
      <c r="I18" s="140">
        <v>2</v>
      </c>
      <c r="J18" s="144"/>
      <c r="K18" s="144"/>
      <c r="L18" s="140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178"/>
      <c r="Y18" s="82"/>
      <c r="Z18" s="5"/>
      <c r="AA18" s="6"/>
      <c r="AB18" s="6"/>
      <c r="AC18" s="46"/>
      <c r="AD18" s="59"/>
      <c r="AE18" s="13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</row>
    <row r="19" spans="1:84" hidden="1" x14ac:dyDescent="0.25">
      <c r="B19" s="139"/>
      <c r="C19" s="139">
        <v>1</v>
      </c>
      <c r="D19" s="139" t="str">
        <f t="shared" ref="D19:D24" si="6">F19&amp;"_"&amp;G19&amp;"_"&amp;H19&amp;"_"&amp;I19&amp;"_"&amp;$D$2</f>
        <v>SORTING_EAST_C/U_1_18</v>
      </c>
      <c r="E19" s="139" t="s">
        <v>35</v>
      </c>
      <c r="F19" s="138" t="s">
        <v>45</v>
      </c>
      <c r="G19" s="140" t="s">
        <v>18</v>
      </c>
      <c r="H19" s="140" t="s">
        <v>67</v>
      </c>
      <c r="I19" s="140">
        <v>1</v>
      </c>
      <c r="J19" s="139"/>
      <c r="K19" s="184">
        <f>COUNT(Y19:AV19)</f>
        <v>3</v>
      </c>
      <c r="L19" s="140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101"/>
      <c r="Y19" s="82">
        <v>1</v>
      </c>
      <c r="Z19" s="5">
        <f>Y19+1</f>
        <v>2</v>
      </c>
      <c r="AA19" s="5">
        <f>Z19+1</f>
        <v>3</v>
      </c>
      <c r="AB19" s="4"/>
      <c r="AC19" s="5"/>
      <c r="AD19" s="64"/>
      <c r="AE19" s="179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</row>
    <row r="20" spans="1:84" hidden="1" x14ac:dyDescent="0.25">
      <c r="B20" s="139"/>
      <c r="C20" s="139">
        <v>2</v>
      </c>
      <c r="D20" s="139" t="str">
        <f t="shared" si="6"/>
        <v>TRANSFER_EAST_C/U_1_18</v>
      </c>
      <c r="E20" s="139" t="s">
        <v>21</v>
      </c>
      <c r="F20" s="138" t="s">
        <v>21</v>
      </c>
      <c r="G20" s="140" t="s">
        <v>18</v>
      </c>
      <c r="H20" s="140" t="s">
        <v>67</v>
      </c>
      <c r="I20" s="140">
        <v>1</v>
      </c>
      <c r="J20" s="139"/>
      <c r="K20" s="184">
        <f>COUNT(Y20:AV20)</f>
        <v>4</v>
      </c>
      <c r="L20" s="140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101"/>
      <c r="Y20" s="82">
        <v>1</v>
      </c>
      <c r="Z20" s="5">
        <f t="shared" ref="Z20:Z21" si="7">Y20+1</f>
        <v>2</v>
      </c>
      <c r="AA20" s="5">
        <f t="shared" ref="AA20:AA21" si="8">Z20+1</f>
        <v>3</v>
      </c>
      <c r="AB20" s="5">
        <f t="shared" ref="AB20:AB21" si="9">AA20+1</f>
        <v>4</v>
      </c>
      <c r="AC20" s="4"/>
      <c r="AD20" s="21"/>
      <c r="AE20" s="179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</row>
    <row r="21" spans="1:84" x14ac:dyDescent="0.25">
      <c r="B21" s="139"/>
      <c r="C21" s="139">
        <v>3</v>
      </c>
      <c r="D21" s="139" t="str">
        <f t="shared" si="6"/>
        <v>PREPARE_EAST_C/U_1_18</v>
      </c>
      <c r="E21" s="139" t="s">
        <v>0</v>
      </c>
      <c r="F21" s="138" t="s">
        <v>46</v>
      </c>
      <c r="G21" s="140" t="s">
        <v>18</v>
      </c>
      <c r="H21" s="140" t="s">
        <v>67</v>
      </c>
      <c r="I21" s="140">
        <v>1</v>
      </c>
      <c r="J21" s="139"/>
      <c r="K21" s="184">
        <f>COUNT(M21:AV21)</f>
        <v>18</v>
      </c>
      <c r="L21" s="140"/>
      <c r="M21" s="5">
        <v>1</v>
      </c>
      <c r="N21" s="5">
        <f t="shared" ref="N21" si="10">M21+1</f>
        <v>2</v>
      </c>
      <c r="O21" s="5">
        <f t="shared" ref="O21" si="11">N21+1</f>
        <v>3</v>
      </c>
      <c r="P21" s="5">
        <f t="shared" ref="P21" si="12">O21+1</f>
        <v>4</v>
      </c>
      <c r="Q21" s="5">
        <f t="shared" ref="Q21" si="13">P21+1</f>
        <v>5</v>
      </c>
      <c r="R21" s="5">
        <f t="shared" ref="R21" si="14">Q21+1</f>
        <v>6</v>
      </c>
      <c r="S21" s="5">
        <f t="shared" ref="S21" si="15">R21+1</f>
        <v>7</v>
      </c>
      <c r="T21" s="5">
        <f t="shared" ref="T21" si="16">S21+1</f>
        <v>8</v>
      </c>
      <c r="U21" s="5">
        <f t="shared" ref="U21" si="17">T21+1</f>
        <v>9</v>
      </c>
      <c r="V21" s="5">
        <f t="shared" ref="V21" si="18">U21+1</f>
        <v>10</v>
      </c>
      <c r="W21" s="5">
        <f t="shared" ref="W21" si="19">V21+1</f>
        <v>11</v>
      </c>
      <c r="X21" s="178">
        <f t="shared" ref="X21" si="20">W21+1</f>
        <v>12</v>
      </c>
      <c r="Y21" s="82">
        <f t="shared" ref="Y21" si="21">X21+1</f>
        <v>13</v>
      </c>
      <c r="Z21" s="5">
        <f t="shared" si="7"/>
        <v>14</v>
      </c>
      <c r="AA21" s="5">
        <f t="shared" si="8"/>
        <v>15</v>
      </c>
      <c r="AB21" s="5">
        <f t="shared" si="9"/>
        <v>16</v>
      </c>
      <c r="AC21" s="5">
        <f t="shared" ref="AC21" si="22">AB21+1</f>
        <v>17</v>
      </c>
      <c r="AD21" s="64">
        <f t="shared" ref="AD21" si="23">AC21+1</f>
        <v>18</v>
      </c>
      <c r="AE21" s="93"/>
      <c r="AF21" s="93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</row>
    <row r="22" spans="1:84" x14ac:dyDescent="0.25">
      <c r="B22" s="139"/>
      <c r="C22" s="139">
        <v>4</v>
      </c>
      <c r="D22" s="139" t="str">
        <f t="shared" si="6"/>
        <v>SUPPLY_EAST_C/U_1_18</v>
      </c>
      <c r="E22" s="139" t="s">
        <v>0</v>
      </c>
      <c r="F22" s="142" t="s">
        <v>0</v>
      </c>
      <c r="G22" s="140" t="s">
        <v>18</v>
      </c>
      <c r="H22" s="140" t="s">
        <v>67</v>
      </c>
      <c r="I22" s="140">
        <v>1</v>
      </c>
      <c r="J22" s="141"/>
      <c r="K22" s="184">
        <f>COUNT(AE22:BN22)</f>
        <v>2</v>
      </c>
      <c r="L22" s="140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90"/>
      <c r="Y22" s="191"/>
      <c r="Z22" s="189"/>
      <c r="AA22" s="189"/>
      <c r="AB22" s="189"/>
      <c r="AC22" s="46"/>
      <c r="AD22" s="57"/>
      <c r="AE22" s="131">
        <v>1</v>
      </c>
      <c r="AF22" s="1">
        <f t="shared" ref="AF22:AF23" si="24">AE22+1</f>
        <v>2</v>
      </c>
      <c r="AG22" s="93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1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</row>
    <row r="23" spans="1:84" x14ac:dyDescent="0.25">
      <c r="B23" s="139"/>
      <c r="C23" s="140">
        <v>5</v>
      </c>
      <c r="D23" s="139" t="str">
        <f t="shared" si="6"/>
        <v>EMPTY_EAST_C/U_1_18</v>
      </c>
      <c r="E23" s="140" t="s">
        <v>0</v>
      </c>
      <c r="F23" s="142" t="s">
        <v>32</v>
      </c>
      <c r="G23" s="140" t="s">
        <v>18</v>
      </c>
      <c r="H23" s="140" t="s">
        <v>67</v>
      </c>
      <c r="I23" s="140">
        <v>1</v>
      </c>
      <c r="J23" s="143"/>
      <c r="K23" s="184">
        <f>COUNT(AE23:BN23)</f>
        <v>17</v>
      </c>
      <c r="L23" s="140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90"/>
      <c r="Y23" s="191"/>
      <c r="Z23" s="189"/>
      <c r="AA23" s="189"/>
      <c r="AB23" s="189"/>
      <c r="AC23" s="189"/>
      <c r="AD23" s="192"/>
      <c r="AE23" s="131">
        <v>1</v>
      </c>
      <c r="AF23" s="1">
        <f t="shared" si="24"/>
        <v>2</v>
      </c>
      <c r="AG23" s="1">
        <f t="shared" ref="AG23" si="25">AF23+1</f>
        <v>3</v>
      </c>
      <c r="AH23" s="1">
        <f t="shared" ref="AH23" si="26">AG23+1</f>
        <v>4</v>
      </c>
      <c r="AI23" s="1">
        <f t="shared" ref="AI23" si="27">AH23+1</f>
        <v>5</v>
      </c>
      <c r="AJ23" s="1">
        <f t="shared" ref="AJ23" si="28">AI23+1</f>
        <v>6</v>
      </c>
      <c r="AK23" s="1">
        <f t="shared" ref="AK23" si="29">AJ23+1</f>
        <v>7</v>
      </c>
      <c r="AL23" s="1">
        <f t="shared" ref="AL23" si="30">AK23+1</f>
        <v>8</v>
      </c>
      <c r="AM23" s="1">
        <f t="shared" ref="AM23" si="31">AL23+1</f>
        <v>9</v>
      </c>
      <c r="AN23" s="1">
        <f t="shared" ref="AN23" si="32">AM23+1</f>
        <v>10</v>
      </c>
      <c r="AO23" s="1">
        <f t="shared" ref="AO23" si="33">AN23+1</f>
        <v>11</v>
      </c>
      <c r="AP23" s="1">
        <f t="shared" ref="AP23" si="34">AO23+1</f>
        <v>12</v>
      </c>
      <c r="AQ23" s="1">
        <f t="shared" ref="AQ23" si="35">AP23+1</f>
        <v>13</v>
      </c>
      <c r="AR23" s="1">
        <f t="shared" ref="AR23" si="36">AQ23+1</f>
        <v>14</v>
      </c>
      <c r="AS23" s="1">
        <f t="shared" ref="AS23" si="37">AR23+1</f>
        <v>15</v>
      </c>
      <c r="AT23" s="1">
        <f t="shared" ref="AT23:AU23" si="38">AS23+1</f>
        <v>16</v>
      </c>
      <c r="AU23" s="1">
        <f t="shared" si="38"/>
        <v>17</v>
      </c>
      <c r="AV23" s="46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</row>
    <row r="24" spans="1:84" hidden="1" x14ac:dyDescent="0.25">
      <c r="B24" s="139"/>
      <c r="C24" s="140">
        <v>6</v>
      </c>
      <c r="D24" s="139" t="str">
        <f t="shared" si="6"/>
        <v>COUNTDOWN_EAST_C/U_1_18</v>
      </c>
      <c r="E24" s="140"/>
      <c r="F24" s="142" t="s">
        <v>33</v>
      </c>
      <c r="G24" s="140" t="s">
        <v>18</v>
      </c>
      <c r="H24" s="140" t="s">
        <v>67</v>
      </c>
      <c r="I24" s="140">
        <v>1</v>
      </c>
      <c r="J24" s="144"/>
      <c r="K24" s="144"/>
      <c r="L24" s="140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178"/>
      <c r="Y24" s="82"/>
      <c r="Z24" s="5"/>
      <c r="AA24" s="6"/>
      <c r="AB24" s="6"/>
      <c r="AC24" s="46"/>
      <c r="AD24" s="59"/>
      <c r="AE24" s="13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</row>
    <row r="25" spans="1:84" hidden="1" x14ac:dyDescent="0.25">
      <c r="A25" t="s">
        <v>6</v>
      </c>
      <c r="B25" s="139">
        <v>3</v>
      </c>
      <c r="C25" s="139">
        <v>1</v>
      </c>
      <c r="D25" s="139" t="str">
        <f t="shared" si="0"/>
        <v>SORTING_EAST_C_2_18</v>
      </c>
      <c r="E25" s="139" t="s">
        <v>35</v>
      </c>
      <c r="F25" s="138" t="s">
        <v>45</v>
      </c>
      <c r="G25" s="140" t="s">
        <v>18</v>
      </c>
      <c r="H25" s="140" t="s">
        <v>4</v>
      </c>
      <c r="I25" s="140">
        <v>2</v>
      </c>
      <c r="J25" s="139"/>
      <c r="K25" s="184">
        <f>COUNT(Y25:AV25)</f>
        <v>4</v>
      </c>
      <c r="L25" s="139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101"/>
      <c r="Y25" s="82">
        <v>1</v>
      </c>
      <c r="Z25" s="5">
        <f>Y25+1</f>
        <v>2</v>
      </c>
      <c r="AA25" s="5">
        <f t="shared" ref="AA25:AB25" si="39">Z25+1</f>
        <v>3</v>
      </c>
      <c r="AB25" s="5">
        <f t="shared" si="39"/>
        <v>4</v>
      </c>
      <c r="AC25" s="4"/>
      <c r="AD25" s="21"/>
      <c r="AE25" s="179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</row>
    <row r="26" spans="1:84" hidden="1" x14ac:dyDescent="0.25">
      <c r="A26" t="s">
        <v>6</v>
      </c>
      <c r="B26" s="139">
        <v>3</v>
      </c>
      <c r="C26" s="139">
        <v>2</v>
      </c>
      <c r="D26" s="139" t="str">
        <f t="shared" si="0"/>
        <v>TRANSFER_EAST_C_2_18</v>
      </c>
      <c r="E26" s="139" t="s">
        <v>21</v>
      </c>
      <c r="F26" s="138" t="s">
        <v>21</v>
      </c>
      <c r="G26" s="140" t="s">
        <v>18</v>
      </c>
      <c r="H26" s="140" t="s">
        <v>4</v>
      </c>
      <c r="I26" s="140">
        <v>2</v>
      </c>
      <c r="J26" s="139"/>
      <c r="K26" s="184">
        <f>COUNT(Y26:AV26)</f>
        <v>6</v>
      </c>
      <c r="L26" s="139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101"/>
      <c r="Y26" s="82">
        <v>1</v>
      </c>
      <c r="Z26" s="5">
        <f t="shared" ref="Z26:AD26" si="40">Y26+1</f>
        <v>2</v>
      </c>
      <c r="AA26" s="5">
        <f t="shared" si="40"/>
        <v>3</v>
      </c>
      <c r="AB26" s="5">
        <f t="shared" si="40"/>
        <v>4</v>
      </c>
      <c r="AC26" s="5">
        <f t="shared" si="40"/>
        <v>5</v>
      </c>
      <c r="AD26" s="64">
        <f t="shared" si="40"/>
        <v>6</v>
      </c>
      <c r="AE26" s="93"/>
      <c r="AF26" s="4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</row>
    <row r="27" spans="1:84" x14ac:dyDescent="0.25">
      <c r="A27" t="s">
        <v>6</v>
      </c>
      <c r="B27" s="139">
        <v>3</v>
      </c>
      <c r="C27" s="139">
        <v>3</v>
      </c>
      <c r="D27" s="139" t="str">
        <f t="shared" si="0"/>
        <v>PREPARE_EAST_C_2_18</v>
      </c>
      <c r="E27" s="139" t="s">
        <v>0</v>
      </c>
      <c r="F27" s="138" t="s">
        <v>46</v>
      </c>
      <c r="G27" s="140" t="s">
        <v>18</v>
      </c>
      <c r="H27" s="140" t="s">
        <v>4</v>
      </c>
      <c r="I27" s="140">
        <v>2</v>
      </c>
      <c r="J27" s="139"/>
      <c r="K27" s="184">
        <f>COUNT(M27:AV27)</f>
        <v>20</v>
      </c>
      <c r="L27" s="139"/>
      <c r="M27" s="5">
        <v>1</v>
      </c>
      <c r="N27" s="5">
        <f t="shared" ref="N27:AF27" si="41">M27+1</f>
        <v>2</v>
      </c>
      <c r="O27" s="5">
        <f t="shared" si="41"/>
        <v>3</v>
      </c>
      <c r="P27" s="5">
        <f t="shared" si="41"/>
        <v>4</v>
      </c>
      <c r="Q27" s="5">
        <f t="shared" si="41"/>
        <v>5</v>
      </c>
      <c r="R27" s="5">
        <f t="shared" si="41"/>
        <v>6</v>
      </c>
      <c r="S27" s="5">
        <f t="shared" si="41"/>
        <v>7</v>
      </c>
      <c r="T27" s="5">
        <f t="shared" si="41"/>
        <v>8</v>
      </c>
      <c r="U27" s="5">
        <f t="shared" si="41"/>
        <v>9</v>
      </c>
      <c r="V27" s="5">
        <f t="shared" si="41"/>
        <v>10</v>
      </c>
      <c r="W27" s="5">
        <f t="shared" si="41"/>
        <v>11</v>
      </c>
      <c r="X27" s="178">
        <f t="shared" si="41"/>
        <v>12</v>
      </c>
      <c r="Y27" s="82">
        <f t="shared" si="41"/>
        <v>13</v>
      </c>
      <c r="Z27" s="5">
        <f t="shared" si="41"/>
        <v>14</v>
      </c>
      <c r="AA27" s="5">
        <f t="shared" si="41"/>
        <v>15</v>
      </c>
      <c r="AB27" s="5">
        <f t="shared" si="41"/>
        <v>16</v>
      </c>
      <c r="AC27" s="5">
        <f t="shared" si="41"/>
        <v>17</v>
      </c>
      <c r="AD27" s="64">
        <f t="shared" si="41"/>
        <v>18</v>
      </c>
      <c r="AE27" s="179">
        <f t="shared" si="41"/>
        <v>19</v>
      </c>
      <c r="AF27" s="5">
        <f t="shared" si="41"/>
        <v>20</v>
      </c>
      <c r="AG27" s="4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</row>
    <row r="28" spans="1:84" x14ac:dyDescent="0.25">
      <c r="A28" t="s">
        <v>6</v>
      </c>
      <c r="B28" s="139">
        <v>3</v>
      </c>
      <c r="C28" s="139">
        <v>4</v>
      </c>
      <c r="D28" s="139" t="str">
        <f t="shared" si="0"/>
        <v>SUPPLY_EAST_C_2_18</v>
      </c>
      <c r="E28" s="139" t="s">
        <v>0</v>
      </c>
      <c r="F28" s="142" t="s">
        <v>0</v>
      </c>
      <c r="G28" s="140" t="s">
        <v>18</v>
      </c>
      <c r="H28" s="140" t="s">
        <v>4</v>
      </c>
      <c r="I28" s="140">
        <v>2</v>
      </c>
      <c r="J28" s="141"/>
      <c r="K28" s="184">
        <f>COUNT(AE28:BN28)</f>
        <v>3</v>
      </c>
      <c r="L28" s="13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/>
      <c r="X28" s="190"/>
      <c r="Y28" s="191"/>
      <c r="Z28" s="189"/>
      <c r="AA28" s="189"/>
      <c r="AB28" s="189"/>
      <c r="AC28" s="189"/>
      <c r="AD28" s="192"/>
      <c r="AE28" s="166">
        <v>1</v>
      </c>
      <c r="AF28" s="1">
        <f>AE28+1</f>
        <v>2</v>
      </c>
      <c r="AG28" s="1">
        <f t="shared" ref="AG28" si="42">AF28+1</f>
        <v>3</v>
      </c>
      <c r="AH28" s="93"/>
      <c r="AI28" s="93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</row>
    <row r="29" spans="1:84" x14ac:dyDescent="0.25">
      <c r="A29" t="s">
        <v>6</v>
      </c>
      <c r="B29" s="139">
        <v>3</v>
      </c>
      <c r="C29" s="140">
        <v>5</v>
      </c>
      <c r="D29" s="139" t="str">
        <f t="shared" si="0"/>
        <v>EMPTY_EAST_C_2_18</v>
      </c>
      <c r="E29" s="140" t="s">
        <v>0</v>
      </c>
      <c r="F29" s="142" t="s">
        <v>32</v>
      </c>
      <c r="G29" s="140" t="s">
        <v>18</v>
      </c>
      <c r="H29" s="140" t="s">
        <v>4</v>
      </c>
      <c r="I29" s="140">
        <v>2</v>
      </c>
      <c r="J29" s="143"/>
      <c r="K29" s="184">
        <f>COUNT(AE29:BN29)</f>
        <v>18</v>
      </c>
      <c r="L29" s="140"/>
      <c r="M29" s="189"/>
      <c r="N29" s="189"/>
      <c r="O29" s="189"/>
      <c r="P29" s="189"/>
      <c r="Q29" s="189"/>
      <c r="R29" s="189"/>
      <c r="S29" s="189"/>
      <c r="T29" s="189"/>
      <c r="U29" s="189"/>
      <c r="V29" s="189"/>
      <c r="W29" s="189"/>
      <c r="X29" s="190"/>
      <c r="Y29" s="191"/>
      <c r="Z29" s="189"/>
      <c r="AA29" s="189"/>
      <c r="AB29" s="189"/>
      <c r="AC29" s="189"/>
      <c r="AD29" s="192"/>
      <c r="AE29" s="131">
        <v>1</v>
      </c>
      <c r="AF29" s="1">
        <f t="shared" ref="AF29:AV29" si="43">AE29+1</f>
        <v>2</v>
      </c>
      <c r="AG29" s="1">
        <f t="shared" si="43"/>
        <v>3</v>
      </c>
      <c r="AH29" s="1">
        <f t="shared" si="43"/>
        <v>4</v>
      </c>
      <c r="AI29" s="1">
        <f t="shared" si="43"/>
        <v>5</v>
      </c>
      <c r="AJ29" s="1">
        <f t="shared" si="43"/>
        <v>6</v>
      </c>
      <c r="AK29" s="1">
        <f t="shared" si="43"/>
        <v>7</v>
      </c>
      <c r="AL29" s="1">
        <f t="shared" si="43"/>
        <v>8</v>
      </c>
      <c r="AM29" s="1">
        <f t="shared" si="43"/>
        <v>9</v>
      </c>
      <c r="AN29" s="1">
        <f t="shared" si="43"/>
        <v>10</v>
      </c>
      <c r="AO29" s="1">
        <f t="shared" si="43"/>
        <v>11</v>
      </c>
      <c r="AP29" s="1">
        <f t="shared" si="43"/>
        <v>12</v>
      </c>
      <c r="AQ29" s="1">
        <f t="shared" si="43"/>
        <v>13</v>
      </c>
      <c r="AR29" s="1">
        <f t="shared" si="43"/>
        <v>14</v>
      </c>
      <c r="AS29" s="1">
        <f t="shared" si="43"/>
        <v>15</v>
      </c>
      <c r="AT29" s="1">
        <f t="shared" si="43"/>
        <v>16</v>
      </c>
      <c r="AU29" s="1">
        <f t="shared" si="43"/>
        <v>17</v>
      </c>
      <c r="AV29" s="1">
        <f t="shared" si="43"/>
        <v>18</v>
      </c>
      <c r="AW29" s="46"/>
      <c r="AX29" s="4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</row>
    <row r="30" spans="1:84" hidden="1" x14ac:dyDescent="0.25">
      <c r="A30" t="s">
        <v>6</v>
      </c>
      <c r="B30" s="139">
        <v>3</v>
      </c>
      <c r="C30" s="140">
        <v>6</v>
      </c>
      <c r="D30" s="139" t="str">
        <f t="shared" si="0"/>
        <v>COUNTDOWN_EAST_C_2_18</v>
      </c>
      <c r="E30" s="140"/>
      <c r="F30" s="142" t="s">
        <v>33</v>
      </c>
      <c r="G30" s="140" t="s">
        <v>18</v>
      </c>
      <c r="H30" s="140" t="s">
        <v>4</v>
      </c>
      <c r="I30" s="140">
        <v>2</v>
      </c>
      <c r="J30" s="144"/>
      <c r="K30" s="144"/>
      <c r="L30" s="140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178"/>
      <c r="Y30" s="82"/>
      <c r="Z30" s="5"/>
      <c r="AA30" s="5"/>
      <c r="AB30" s="5"/>
      <c r="AC30" s="6"/>
      <c r="AD30" s="28"/>
      <c r="AE30" s="133"/>
      <c r="AF30" s="56"/>
      <c r="AG30" s="56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</row>
    <row r="31" spans="1:84" hidden="1" x14ac:dyDescent="0.25">
      <c r="B31" s="139">
        <v>4</v>
      </c>
      <c r="C31" s="139">
        <v>1</v>
      </c>
      <c r="D31" s="139" t="str">
        <f t="shared" si="0"/>
        <v>SORTING_EAST_I_1_18</v>
      </c>
      <c r="E31" s="139" t="s">
        <v>35</v>
      </c>
      <c r="F31" s="138" t="s">
        <v>45</v>
      </c>
      <c r="G31" s="140" t="s">
        <v>18</v>
      </c>
      <c r="H31" s="140" t="s">
        <v>10</v>
      </c>
      <c r="I31" s="140">
        <v>1</v>
      </c>
      <c r="J31" s="139"/>
      <c r="K31" s="184">
        <f>COUNT(Y31:AV31)</f>
        <v>6</v>
      </c>
      <c r="L31" s="139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101"/>
      <c r="Y31" s="82">
        <v>1</v>
      </c>
      <c r="Z31" s="5">
        <f t="shared" ref="Z31:AF32" si="44">Y31+1</f>
        <v>2</v>
      </c>
      <c r="AA31" s="5">
        <f t="shared" si="44"/>
        <v>3</v>
      </c>
      <c r="AB31" s="5">
        <f t="shared" si="44"/>
        <v>4</v>
      </c>
      <c r="AC31" s="5">
        <f t="shared" si="44"/>
        <v>5</v>
      </c>
      <c r="AD31" s="64">
        <f t="shared" si="44"/>
        <v>6</v>
      </c>
      <c r="AE31" s="93"/>
      <c r="AF31" s="4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</row>
    <row r="32" spans="1:84" hidden="1" x14ac:dyDescent="0.25">
      <c r="B32" s="139">
        <v>4</v>
      </c>
      <c r="C32" s="139">
        <v>2</v>
      </c>
      <c r="D32" s="139" t="str">
        <f t="shared" si="0"/>
        <v>TRANSFER_EAST_I_1_18</v>
      </c>
      <c r="E32" s="139" t="s">
        <v>21</v>
      </c>
      <c r="F32" s="138" t="s">
        <v>21</v>
      </c>
      <c r="G32" s="140" t="s">
        <v>18</v>
      </c>
      <c r="H32" s="140" t="s">
        <v>10</v>
      </c>
      <c r="I32" s="140">
        <v>1</v>
      </c>
      <c r="J32" s="139"/>
      <c r="K32" s="184">
        <f>COUNT(Y32:AV32)</f>
        <v>8</v>
      </c>
      <c r="L32" s="139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101"/>
      <c r="Y32" s="82">
        <v>1</v>
      </c>
      <c r="Z32" s="5">
        <f t="shared" si="44"/>
        <v>2</v>
      </c>
      <c r="AA32" s="5">
        <f t="shared" si="44"/>
        <v>3</v>
      </c>
      <c r="AB32" s="5">
        <f t="shared" si="44"/>
        <v>4</v>
      </c>
      <c r="AC32" s="5">
        <f t="shared" si="44"/>
        <v>5</v>
      </c>
      <c r="AD32" s="64">
        <f t="shared" si="44"/>
        <v>6</v>
      </c>
      <c r="AE32" s="179">
        <f t="shared" si="44"/>
        <v>7</v>
      </c>
      <c r="AF32" s="5">
        <f t="shared" si="44"/>
        <v>8</v>
      </c>
      <c r="AG32" s="4"/>
      <c r="AH32" s="4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</row>
    <row r="33" spans="1:84" x14ac:dyDescent="0.25">
      <c r="B33" s="139">
        <v>4</v>
      </c>
      <c r="C33" s="139">
        <v>3</v>
      </c>
      <c r="D33" s="139" t="str">
        <f t="shared" si="0"/>
        <v>PREPARE_EAST_I_1_18</v>
      </c>
      <c r="E33" s="139" t="s">
        <v>0</v>
      </c>
      <c r="F33" s="138" t="s">
        <v>46</v>
      </c>
      <c r="G33" s="140" t="s">
        <v>18</v>
      </c>
      <c r="H33" s="140" t="s">
        <v>10</v>
      </c>
      <c r="I33" s="140">
        <v>1</v>
      </c>
      <c r="J33" s="139"/>
      <c r="K33" s="184">
        <f>COUNT(M33:AV33)</f>
        <v>22</v>
      </c>
      <c r="L33" s="139"/>
      <c r="M33" s="5">
        <v>1</v>
      </c>
      <c r="N33" s="5">
        <f t="shared" ref="N33:AH34" si="45">M33+1</f>
        <v>2</v>
      </c>
      <c r="O33" s="5">
        <f t="shared" si="45"/>
        <v>3</v>
      </c>
      <c r="P33" s="5">
        <f t="shared" si="45"/>
        <v>4</v>
      </c>
      <c r="Q33" s="5">
        <f t="shared" si="45"/>
        <v>5</v>
      </c>
      <c r="R33" s="5">
        <f t="shared" si="45"/>
        <v>6</v>
      </c>
      <c r="S33" s="5">
        <f t="shared" si="45"/>
        <v>7</v>
      </c>
      <c r="T33" s="5">
        <f t="shared" si="45"/>
        <v>8</v>
      </c>
      <c r="U33" s="5">
        <f t="shared" si="45"/>
        <v>9</v>
      </c>
      <c r="V33" s="5">
        <f t="shared" si="45"/>
        <v>10</v>
      </c>
      <c r="W33" s="5">
        <f t="shared" si="45"/>
        <v>11</v>
      </c>
      <c r="X33" s="178">
        <f t="shared" si="45"/>
        <v>12</v>
      </c>
      <c r="Y33" s="82">
        <f t="shared" si="45"/>
        <v>13</v>
      </c>
      <c r="Z33" s="5">
        <f t="shared" si="45"/>
        <v>14</v>
      </c>
      <c r="AA33" s="5">
        <f t="shared" si="45"/>
        <v>15</v>
      </c>
      <c r="AB33" s="5">
        <f t="shared" si="45"/>
        <v>16</v>
      </c>
      <c r="AC33" s="5">
        <f t="shared" si="45"/>
        <v>17</v>
      </c>
      <c r="AD33" s="64">
        <f t="shared" si="45"/>
        <v>18</v>
      </c>
      <c r="AE33" s="179">
        <f t="shared" si="45"/>
        <v>19</v>
      </c>
      <c r="AF33" s="5">
        <f t="shared" si="45"/>
        <v>20</v>
      </c>
      <c r="AG33" s="5">
        <f t="shared" si="45"/>
        <v>21</v>
      </c>
      <c r="AH33" s="5">
        <f t="shared" si="45"/>
        <v>22</v>
      </c>
      <c r="AI33" s="4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</row>
    <row r="34" spans="1:84" x14ac:dyDescent="0.25">
      <c r="B34" s="139">
        <v>4</v>
      </c>
      <c r="C34" s="139">
        <v>4</v>
      </c>
      <c r="D34" s="139" t="str">
        <f t="shared" si="0"/>
        <v>SUPPLY_EAST_I_1_18</v>
      </c>
      <c r="E34" s="139" t="s">
        <v>0</v>
      </c>
      <c r="F34" s="142" t="s">
        <v>0</v>
      </c>
      <c r="G34" s="140" t="s">
        <v>18</v>
      </c>
      <c r="H34" s="140" t="s">
        <v>10</v>
      </c>
      <c r="I34" s="140">
        <v>1</v>
      </c>
      <c r="J34" s="141"/>
      <c r="K34" s="184">
        <f>COUNT(AE34:BN34)</f>
        <v>5</v>
      </c>
      <c r="L34" s="13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90"/>
      <c r="Y34" s="191"/>
      <c r="Z34" s="189"/>
      <c r="AA34" s="189"/>
      <c r="AB34" s="189"/>
      <c r="AC34" s="189"/>
      <c r="AD34" s="192"/>
      <c r="AE34" s="131">
        <v>1</v>
      </c>
      <c r="AF34" s="1">
        <f>AE34+1</f>
        <v>2</v>
      </c>
      <c r="AG34" s="1">
        <f t="shared" si="45"/>
        <v>3</v>
      </c>
      <c r="AH34" s="1">
        <f t="shared" ref="AH34:AI34" si="46">AG34+1</f>
        <v>4</v>
      </c>
      <c r="AI34" s="1">
        <f t="shared" si="46"/>
        <v>5</v>
      </c>
      <c r="AJ34" s="93"/>
      <c r="AK34" s="93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</row>
    <row r="35" spans="1:84" x14ac:dyDescent="0.25">
      <c r="B35" s="139">
        <v>4</v>
      </c>
      <c r="C35" s="140">
        <v>5</v>
      </c>
      <c r="D35" s="139" t="str">
        <f t="shared" si="0"/>
        <v>EMPTY_EAST_I_1_18</v>
      </c>
      <c r="E35" s="140" t="s">
        <v>0</v>
      </c>
      <c r="F35" s="142" t="s">
        <v>32</v>
      </c>
      <c r="G35" s="140" t="s">
        <v>18</v>
      </c>
      <c r="H35" s="140" t="s">
        <v>10</v>
      </c>
      <c r="I35" s="140">
        <v>1</v>
      </c>
      <c r="J35" s="143"/>
      <c r="K35" s="184">
        <f>COUNT(AE35:BN35)</f>
        <v>20</v>
      </c>
      <c r="L35" s="140"/>
      <c r="M35" s="189"/>
      <c r="N35" s="189"/>
      <c r="O35" s="189"/>
      <c r="P35" s="189"/>
      <c r="Q35" s="189"/>
      <c r="R35" s="189"/>
      <c r="S35" s="189"/>
      <c r="T35" s="189"/>
      <c r="U35" s="189"/>
      <c r="V35" s="189"/>
      <c r="W35" s="189"/>
      <c r="X35" s="190"/>
      <c r="Y35" s="191"/>
      <c r="Z35" s="189"/>
      <c r="AA35" s="189"/>
      <c r="AB35" s="189"/>
      <c r="AC35" s="189"/>
      <c r="AD35" s="192"/>
      <c r="AE35" s="131">
        <v>1</v>
      </c>
      <c r="AF35" s="1">
        <f t="shared" ref="AF35:AX35" si="47">AE35+1</f>
        <v>2</v>
      </c>
      <c r="AG35" s="1">
        <f t="shared" si="47"/>
        <v>3</v>
      </c>
      <c r="AH35" s="1">
        <f t="shared" si="47"/>
        <v>4</v>
      </c>
      <c r="AI35" s="1">
        <f t="shared" si="47"/>
        <v>5</v>
      </c>
      <c r="AJ35" s="1">
        <f t="shared" si="47"/>
        <v>6</v>
      </c>
      <c r="AK35" s="1">
        <f t="shared" si="47"/>
        <v>7</v>
      </c>
      <c r="AL35" s="1">
        <f t="shared" si="47"/>
        <v>8</v>
      </c>
      <c r="AM35" s="1">
        <f t="shared" si="47"/>
        <v>9</v>
      </c>
      <c r="AN35" s="1">
        <f t="shared" si="47"/>
        <v>10</v>
      </c>
      <c r="AO35" s="1">
        <f t="shared" si="47"/>
        <v>11</v>
      </c>
      <c r="AP35" s="1">
        <f t="shared" si="47"/>
        <v>12</v>
      </c>
      <c r="AQ35" s="1">
        <f t="shared" si="47"/>
        <v>13</v>
      </c>
      <c r="AR35" s="1">
        <f t="shared" si="47"/>
        <v>14</v>
      </c>
      <c r="AS35" s="1">
        <f t="shared" si="47"/>
        <v>15</v>
      </c>
      <c r="AT35" s="1">
        <f t="shared" si="47"/>
        <v>16</v>
      </c>
      <c r="AU35" s="1">
        <f t="shared" si="47"/>
        <v>17</v>
      </c>
      <c r="AV35" s="1">
        <f t="shared" si="47"/>
        <v>18</v>
      </c>
      <c r="AW35" s="1">
        <f t="shared" si="47"/>
        <v>19</v>
      </c>
      <c r="AX35" s="1">
        <f t="shared" si="47"/>
        <v>20</v>
      </c>
      <c r="AY35" s="46"/>
      <c r="AZ35" s="4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</row>
    <row r="36" spans="1:84" hidden="1" x14ac:dyDescent="0.25">
      <c r="B36" s="139">
        <v>4</v>
      </c>
      <c r="C36" s="140">
        <v>6</v>
      </c>
      <c r="D36" s="139" t="str">
        <f t="shared" si="0"/>
        <v>COUNTDOWN_EAST_I_1_18</v>
      </c>
      <c r="E36" s="140"/>
      <c r="F36" s="142" t="s">
        <v>33</v>
      </c>
      <c r="G36" s="140" t="s">
        <v>18</v>
      </c>
      <c r="H36" s="140" t="s">
        <v>10</v>
      </c>
      <c r="I36" s="140">
        <v>1</v>
      </c>
      <c r="J36" s="144"/>
      <c r="K36" s="144"/>
      <c r="L36" s="140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178"/>
      <c r="Y36" s="82"/>
      <c r="Z36" s="5"/>
      <c r="AA36" s="5"/>
      <c r="AB36" s="5"/>
      <c r="AC36" s="5"/>
      <c r="AD36" s="64"/>
      <c r="AE36" s="132"/>
      <c r="AF36" s="6"/>
      <c r="AG36" s="46"/>
      <c r="AH36" s="56"/>
      <c r="AI36" s="56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</row>
    <row r="37" spans="1:84" hidden="1" x14ac:dyDescent="0.25">
      <c r="A37" t="s">
        <v>15</v>
      </c>
      <c r="B37" s="139">
        <v>5</v>
      </c>
      <c r="C37" s="139">
        <v>1</v>
      </c>
      <c r="D37" s="139" t="str">
        <f t="shared" si="0"/>
        <v>SORTING_EAST_G_2_18</v>
      </c>
      <c r="E37" s="139" t="s">
        <v>35</v>
      </c>
      <c r="F37" s="138" t="s">
        <v>45</v>
      </c>
      <c r="G37" s="140" t="s">
        <v>18</v>
      </c>
      <c r="H37" s="140" t="s">
        <v>8</v>
      </c>
      <c r="I37" s="140">
        <v>2</v>
      </c>
      <c r="J37" s="139"/>
      <c r="K37" s="184">
        <f>COUNT(Y37:AV37)</f>
        <v>8</v>
      </c>
      <c r="L37" s="139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101"/>
      <c r="Y37" s="82">
        <v>1</v>
      </c>
      <c r="Z37" s="5">
        <f t="shared" ref="Z37:AH38" si="48">Y37+1</f>
        <v>2</v>
      </c>
      <c r="AA37" s="5">
        <f t="shared" si="48"/>
        <v>3</v>
      </c>
      <c r="AB37" s="5">
        <f t="shared" si="48"/>
        <v>4</v>
      </c>
      <c r="AC37" s="5">
        <f t="shared" si="48"/>
        <v>5</v>
      </c>
      <c r="AD37" s="64">
        <f t="shared" si="48"/>
        <v>6</v>
      </c>
      <c r="AE37" s="179">
        <f t="shared" si="48"/>
        <v>7</v>
      </c>
      <c r="AF37" s="5">
        <f t="shared" si="48"/>
        <v>8</v>
      </c>
      <c r="AG37" s="4"/>
      <c r="AH37" s="4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</row>
    <row r="38" spans="1:84" hidden="1" x14ac:dyDescent="0.25">
      <c r="A38" t="s">
        <v>15</v>
      </c>
      <c r="B38" s="139">
        <v>5</v>
      </c>
      <c r="C38" s="139">
        <v>2</v>
      </c>
      <c r="D38" s="139" t="str">
        <f t="shared" si="0"/>
        <v>TRANSFER_EAST_G_2_18</v>
      </c>
      <c r="E38" s="139" t="s">
        <v>21</v>
      </c>
      <c r="F38" s="138" t="s">
        <v>21</v>
      </c>
      <c r="G38" s="140" t="s">
        <v>18</v>
      </c>
      <c r="H38" s="140" t="s">
        <v>8</v>
      </c>
      <c r="I38" s="140">
        <v>2</v>
      </c>
      <c r="J38" s="139"/>
      <c r="K38" s="184">
        <f>COUNT(Y38:AV38)</f>
        <v>10</v>
      </c>
      <c r="L38" s="139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101"/>
      <c r="Y38" s="82">
        <v>1</v>
      </c>
      <c r="Z38" s="5">
        <f t="shared" si="48"/>
        <v>2</v>
      </c>
      <c r="AA38" s="5">
        <f t="shared" si="48"/>
        <v>3</v>
      </c>
      <c r="AB38" s="5">
        <f t="shared" si="48"/>
        <v>4</v>
      </c>
      <c r="AC38" s="5">
        <f t="shared" si="48"/>
        <v>5</v>
      </c>
      <c r="AD38" s="64">
        <f t="shared" si="48"/>
        <v>6</v>
      </c>
      <c r="AE38" s="179">
        <f t="shared" si="48"/>
        <v>7</v>
      </c>
      <c r="AF38" s="5">
        <f t="shared" si="48"/>
        <v>8</v>
      </c>
      <c r="AG38" s="5">
        <f t="shared" si="48"/>
        <v>9</v>
      </c>
      <c r="AH38" s="5">
        <f t="shared" si="48"/>
        <v>10</v>
      </c>
      <c r="AI38" s="4"/>
      <c r="AJ38" s="4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</row>
    <row r="39" spans="1:84" x14ac:dyDescent="0.25">
      <c r="A39" t="s">
        <v>15</v>
      </c>
      <c r="B39" s="139">
        <v>5</v>
      </c>
      <c r="C39" s="139">
        <v>3</v>
      </c>
      <c r="D39" s="139" t="str">
        <f t="shared" si="0"/>
        <v>PREPARE_EAST_G_2_18</v>
      </c>
      <c r="E39" s="139" t="s">
        <v>0</v>
      </c>
      <c r="F39" s="138" t="s">
        <v>46</v>
      </c>
      <c r="G39" s="140" t="s">
        <v>18</v>
      </c>
      <c r="H39" s="140" t="s">
        <v>8</v>
      </c>
      <c r="I39" s="140">
        <v>2</v>
      </c>
      <c r="J39" s="139"/>
      <c r="K39" s="184">
        <f>COUNT(M39:AV39)</f>
        <v>24</v>
      </c>
      <c r="L39" s="139"/>
      <c r="M39" s="5">
        <v>1</v>
      </c>
      <c r="N39" s="5">
        <f t="shared" ref="N39:AJ40" si="49">M39+1</f>
        <v>2</v>
      </c>
      <c r="O39" s="5">
        <f t="shared" si="49"/>
        <v>3</v>
      </c>
      <c r="P39" s="5">
        <f t="shared" si="49"/>
        <v>4</v>
      </c>
      <c r="Q39" s="5">
        <f t="shared" si="49"/>
        <v>5</v>
      </c>
      <c r="R39" s="5">
        <f t="shared" si="49"/>
        <v>6</v>
      </c>
      <c r="S39" s="5">
        <f t="shared" si="49"/>
        <v>7</v>
      </c>
      <c r="T39" s="5">
        <f t="shared" si="49"/>
        <v>8</v>
      </c>
      <c r="U39" s="5">
        <f t="shared" si="49"/>
        <v>9</v>
      </c>
      <c r="V39" s="5">
        <f t="shared" si="49"/>
        <v>10</v>
      </c>
      <c r="W39" s="5">
        <f t="shared" si="49"/>
        <v>11</v>
      </c>
      <c r="X39" s="178">
        <f t="shared" si="49"/>
        <v>12</v>
      </c>
      <c r="Y39" s="82">
        <f t="shared" si="49"/>
        <v>13</v>
      </c>
      <c r="Z39" s="5">
        <f t="shared" si="49"/>
        <v>14</v>
      </c>
      <c r="AA39" s="5">
        <f t="shared" si="49"/>
        <v>15</v>
      </c>
      <c r="AB39" s="5">
        <f t="shared" si="49"/>
        <v>16</v>
      </c>
      <c r="AC39" s="5">
        <f t="shared" si="49"/>
        <v>17</v>
      </c>
      <c r="AD39" s="64">
        <f t="shared" si="49"/>
        <v>18</v>
      </c>
      <c r="AE39" s="179">
        <f t="shared" si="49"/>
        <v>19</v>
      </c>
      <c r="AF39" s="5">
        <f t="shared" si="49"/>
        <v>20</v>
      </c>
      <c r="AG39" s="5">
        <f t="shared" si="49"/>
        <v>21</v>
      </c>
      <c r="AH39" s="5">
        <f t="shared" si="49"/>
        <v>22</v>
      </c>
      <c r="AI39" s="5">
        <f t="shared" si="49"/>
        <v>23</v>
      </c>
      <c r="AJ39" s="5">
        <f t="shared" si="49"/>
        <v>24</v>
      </c>
      <c r="AK39" s="4"/>
      <c r="AL39" s="3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</row>
    <row r="40" spans="1:84" x14ac:dyDescent="0.25">
      <c r="A40" t="s">
        <v>15</v>
      </c>
      <c r="B40" s="139">
        <v>5</v>
      </c>
      <c r="C40" s="139">
        <v>4</v>
      </c>
      <c r="D40" s="139" t="str">
        <f t="shared" si="0"/>
        <v>SUPPLY_EAST_G_2_18</v>
      </c>
      <c r="E40" s="139" t="s">
        <v>0</v>
      </c>
      <c r="F40" s="142" t="s">
        <v>0</v>
      </c>
      <c r="G40" s="140" t="s">
        <v>18</v>
      </c>
      <c r="H40" s="140" t="s">
        <v>8</v>
      </c>
      <c r="I40" s="140">
        <v>2</v>
      </c>
      <c r="J40" s="141"/>
      <c r="K40" s="184">
        <f>COUNT(AE40:BN40)</f>
        <v>7</v>
      </c>
      <c r="L40" s="13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90"/>
      <c r="Y40" s="191"/>
      <c r="Z40" s="189"/>
      <c r="AA40" s="189"/>
      <c r="AB40" s="189"/>
      <c r="AC40" s="189"/>
      <c r="AD40" s="192"/>
      <c r="AE40" s="131">
        <v>1</v>
      </c>
      <c r="AF40" s="1">
        <f>AE40+1</f>
        <v>2</v>
      </c>
      <c r="AG40" s="1">
        <f t="shared" si="49"/>
        <v>3</v>
      </c>
      <c r="AH40" s="1">
        <f t="shared" si="49"/>
        <v>4</v>
      </c>
      <c r="AI40" s="1">
        <f t="shared" si="49"/>
        <v>5</v>
      </c>
      <c r="AJ40" s="1">
        <f t="shared" ref="AJ40:AK40" si="50">AI40+1</f>
        <v>6</v>
      </c>
      <c r="AK40" s="1">
        <f t="shared" si="50"/>
        <v>7</v>
      </c>
      <c r="AL40" s="93"/>
      <c r="AM40" s="93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</row>
    <row r="41" spans="1:84" x14ac:dyDescent="0.25">
      <c r="A41" t="s">
        <v>15</v>
      </c>
      <c r="B41" s="139">
        <v>5</v>
      </c>
      <c r="C41" s="140">
        <v>5</v>
      </c>
      <c r="D41" s="139" t="str">
        <f t="shared" si="0"/>
        <v>EMPTY_EAST_G_2_18</v>
      </c>
      <c r="E41" s="140" t="s">
        <v>0</v>
      </c>
      <c r="F41" s="142" t="s">
        <v>32</v>
      </c>
      <c r="G41" s="140" t="s">
        <v>18</v>
      </c>
      <c r="H41" s="140" t="s">
        <v>8</v>
      </c>
      <c r="I41" s="140">
        <v>2</v>
      </c>
      <c r="J41" s="143"/>
      <c r="K41" s="184">
        <f>COUNT(AE41:BN41)</f>
        <v>22</v>
      </c>
      <c r="L41" s="140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90"/>
      <c r="Y41" s="191"/>
      <c r="Z41" s="189"/>
      <c r="AA41" s="189"/>
      <c r="AB41" s="189"/>
      <c r="AC41" s="189"/>
      <c r="AD41" s="192"/>
      <c r="AE41" s="131">
        <v>1</v>
      </c>
      <c r="AF41" s="1">
        <f t="shared" ref="AF41:AZ41" si="51">AE41+1</f>
        <v>2</v>
      </c>
      <c r="AG41" s="1">
        <f t="shared" si="51"/>
        <v>3</v>
      </c>
      <c r="AH41" s="1">
        <f t="shared" si="51"/>
        <v>4</v>
      </c>
      <c r="AI41" s="1">
        <f t="shared" si="51"/>
        <v>5</v>
      </c>
      <c r="AJ41" s="1">
        <f t="shared" si="51"/>
        <v>6</v>
      </c>
      <c r="AK41" s="1">
        <f t="shared" si="51"/>
        <v>7</v>
      </c>
      <c r="AL41" s="1">
        <f t="shared" si="51"/>
        <v>8</v>
      </c>
      <c r="AM41" s="1">
        <f t="shared" si="51"/>
        <v>9</v>
      </c>
      <c r="AN41" s="1">
        <f t="shared" si="51"/>
        <v>10</v>
      </c>
      <c r="AO41" s="1">
        <f t="shared" si="51"/>
        <v>11</v>
      </c>
      <c r="AP41" s="1">
        <f t="shared" si="51"/>
        <v>12</v>
      </c>
      <c r="AQ41" s="1">
        <f t="shared" si="51"/>
        <v>13</v>
      </c>
      <c r="AR41" s="1">
        <f t="shared" si="51"/>
        <v>14</v>
      </c>
      <c r="AS41" s="1">
        <f t="shared" si="51"/>
        <v>15</v>
      </c>
      <c r="AT41" s="1">
        <f t="shared" si="51"/>
        <v>16</v>
      </c>
      <c r="AU41" s="1">
        <f t="shared" si="51"/>
        <v>17</v>
      </c>
      <c r="AV41" s="1">
        <f t="shared" si="51"/>
        <v>18</v>
      </c>
      <c r="AW41" s="1">
        <f t="shared" si="51"/>
        <v>19</v>
      </c>
      <c r="AX41" s="1">
        <f t="shared" si="51"/>
        <v>20</v>
      </c>
      <c r="AY41" s="1">
        <f t="shared" si="51"/>
        <v>21</v>
      </c>
      <c r="AZ41" s="1">
        <f t="shared" si="51"/>
        <v>22</v>
      </c>
      <c r="BA41" s="46"/>
      <c r="BB41" s="4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</row>
    <row r="42" spans="1:84" hidden="1" x14ac:dyDescent="0.25">
      <c r="A42" t="s">
        <v>15</v>
      </c>
      <c r="B42" s="139">
        <v>5</v>
      </c>
      <c r="C42" s="140">
        <v>6</v>
      </c>
      <c r="D42" s="139" t="str">
        <f t="shared" si="0"/>
        <v>COUNTDOWN_EAST_G_2_18</v>
      </c>
      <c r="E42" s="140"/>
      <c r="F42" s="142" t="s">
        <v>33</v>
      </c>
      <c r="G42" s="140" t="s">
        <v>18</v>
      </c>
      <c r="H42" s="140" t="s">
        <v>8</v>
      </c>
      <c r="I42" s="140">
        <v>2</v>
      </c>
      <c r="J42" s="144"/>
      <c r="K42" s="144"/>
      <c r="L42" s="140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178"/>
      <c r="Y42" s="82"/>
      <c r="Z42" s="5"/>
      <c r="AA42" s="5"/>
      <c r="AB42" s="5"/>
      <c r="AC42" s="5"/>
      <c r="AD42" s="64"/>
      <c r="AE42" s="179"/>
      <c r="AF42" s="5"/>
      <c r="AG42" s="6"/>
      <c r="AH42" s="6"/>
      <c r="AI42" s="46"/>
      <c r="AJ42" s="56"/>
      <c r="AK42" s="56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</row>
    <row r="43" spans="1:84" hidden="1" x14ac:dyDescent="0.25">
      <c r="B43" s="139">
        <v>6</v>
      </c>
      <c r="C43" s="139">
        <v>1</v>
      </c>
      <c r="D43" s="139" t="str">
        <f t="shared" si="0"/>
        <v>SORTING_EAST_B_1_18</v>
      </c>
      <c r="E43" s="139" t="s">
        <v>35</v>
      </c>
      <c r="F43" s="138" t="s">
        <v>45</v>
      </c>
      <c r="G43" s="140" t="s">
        <v>18</v>
      </c>
      <c r="H43" s="140" t="s">
        <v>3</v>
      </c>
      <c r="I43" s="140">
        <v>1</v>
      </c>
      <c r="J43" s="139"/>
      <c r="K43" s="184">
        <f>COUNT(Y43:AV43)</f>
        <v>10</v>
      </c>
      <c r="L43" s="139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101"/>
      <c r="Y43" s="82">
        <v>1</v>
      </c>
      <c r="Z43" s="5">
        <f t="shared" ref="Z43:AJ44" si="52">Y43+1</f>
        <v>2</v>
      </c>
      <c r="AA43" s="5">
        <f t="shared" si="52"/>
        <v>3</v>
      </c>
      <c r="AB43" s="5">
        <f t="shared" si="52"/>
        <v>4</v>
      </c>
      <c r="AC43" s="5">
        <f t="shared" si="52"/>
        <v>5</v>
      </c>
      <c r="AD43" s="64">
        <f t="shared" si="52"/>
        <v>6</v>
      </c>
      <c r="AE43" s="179">
        <f t="shared" si="52"/>
        <v>7</v>
      </c>
      <c r="AF43" s="5">
        <f t="shared" si="52"/>
        <v>8</v>
      </c>
      <c r="AG43" s="5">
        <f t="shared" si="52"/>
        <v>9</v>
      </c>
      <c r="AH43" s="5">
        <f t="shared" si="52"/>
        <v>10</v>
      </c>
      <c r="AI43" s="4"/>
      <c r="AJ43" s="4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</row>
    <row r="44" spans="1:84" hidden="1" x14ac:dyDescent="0.25">
      <c r="B44" s="139">
        <v>6</v>
      </c>
      <c r="C44" s="139">
        <v>2</v>
      </c>
      <c r="D44" s="139" t="str">
        <f t="shared" si="0"/>
        <v>TRANSFER_EAST_B_1_18</v>
      </c>
      <c r="E44" s="139" t="s">
        <v>21</v>
      </c>
      <c r="F44" s="138" t="s">
        <v>21</v>
      </c>
      <c r="G44" s="140" t="s">
        <v>18</v>
      </c>
      <c r="H44" s="140" t="s">
        <v>3</v>
      </c>
      <c r="I44" s="140">
        <v>1</v>
      </c>
      <c r="J44" s="139"/>
      <c r="K44" s="184">
        <f>COUNT(Y44:AV44)</f>
        <v>12</v>
      </c>
      <c r="L44" s="139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101"/>
      <c r="Y44" s="82">
        <v>1</v>
      </c>
      <c r="Z44" s="5">
        <f t="shared" si="52"/>
        <v>2</v>
      </c>
      <c r="AA44" s="5">
        <f t="shared" si="52"/>
        <v>3</v>
      </c>
      <c r="AB44" s="5">
        <f t="shared" si="52"/>
        <v>4</v>
      </c>
      <c r="AC44" s="5">
        <f t="shared" si="52"/>
        <v>5</v>
      </c>
      <c r="AD44" s="64">
        <f t="shared" si="52"/>
        <v>6</v>
      </c>
      <c r="AE44" s="179">
        <f t="shared" si="52"/>
        <v>7</v>
      </c>
      <c r="AF44" s="5">
        <f t="shared" si="52"/>
        <v>8</v>
      </c>
      <c r="AG44" s="5">
        <f t="shared" si="52"/>
        <v>9</v>
      </c>
      <c r="AH44" s="5">
        <f t="shared" si="52"/>
        <v>10</v>
      </c>
      <c r="AI44" s="5">
        <f t="shared" si="52"/>
        <v>11</v>
      </c>
      <c r="AJ44" s="5">
        <f t="shared" si="52"/>
        <v>12</v>
      </c>
      <c r="AK44" s="4"/>
      <c r="AL44" s="4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</row>
    <row r="45" spans="1:84" x14ac:dyDescent="0.25">
      <c r="B45" s="139">
        <v>6</v>
      </c>
      <c r="C45" s="139">
        <v>3</v>
      </c>
      <c r="D45" s="139" t="str">
        <f t="shared" si="0"/>
        <v>PREPARE_EAST_B_1_18</v>
      </c>
      <c r="E45" s="139" t="s">
        <v>0</v>
      </c>
      <c r="F45" s="138" t="s">
        <v>46</v>
      </c>
      <c r="G45" s="140" t="s">
        <v>18</v>
      </c>
      <c r="H45" s="140" t="s">
        <v>3</v>
      </c>
      <c r="I45" s="140">
        <v>1</v>
      </c>
      <c r="J45" s="139"/>
      <c r="K45" s="184">
        <f>COUNT(M45:AV45)</f>
        <v>26</v>
      </c>
      <c r="L45" s="139"/>
      <c r="M45" s="5">
        <v>1</v>
      </c>
      <c r="N45" s="5">
        <f t="shared" ref="N45:AL46" si="53">M45+1</f>
        <v>2</v>
      </c>
      <c r="O45" s="5">
        <f t="shared" si="53"/>
        <v>3</v>
      </c>
      <c r="P45" s="5">
        <f t="shared" si="53"/>
        <v>4</v>
      </c>
      <c r="Q45" s="5">
        <f t="shared" si="53"/>
        <v>5</v>
      </c>
      <c r="R45" s="5">
        <f t="shared" si="53"/>
        <v>6</v>
      </c>
      <c r="S45" s="5">
        <f t="shared" si="53"/>
        <v>7</v>
      </c>
      <c r="T45" s="5">
        <f t="shared" si="53"/>
        <v>8</v>
      </c>
      <c r="U45" s="5">
        <f t="shared" si="53"/>
        <v>9</v>
      </c>
      <c r="V45" s="5">
        <f t="shared" si="53"/>
        <v>10</v>
      </c>
      <c r="W45" s="5">
        <f t="shared" si="53"/>
        <v>11</v>
      </c>
      <c r="X45" s="178">
        <f t="shared" si="53"/>
        <v>12</v>
      </c>
      <c r="Y45" s="82">
        <f t="shared" si="53"/>
        <v>13</v>
      </c>
      <c r="Z45" s="5">
        <f t="shared" si="53"/>
        <v>14</v>
      </c>
      <c r="AA45" s="5">
        <f t="shared" si="53"/>
        <v>15</v>
      </c>
      <c r="AB45" s="5">
        <f t="shared" si="53"/>
        <v>16</v>
      </c>
      <c r="AC45" s="5">
        <f t="shared" si="53"/>
        <v>17</v>
      </c>
      <c r="AD45" s="64">
        <f t="shared" si="53"/>
        <v>18</v>
      </c>
      <c r="AE45" s="179">
        <f t="shared" si="53"/>
        <v>19</v>
      </c>
      <c r="AF45" s="5">
        <f t="shared" si="53"/>
        <v>20</v>
      </c>
      <c r="AG45" s="5">
        <f t="shared" si="53"/>
        <v>21</v>
      </c>
      <c r="AH45" s="5">
        <f t="shared" si="53"/>
        <v>22</v>
      </c>
      <c r="AI45" s="5">
        <f t="shared" si="53"/>
        <v>23</v>
      </c>
      <c r="AJ45" s="5">
        <f t="shared" si="53"/>
        <v>24</v>
      </c>
      <c r="AK45" s="5">
        <f t="shared" si="53"/>
        <v>25</v>
      </c>
      <c r="AL45" s="5">
        <f t="shared" si="53"/>
        <v>26</v>
      </c>
      <c r="AM45" s="4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</row>
    <row r="46" spans="1:84" x14ac:dyDescent="0.25">
      <c r="B46" s="139">
        <v>6</v>
      </c>
      <c r="C46" s="139">
        <v>4</v>
      </c>
      <c r="D46" s="139" t="str">
        <f t="shared" si="0"/>
        <v>SUPPLY_EAST_B_1_18</v>
      </c>
      <c r="E46" s="139" t="s">
        <v>0</v>
      </c>
      <c r="F46" s="142" t="s">
        <v>0</v>
      </c>
      <c r="G46" s="140" t="s">
        <v>18</v>
      </c>
      <c r="H46" s="140" t="s">
        <v>3</v>
      </c>
      <c r="I46" s="140">
        <v>1</v>
      </c>
      <c r="J46" s="141"/>
      <c r="K46" s="184">
        <f>COUNT(AE46:BN46)</f>
        <v>9</v>
      </c>
      <c r="L46" s="13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90"/>
      <c r="Y46" s="191"/>
      <c r="Z46" s="189"/>
      <c r="AA46" s="189"/>
      <c r="AB46" s="189"/>
      <c r="AC46" s="189"/>
      <c r="AD46" s="192"/>
      <c r="AE46" s="131">
        <v>1</v>
      </c>
      <c r="AF46" s="1">
        <f>AE46+1</f>
        <v>2</v>
      </c>
      <c r="AG46" s="1">
        <f t="shared" si="53"/>
        <v>3</v>
      </c>
      <c r="AH46" s="1">
        <f t="shared" si="53"/>
        <v>4</v>
      </c>
      <c r="AI46" s="1">
        <f t="shared" si="53"/>
        <v>5</v>
      </c>
      <c r="AJ46" s="1">
        <f t="shared" si="53"/>
        <v>6</v>
      </c>
      <c r="AK46" s="1">
        <f t="shared" si="53"/>
        <v>7</v>
      </c>
      <c r="AL46" s="1">
        <f t="shared" ref="AL46:AM46" si="54">AK46+1</f>
        <v>8</v>
      </c>
      <c r="AM46" s="1">
        <f t="shared" si="54"/>
        <v>9</v>
      </c>
      <c r="AN46" s="93"/>
      <c r="AO46" s="93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</row>
    <row r="47" spans="1:84" x14ac:dyDescent="0.25">
      <c r="B47" s="139">
        <v>6</v>
      </c>
      <c r="C47" s="140">
        <v>5</v>
      </c>
      <c r="D47" s="139" t="str">
        <f t="shared" si="0"/>
        <v>EMPTY_EAST_B_1_18</v>
      </c>
      <c r="E47" s="140" t="s">
        <v>0</v>
      </c>
      <c r="F47" s="142" t="s">
        <v>32</v>
      </c>
      <c r="G47" s="140" t="s">
        <v>18</v>
      </c>
      <c r="H47" s="140" t="s">
        <v>3</v>
      </c>
      <c r="I47" s="140">
        <v>1</v>
      </c>
      <c r="J47" s="143"/>
      <c r="K47" s="184">
        <f>COUNT(AE47:BN47)</f>
        <v>24</v>
      </c>
      <c r="L47" s="140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90"/>
      <c r="Y47" s="191"/>
      <c r="Z47" s="189"/>
      <c r="AA47" s="189"/>
      <c r="AB47" s="189"/>
      <c r="AC47" s="189"/>
      <c r="AD47" s="192"/>
      <c r="AE47" s="131">
        <v>1</v>
      </c>
      <c r="AF47" s="1">
        <f t="shared" ref="AF47:BB47" si="55">AE47+1</f>
        <v>2</v>
      </c>
      <c r="AG47" s="1">
        <f t="shared" si="55"/>
        <v>3</v>
      </c>
      <c r="AH47" s="1">
        <f t="shared" si="55"/>
        <v>4</v>
      </c>
      <c r="AI47" s="1">
        <f t="shared" si="55"/>
        <v>5</v>
      </c>
      <c r="AJ47" s="1">
        <f t="shared" si="55"/>
        <v>6</v>
      </c>
      <c r="AK47" s="1">
        <f t="shared" si="55"/>
        <v>7</v>
      </c>
      <c r="AL47" s="1">
        <f t="shared" si="55"/>
        <v>8</v>
      </c>
      <c r="AM47" s="1">
        <f t="shared" si="55"/>
        <v>9</v>
      </c>
      <c r="AN47" s="1">
        <f t="shared" si="55"/>
        <v>10</v>
      </c>
      <c r="AO47" s="1">
        <f t="shared" si="55"/>
        <v>11</v>
      </c>
      <c r="AP47" s="1">
        <f t="shared" si="55"/>
        <v>12</v>
      </c>
      <c r="AQ47" s="1">
        <f t="shared" si="55"/>
        <v>13</v>
      </c>
      <c r="AR47" s="1">
        <f t="shared" si="55"/>
        <v>14</v>
      </c>
      <c r="AS47" s="1">
        <f t="shared" si="55"/>
        <v>15</v>
      </c>
      <c r="AT47" s="1">
        <f t="shared" si="55"/>
        <v>16</v>
      </c>
      <c r="AU47" s="1">
        <f t="shared" si="55"/>
        <v>17</v>
      </c>
      <c r="AV47" s="1">
        <f t="shared" si="55"/>
        <v>18</v>
      </c>
      <c r="AW47" s="1">
        <f t="shared" si="55"/>
        <v>19</v>
      </c>
      <c r="AX47" s="1">
        <f t="shared" si="55"/>
        <v>20</v>
      </c>
      <c r="AY47" s="1">
        <f t="shared" si="55"/>
        <v>21</v>
      </c>
      <c r="AZ47" s="1">
        <f t="shared" si="55"/>
        <v>22</v>
      </c>
      <c r="BA47" s="1">
        <f t="shared" si="55"/>
        <v>23</v>
      </c>
      <c r="BB47" s="1">
        <f t="shared" si="55"/>
        <v>24</v>
      </c>
      <c r="BC47" s="46"/>
      <c r="BD47" s="4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</row>
    <row r="48" spans="1:84" hidden="1" x14ac:dyDescent="0.25">
      <c r="B48" s="139">
        <v>6</v>
      </c>
      <c r="C48" s="140">
        <v>6</v>
      </c>
      <c r="D48" s="139" t="str">
        <f t="shared" si="0"/>
        <v>COUNTDOWN_EAST_B_1_18</v>
      </c>
      <c r="E48" s="140"/>
      <c r="F48" s="142" t="s">
        <v>33</v>
      </c>
      <c r="G48" s="140" t="s">
        <v>18</v>
      </c>
      <c r="H48" s="140" t="s">
        <v>3</v>
      </c>
      <c r="I48" s="140">
        <v>1</v>
      </c>
      <c r="J48" s="144"/>
      <c r="K48" s="144"/>
      <c r="L48" s="140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178"/>
      <c r="Y48" s="82"/>
      <c r="Z48" s="5"/>
      <c r="AA48" s="5"/>
      <c r="AB48" s="5"/>
      <c r="AC48" s="5"/>
      <c r="AD48" s="64"/>
      <c r="AE48" s="179"/>
      <c r="AF48" s="5"/>
      <c r="AG48" s="5"/>
      <c r="AH48" s="5"/>
      <c r="AI48" s="6"/>
      <c r="AJ48" s="6"/>
      <c r="AK48" s="46"/>
      <c r="AL48" s="56"/>
      <c r="AM48" s="56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</row>
    <row r="49" spans="2:84" hidden="1" x14ac:dyDescent="0.25">
      <c r="B49" s="139">
        <v>7</v>
      </c>
      <c r="C49" s="139">
        <v>1</v>
      </c>
      <c r="D49" s="139" t="str">
        <f t="shared" si="0"/>
        <v>SORTING_EAST_E_2_18</v>
      </c>
      <c r="E49" s="139" t="s">
        <v>35</v>
      </c>
      <c r="F49" s="138" t="s">
        <v>45</v>
      </c>
      <c r="G49" s="140" t="s">
        <v>18</v>
      </c>
      <c r="H49" s="140" t="s">
        <v>6</v>
      </c>
      <c r="I49" s="140">
        <v>2</v>
      </c>
      <c r="J49" s="139"/>
      <c r="K49" s="184">
        <f>COUNT(Y49:AV49)</f>
        <v>12</v>
      </c>
      <c r="L49" s="139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101"/>
      <c r="Y49" s="82">
        <v>1</v>
      </c>
      <c r="Z49" s="5">
        <f t="shared" ref="Z49:AL50" si="56">Y49+1</f>
        <v>2</v>
      </c>
      <c r="AA49" s="5">
        <f t="shared" si="56"/>
        <v>3</v>
      </c>
      <c r="AB49" s="5">
        <f t="shared" si="56"/>
        <v>4</v>
      </c>
      <c r="AC49" s="5">
        <f t="shared" si="56"/>
        <v>5</v>
      </c>
      <c r="AD49" s="64">
        <f t="shared" si="56"/>
        <v>6</v>
      </c>
      <c r="AE49" s="179">
        <f t="shared" si="56"/>
        <v>7</v>
      </c>
      <c r="AF49" s="5">
        <f t="shared" si="56"/>
        <v>8</v>
      </c>
      <c r="AG49" s="5">
        <f t="shared" si="56"/>
        <v>9</v>
      </c>
      <c r="AH49" s="5">
        <f t="shared" si="56"/>
        <v>10</v>
      </c>
      <c r="AI49" s="5">
        <f t="shared" si="56"/>
        <v>11</v>
      </c>
      <c r="AJ49" s="5">
        <f t="shared" si="56"/>
        <v>12</v>
      </c>
      <c r="AK49" s="4"/>
      <c r="AL49" s="4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</row>
    <row r="50" spans="2:84" hidden="1" x14ac:dyDescent="0.25">
      <c r="B50" s="139">
        <v>7</v>
      </c>
      <c r="C50" s="139">
        <v>2</v>
      </c>
      <c r="D50" s="139" t="str">
        <f t="shared" si="0"/>
        <v>TRANSFER_EAST_E_2_18</v>
      </c>
      <c r="E50" s="139" t="s">
        <v>21</v>
      </c>
      <c r="F50" s="138" t="s">
        <v>21</v>
      </c>
      <c r="G50" s="140" t="s">
        <v>18</v>
      </c>
      <c r="H50" s="140" t="s">
        <v>6</v>
      </c>
      <c r="I50" s="140">
        <v>2</v>
      </c>
      <c r="J50" s="139"/>
      <c r="K50" s="184">
        <f>COUNT(Y50:AV50)</f>
        <v>14</v>
      </c>
      <c r="L50" s="139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101"/>
      <c r="Y50" s="82">
        <v>1</v>
      </c>
      <c r="Z50" s="5">
        <f t="shared" si="56"/>
        <v>2</v>
      </c>
      <c r="AA50" s="5">
        <f t="shared" si="56"/>
        <v>3</v>
      </c>
      <c r="AB50" s="5">
        <f t="shared" si="56"/>
        <v>4</v>
      </c>
      <c r="AC50" s="5">
        <f t="shared" si="56"/>
        <v>5</v>
      </c>
      <c r="AD50" s="64">
        <f t="shared" si="56"/>
        <v>6</v>
      </c>
      <c r="AE50" s="179">
        <f t="shared" si="56"/>
        <v>7</v>
      </c>
      <c r="AF50" s="5">
        <f t="shared" si="56"/>
        <v>8</v>
      </c>
      <c r="AG50" s="5">
        <f t="shared" si="56"/>
        <v>9</v>
      </c>
      <c r="AH50" s="5">
        <f t="shared" si="56"/>
        <v>10</v>
      </c>
      <c r="AI50" s="5">
        <f t="shared" si="56"/>
        <v>11</v>
      </c>
      <c r="AJ50" s="5">
        <f t="shared" si="56"/>
        <v>12</v>
      </c>
      <c r="AK50" s="5">
        <f t="shared" si="56"/>
        <v>13</v>
      </c>
      <c r="AL50" s="5">
        <f t="shared" si="56"/>
        <v>14</v>
      </c>
      <c r="AM50" s="4"/>
      <c r="AN50" s="4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</row>
    <row r="51" spans="2:84" x14ac:dyDescent="0.25">
      <c r="B51" s="139">
        <v>7</v>
      </c>
      <c r="C51" s="139">
        <v>3</v>
      </c>
      <c r="D51" s="139" t="str">
        <f t="shared" si="0"/>
        <v>PREPARE_EAST_E_2_18</v>
      </c>
      <c r="E51" s="139" t="s">
        <v>0</v>
      </c>
      <c r="F51" s="138" t="s">
        <v>46</v>
      </c>
      <c r="G51" s="140" t="s">
        <v>18</v>
      </c>
      <c r="H51" s="140" t="s">
        <v>6</v>
      </c>
      <c r="I51" s="140">
        <v>2</v>
      </c>
      <c r="J51" s="139"/>
      <c r="K51" s="184">
        <f>COUNT(M51:AV51)</f>
        <v>28</v>
      </c>
      <c r="L51" s="139"/>
      <c r="M51" s="5">
        <v>1</v>
      </c>
      <c r="N51" s="5">
        <f t="shared" ref="N51:AN52" si="57">M51+1</f>
        <v>2</v>
      </c>
      <c r="O51" s="5">
        <f t="shared" si="57"/>
        <v>3</v>
      </c>
      <c r="P51" s="5">
        <f t="shared" si="57"/>
        <v>4</v>
      </c>
      <c r="Q51" s="5">
        <f t="shared" si="57"/>
        <v>5</v>
      </c>
      <c r="R51" s="5">
        <f t="shared" si="57"/>
        <v>6</v>
      </c>
      <c r="S51" s="5">
        <f t="shared" si="57"/>
        <v>7</v>
      </c>
      <c r="T51" s="5">
        <f t="shared" si="57"/>
        <v>8</v>
      </c>
      <c r="U51" s="5">
        <f t="shared" si="57"/>
        <v>9</v>
      </c>
      <c r="V51" s="5">
        <f t="shared" si="57"/>
        <v>10</v>
      </c>
      <c r="W51" s="5">
        <f t="shared" si="57"/>
        <v>11</v>
      </c>
      <c r="X51" s="178">
        <f t="shared" si="57"/>
        <v>12</v>
      </c>
      <c r="Y51" s="82">
        <f t="shared" si="57"/>
        <v>13</v>
      </c>
      <c r="Z51" s="5">
        <f t="shared" si="57"/>
        <v>14</v>
      </c>
      <c r="AA51" s="5">
        <f t="shared" si="57"/>
        <v>15</v>
      </c>
      <c r="AB51" s="5">
        <f t="shared" si="57"/>
        <v>16</v>
      </c>
      <c r="AC51" s="5">
        <f t="shared" si="57"/>
        <v>17</v>
      </c>
      <c r="AD51" s="64">
        <f t="shared" si="57"/>
        <v>18</v>
      </c>
      <c r="AE51" s="179">
        <f t="shared" si="57"/>
        <v>19</v>
      </c>
      <c r="AF51" s="5">
        <f t="shared" si="57"/>
        <v>20</v>
      </c>
      <c r="AG51" s="5">
        <f t="shared" si="57"/>
        <v>21</v>
      </c>
      <c r="AH51" s="5">
        <f t="shared" si="57"/>
        <v>22</v>
      </c>
      <c r="AI51" s="5">
        <f t="shared" si="57"/>
        <v>23</v>
      </c>
      <c r="AJ51" s="5">
        <f t="shared" si="57"/>
        <v>24</v>
      </c>
      <c r="AK51" s="5">
        <f t="shared" si="57"/>
        <v>25</v>
      </c>
      <c r="AL51" s="5">
        <f t="shared" si="57"/>
        <v>26</v>
      </c>
      <c r="AM51" s="5">
        <f t="shared" si="57"/>
        <v>27</v>
      </c>
      <c r="AN51" s="5">
        <f t="shared" si="57"/>
        <v>28</v>
      </c>
      <c r="AO51" s="4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</row>
    <row r="52" spans="2:84" x14ac:dyDescent="0.25">
      <c r="B52" s="139">
        <v>7</v>
      </c>
      <c r="C52" s="139">
        <v>4</v>
      </c>
      <c r="D52" s="139" t="str">
        <f t="shared" si="0"/>
        <v>SUPPLY_EAST_E_2_18</v>
      </c>
      <c r="E52" s="139" t="s">
        <v>0</v>
      </c>
      <c r="F52" s="142" t="s">
        <v>0</v>
      </c>
      <c r="G52" s="140" t="s">
        <v>18</v>
      </c>
      <c r="H52" s="140" t="s">
        <v>6</v>
      </c>
      <c r="I52" s="140">
        <v>2</v>
      </c>
      <c r="J52" s="141"/>
      <c r="K52" s="184">
        <f>COUNT(AE52:BN52)</f>
        <v>11</v>
      </c>
      <c r="L52" s="13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90"/>
      <c r="Y52" s="191"/>
      <c r="Z52" s="189"/>
      <c r="AA52" s="189"/>
      <c r="AB52" s="189"/>
      <c r="AC52" s="189"/>
      <c r="AD52" s="192"/>
      <c r="AE52" s="131">
        <v>1</v>
      </c>
      <c r="AF52" s="1">
        <f>AE52+1</f>
        <v>2</v>
      </c>
      <c r="AG52" s="1">
        <f t="shared" si="57"/>
        <v>3</v>
      </c>
      <c r="AH52" s="1">
        <f t="shared" si="57"/>
        <v>4</v>
      </c>
      <c r="AI52" s="1">
        <f t="shared" si="57"/>
        <v>5</v>
      </c>
      <c r="AJ52" s="1">
        <f t="shared" si="57"/>
        <v>6</v>
      </c>
      <c r="AK52" s="1">
        <f t="shared" si="57"/>
        <v>7</v>
      </c>
      <c r="AL52" s="1">
        <f t="shared" si="57"/>
        <v>8</v>
      </c>
      <c r="AM52" s="1">
        <f t="shared" si="57"/>
        <v>9</v>
      </c>
      <c r="AN52" s="1">
        <f t="shared" ref="AN52:AO52" si="58">AM52+1</f>
        <v>10</v>
      </c>
      <c r="AO52" s="1">
        <f t="shared" si="58"/>
        <v>11</v>
      </c>
      <c r="AP52" s="93"/>
      <c r="AQ52" s="93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</row>
    <row r="53" spans="2:84" x14ac:dyDescent="0.25">
      <c r="B53" s="139">
        <v>7</v>
      </c>
      <c r="C53" s="140">
        <v>5</v>
      </c>
      <c r="D53" s="139" t="str">
        <f t="shared" si="0"/>
        <v>EMPTY_EAST_E_2_18</v>
      </c>
      <c r="E53" s="140" t="s">
        <v>0</v>
      </c>
      <c r="F53" s="142" t="s">
        <v>32</v>
      </c>
      <c r="G53" s="140" t="s">
        <v>18</v>
      </c>
      <c r="H53" s="140" t="s">
        <v>6</v>
      </c>
      <c r="I53" s="140">
        <v>2</v>
      </c>
      <c r="J53" s="143"/>
      <c r="K53" s="184">
        <f>COUNT(AE53:BN53)</f>
        <v>26</v>
      </c>
      <c r="L53" s="140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90"/>
      <c r="Y53" s="191"/>
      <c r="Z53" s="189"/>
      <c r="AA53" s="189"/>
      <c r="AB53" s="189"/>
      <c r="AC53" s="189"/>
      <c r="AD53" s="192"/>
      <c r="AE53" s="131">
        <v>1</v>
      </c>
      <c r="AF53" s="1">
        <f t="shared" ref="AF53:BD53" si="59">AE53+1</f>
        <v>2</v>
      </c>
      <c r="AG53" s="1">
        <f t="shared" si="59"/>
        <v>3</v>
      </c>
      <c r="AH53" s="1">
        <f t="shared" si="59"/>
        <v>4</v>
      </c>
      <c r="AI53" s="1">
        <f t="shared" si="59"/>
        <v>5</v>
      </c>
      <c r="AJ53" s="1">
        <f t="shared" si="59"/>
        <v>6</v>
      </c>
      <c r="AK53" s="1">
        <f t="shared" si="59"/>
        <v>7</v>
      </c>
      <c r="AL53" s="1">
        <f t="shared" si="59"/>
        <v>8</v>
      </c>
      <c r="AM53" s="1">
        <f t="shared" si="59"/>
        <v>9</v>
      </c>
      <c r="AN53" s="1">
        <f t="shared" si="59"/>
        <v>10</v>
      </c>
      <c r="AO53" s="1">
        <f t="shared" si="59"/>
        <v>11</v>
      </c>
      <c r="AP53" s="1">
        <f t="shared" si="59"/>
        <v>12</v>
      </c>
      <c r="AQ53" s="1">
        <f t="shared" si="59"/>
        <v>13</v>
      </c>
      <c r="AR53" s="1">
        <f t="shared" si="59"/>
        <v>14</v>
      </c>
      <c r="AS53" s="1">
        <f t="shared" si="59"/>
        <v>15</v>
      </c>
      <c r="AT53" s="1">
        <f t="shared" si="59"/>
        <v>16</v>
      </c>
      <c r="AU53" s="1">
        <f t="shared" si="59"/>
        <v>17</v>
      </c>
      <c r="AV53" s="1">
        <f t="shared" si="59"/>
        <v>18</v>
      </c>
      <c r="AW53" s="1">
        <f t="shared" si="59"/>
        <v>19</v>
      </c>
      <c r="AX53" s="1">
        <f t="shared" si="59"/>
        <v>20</v>
      </c>
      <c r="AY53" s="1">
        <f t="shared" si="59"/>
        <v>21</v>
      </c>
      <c r="AZ53" s="1">
        <f t="shared" si="59"/>
        <v>22</v>
      </c>
      <c r="BA53" s="1">
        <f t="shared" si="59"/>
        <v>23</v>
      </c>
      <c r="BB53" s="1">
        <f t="shared" si="59"/>
        <v>24</v>
      </c>
      <c r="BC53" s="1">
        <f t="shared" si="59"/>
        <v>25</v>
      </c>
      <c r="BD53" s="1">
        <f t="shared" si="59"/>
        <v>26</v>
      </c>
      <c r="BE53" s="46"/>
      <c r="BF53" s="4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</row>
    <row r="54" spans="2:84" hidden="1" x14ac:dyDescent="0.25">
      <c r="B54" s="139">
        <v>7</v>
      </c>
      <c r="C54" s="140">
        <v>6</v>
      </c>
      <c r="D54" s="139" t="str">
        <f t="shared" si="0"/>
        <v>COUNTDOWN_EAST_E_2_18</v>
      </c>
      <c r="E54" s="140"/>
      <c r="F54" s="142" t="s">
        <v>33</v>
      </c>
      <c r="G54" s="140" t="s">
        <v>18</v>
      </c>
      <c r="H54" s="140" t="s">
        <v>6</v>
      </c>
      <c r="I54" s="140">
        <v>2</v>
      </c>
      <c r="J54" s="144"/>
      <c r="K54" s="144"/>
      <c r="L54" s="140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178"/>
      <c r="Y54" s="82"/>
      <c r="Z54" s="5"/>
      <c r="AA54" s="5"/>
      <c r="AB54" s="5"/>
      <c r="AC54" s="5"/>
      <c r="AD54" s="64"/>
      <c r="AE54" s="179"/>
      <c r="AF54" s="5"/>
      <c r="AG54" s="5"/>
      <c r="AH54" s="5"/>
      <c r="AI54" s="5"/>
      <c r="AJ54" s="5"/>
      <c r="AK54" s="6"/>
      <c r="AL54" s="6"/>
      <c r="AM54" s="46"/>
      <c r="AN54" s="56"/>
      <c r="AO54" s="56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</row>
    <row r="55" spans="2:84" hidden="1" x14ac:dyDescent="0.25">
      <c r="B55" s="139">
        <v>8</v>
      </c>
      <c r="C55" s="139">
        <v>1</v>
      </c>
      <c r="D55" s="139" t="str">
        <f t="shared" si="0"/>
        <v>SORTING_EAST_D_1_18</v>
      </c>
      <c r="E55" s="139" t="s">
        <v>35</v>
      </c>
      <c r="F55" s="138" t="s">
        <v>45</v>
      </c>
      <c r="G55" s="140" t="s">
        <v>18</v>
      </c>
      <c r="H55" s="140" t="s">
        <v>47</v>
      </c>
      <c r="I55" s="140">
        <v>1</v>
      </c>
      <c r="J55" s="139"/>
      <c r="K55" s="184">
        <f>COUNT(Y55:AV55)</f>
        <v>14</v>
      </c>
      <c r="L55" s="139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101"/>
      <c r="Y55" s="82">
        <v>1</v>
      </c>
      <c r="Z55" s="5">
        <f t="shared" ref="Z55:AN56" si="60">Y55+1</f>
        <v>2</v>
      </c>
      <c r="AA55" s="5">
        <f t="shared" si="60"/>
        <v>3</v>
      </c>
      <c r="AB55" s="5">
        <f t="shared" si="60"/>
        <v>4</v>
      </c>
      <c r="AC55" s="5">
        <f t="shared" si="60"/>
        <v>5</v>
      </c>
      <c r="AD55" s="64">
        <f t="shared" si="60"/>
        <v>6</v>
      </c>
      <c r="AE55" s="179">
        <f t="shared" si="60"/>
        <v>7</v>
      </c>
      <c r="AF55" s="5">
        <f t="shared" si="60"/>
        <v>8</v>
      </c>
      <c r="AG55" s="5">
        <f t="shared" si="60"/>
        <v>9</v>
      </c>
      <c r="AH55" s="5">
        <f t="shared" si="60"/>
        <v>10</v>
      </c>
      <c r="AI55" s="5">
        <f t="shared" si="60"/>
        <v>11</v>
      </c>
      <c r="AJ55" s="5">
        <f t="shared" si="60"/>
        <v>12</v>
      </c>
      <c r="AK55" s="5">
        <f t="shared" si="60"/>
        <v>13</v>
      </c>
      <c r="AL55" s="5">
        <f t="shared" si="60"/>
        <v>14</v>
      </c>
      <c r="AM55" s="4"/>
      <c r="AN55" s="4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</row>
    <row r="56" spans="2:84" hidden="1" x14ac:dyDescent="0.25">
      <c r="B56" s="139">
        <v>8</v>
      </c>
      <c r="C56" s="139">
        <v>2</v>
      </c>
      <c r="D56" s="139" t="str">
        <f t="shared" si="0"/>
        <v>TRANSFER_EAST_D_1_18</v>
      </c>
      <c r="E56" s="139" t="s">
        <v>21</v>
      </c>
      <c r="F56" s="138" t="s">
        <v>21</v>
      </c>
      <c r="G56" s="140" t="s">
        <v>18</v>
      </c>
      <c r="H56" s="140" t="s">
        <v>47</v>
      </c>
      <c r="I56" s="140">
        <v>1</v>
      </c>
      <c r="J56" s="139"/>
      <c r="K56" s="184">
        <f>COUNT(Y56:AV56)</f>
        <v>16</v>
      </c>
      <c r="L56" s="139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101"/>
      <c r="Y56" s="82">
        <v>1</v>
      </c>
      <c r="Z56" s="5">
        <f t="shared" si="60"/>
        <v>2</v>
      </c>
      <c r="AA56" s="5">
        <f t="shared" si="60"/>
        <v>3</v>
      </c>
      <c r="AB56" s="5">
        <f t="shared" si="60"/>
        <v>4</v>
      </c>
      <c r="AC56" s="5">
        <f t="shared" si="60"/>
        <v>5</v>
      </c>
      <c r="AD56" s="64">
        <f t="shared" si="60"/>
        <v>6</v>
      </c>
      <c r="AE56" s="179">
        <f t="shared" si="60"/>
        <v>7</v>
      </c>
      <c r="AF56" s="5">
        <f t="shared" si="60"/>
        <v>8</v>
      </c>
      <c r="AG56" s="5">
        <f t="shared" si="60"/>
        <v>9</v>
      </c>
      <c r="AH56" s="5">
        <f t="shared" si="60"/>
        <v>10</v>
      </c>
      <c r="AI56" s="5">
        <f t="shared" si="60"/>
        <v>11</v>
      </c>
      <c r="AJ56" s="5">
        <f t="shared" si="60"/>
        <v>12</v>
      </c>
      <c r="AK56" s="5">
        <f t="shared" si="60"/>
        <v>13</v>
      </c>
      <c r="AL56" s="5">
        <f t="shared" si="60"/>
        <v>14</v>
      </c>
      <c r="AM56" s="5">
        <f t="shared" si="60"/>
        <v>15</v>
      </c>
      <c r="AN56" s="5">
        <f t="shared" si="60"/>
        <v>16</v>
      </c>
      <c r="AO56" s="4"/>
      <c r="AP56" s="4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</row>
    <row r="57" spans="2:84" x14ac:dyDescent="0.25">
      <c r="B57" s="139">
        <v>8</v>
      </c>
      <c r="C57" s="139">
        <v>3</v>
      </c>
      <c r="D57" s="139" t="str">
        <f t="shared" si="0"/>
        <v>PREPARE_EAST_D_1_18</v>
      </c>
      <c r="E57" s="139" t="s">
        <v>0</v>
      </c>
      <c r="F57" s="138" t="s">
        <v>46</v>
      </c>
      <c r="G57" s="140" t="s">
        <v>18</v>
      </c>
      <c r="H57" s="140" t="s">
        <v>47</v>
      </c>
      <c r="I57" s="140">
        <v>1</v>
      </c>
      <c r="J57" s="139"/>
      <c r="K57" s="184">
        <f>COUNT(M57:AV57)</f>
        <v>30</v>
      </c>
      <c r="L57" s="139"/>
      <c r="M57" s="5">
        <v>1</v>
      </c>
      <c r="N57" s="5">
        <f t="shared" ref="N57:AP58" si="61">M57+1</f>
        <v>2</v>
      </c>
      <c r="O57" s="5">
        <f t="shared" si="61"/>
        <v>3</v>
      </c>
      <c r="P57" s="5">
        <f t="shared" si="61"/>
        <v>4</v>
      </c>
      <c r="Q57" s="5">
        <f t="shared" si="61"/>
        <v>5</v>
      </c>
      <c r="R57" s="5">
        <f t="shared" si="61"/>
        <v>6</v>
      </c>
      <c r="S57" s="5">
        <f t="shared" si="61"/>
        <v>7</v>
      </c>
      <c r="T57" s="5">
        <f t="shared" si="61"/>
        <v>8</v>
      </c>
      <c r="U57" s="5">
        <f t="shared" si="61"/>
        <v>9</v>
      </c>
      <c r="V57" s="5">
        <f t="shared" si="61"/>
        <v>10</v>
      </c>
      <c r="W57" s="5">
        <f t="shared" si="61"/>
        <v>11</v>
      </c>
      <c r="X57" s="178">
        <f t="shared" si="61"/>
        <v>12</v>
      </c>
      <c r="Y57" s="82">
        <f t="shared" si="61"/>
        <v>13</v>
      </c>
      <c r="Z57" s="5">
        <f t="shared" si="61"/>
        <v>14</v>
      </c>
      <c r="AA57" s="5">
        <f t="shared" si="61"/>
        <v>15</v>
      </c>
      <c r="AB57" s="5">
        <f t="shared" si="61"/>
        <v>16</v>
      </c>
      <c r="AC57" s="5">
        <f t="shared" si="61"/>
        <v>17</v>
      </c>
      <c r="AD57" s="64">
        <f t="shared" si="61"/>
        <v>18</v>
      </c>
      <c r="AE57" s="179">
        <f t="shared" si="61"/>
        <v>19</v>
      </c>
      <c r="AF57" s="5">
        <f t="shared" si="61"/>
        <v>20</v>
      </c>
      <c r="AG57" s="5">
        <f t="shared" si="61"/>
        <v>21</v>
      </c>
      <c r="AH57" s="5">
        <f t="shared" si="61"/>
        <v>22</v>
      </c>
      <c r="AI57" s="5">
        <f t="shared" si="61"/>
        <v>23</v>
      </c>
      <c r="AJ57" s="5">
        <f t="shared" si="61"/>
        <v>24</v>
      </c>
      <c r="AK57" s="5">
        <f t="shared" si="61"/>
        <v>25</v>
      </c>
      <c r="AL57" s="5">
        <f t="shared" si="61"/>
        <v>26</v>
      </c>
      <c r="AM57" s="5">
        <f t="shared" si="61"/>
        <v>27</v>
      </c>
      <c r="AN57" s="5">
        <f t="shared" si="61"/>
        <v>28</v>
      </c>
      <c r="AO57" s="5">
        <f t="shared" si="61"/>
        <v>29</v>
      </c>
      <c r="AP57" s="5">
        <f t="shared" si="61"/>
        <v>30</v>
      </c>
      <c r="AQ57" s="4"/>
      <c r="AR57" s="4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</row>
    <row r="58" spans="2:84" x14ac:dyDescent="0.25">
      <c r="B58" s="139">
        <v>8</v>
      </c>
      <c r="C58" s="139">
        <v>4</v>
      </c>
      <c r="D58" s="139" t="str">
        <f t="shared" si="0"/>
        <v>SUPPLY_EAST_D_1_18</v>
      </c>
      <c r="E58" s="139" t="s">
        <v>0</v>
      </c>
      <c r="F58" s="142" t="s">
        <v>0</v>
      </c>
      <c r="G58" s="140" t="s">
        <v>18</v>
      </c>
      <c r="H58" s="140" t="s">
        <v>47</v>
      </c>
      <c r="I58" s="140">
        <v>1</v>
      </c>
      <c r="J58" s="141"/>
      <c r="K58" s="184">
        <f>COUNT(AE58:BN58)</f>
        <v>14</v>
      </c>
      <c r="L58" s="13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90"/>
      <c r="Y58" s="191"/>
      <c r="Z58" s="189"/>
      <c r="AA58" s="189"/>
      <c r="AB58" s="189"/>
      <c r="AC58" s="189"/>
      <c r="AD58" s="192"/>
      <c r="AE58" s="131">
        <v>1</v>
      </c>
      <c r="AF58" s="1">
        <f>AE58+1</f>
        <v>2</v>
      </c>
      <c r="AG58" s="1">
        <f t="shared" si="61"/>
        <v>3</v>
      </c>
      <c r="AH58" s="1">
        <f t="shared" si="61"/>
        <v>4</v>
      </c>
      <c r="AI58" s="1">
        <f t="shared" si="61"/>
        <v>5</v>
      </c>
      <c r="AJ58" s="1">
        <f t="shared" si="61"/>
        <v>6</v>
      </c>
      <c r="AK58" s="1">
        <f t="shared" si="61"/>
        <v>7</v>
      </c>
      <c r="AL58" s="1">
        <f t="shared" si="61"/>
        <v>8</v>
      </c>
      <c r="AM58" s="1">
        <f t="shared" si="61"/>
        <v>9</v>
      </c>
      <c r="AN58" s="1">
        <f t="shared" si="61"/>
        <v>10</v>
      </c>
      <c r="AO58" s="1">
        <f t="shared" si="61"/>
        <v>11</v>
      </c>
      <c r="AP58" s="1">
        <f t="shared" ref="AP58:AR58" si="62">AO58+1</f>
        <v>12</v>
      </c>
      <c r="AQ58" s="1">
        <f t="shared" si="62"/>
        <v>13</v>
      </c>
      <c r="AR58" s="1">
        <f t="shared" si="62"/>
        <v>14</v>
      </c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</row>
    <row r="59" spans="2:84" x14ac:dyDescent="0.25">
      <c r="B59" s="139">
        <v>8</v>
      </c>
      <c r="C59" s="140">
        <v>5</v>
      </c>
      <c r="D59" s="139" t="str">
        <f t="shared" si="0"/>
        <v>EMPTY_EAST_D_1_18</v>
      </c>
      <c r="E59" s="140" t="s">
        <v>0</v>
      </c>
      <c r="F59" s="142" t="s">
        <v>32</v>
      </c>
      <c r="G59" s="140" t="s">
        <v>18</v>
      </c>
      <c r="H59" s="140" t="s">
        <v>47</v>
      </c>
      <c r="I59" s="140">
        <v>1</v>
      </c>
      <c r="J59" s="143"/>
      <c r="K59" s="184">
        <f>COUNT(AE59:BN59)</f>
        <v>28</v>
      </c>
      <c r="L59" s="140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90"/>
      <c r="Y59" s="191"/>
      <c r="Z59" s="189"/>
      <c r="AA59" s="189"/>
      <c r="AB59" s="189"/>
      <c r="AC59" s="189"/>
      <c r="AD59" s="192"/>
      <c r="AE59" s="131">
        <v>1</v>
      </c>
      <c r="AF59" s="1">
        <f t="shared" ref="AF59:BF59" si="63">AE59+1</f>
        <v>2</v>
      </c>
      <c r="AG59" s="1">
        <f t="shared" si="63"/>
        <v>3</v>
      </c>
      <c r="AH59" s="1">
        <f t="shared" si="63"/>
        <v>4</v>
      </c>
      <c r="AI59" s="1">
        <f t="shared" si="63"/>
        <v>5</v>
      </c>
      <c r="AJ59" s="1">
        <f t="shared" si="63"/>
        <v>6</v>
      </c>
      <c r="AK59" s="1">
        <f t="shared" si="63"/>
        <v>7</v>
      </c>
      <c r="AL59" s="1">
        <f t="shared" si="63"/>
        <v>8</v>
      </c>
      <c r="AM59" s="1">
        <f t="shared" si="63"/>
        <v>9</v>
      </c>
      <c r="AN59" s="1">
        <f t="shared" si="63"/>
        <v>10</v>
      </c>
      <c r="AO59" s="1">
        <f t="shared" si="63"/>
        <v>11</v>
      </c>
      <c r="AP59" s="1">
        <f t="shared" si="63"/>
        <v>12</v>
      </c>
      <c r="AQ59" s="1">
        <f t="shared" si="63"/>
        <v>13</v>
      </c>
      <c r="AR59" s="1">
        <f t="shared" si="63"/>
        <v>14</v>
      </c>
      <c r="AS59" s="1">
        <f t="shared" si="63"/>
        <v>15</v>
      </c>
      <c r="AT59" s="1">
        <f t="shared" si="63"/>
        <v>16</v>
      </c>
      <c r="AU59" s="1">
        <f t="shared" si="63"/>
        <v>17</v>
      </c>
      <c r="AV59" s="1">
        <f t="shared" si="63"/>
        <v>18</v>
      </c>
      <c r="AW59" s="1">
        <f t="shared" si="63"/>
        <v>19</v>
      </c>
      <c r="AX59" s="1">
        <f t="shared" si="63"/>
        <v>20</v>
      </c>
      <c r="AY59" s="1">
        <f t="shared" si="63"/>
        <v>21</v>
      </c>
      <c r="AZ59" s="1">
        <f t="shared" si="63"/>
        <v>22</v>
      </c>
      <c r="BA59" s="1">
        <f t="shared" si="63"/>
        <v>23</v>
      </c>
      <c r="BB59" s="1">
        <f t="shared" si="63"/>
        <v>24</v>
      </c>
      <c r="BC59" s="1">
        <f t="shared" si="63"/>
        <v>25</v>
      </c>
      <c r="BD59" s="1">
        <f t="shared" si="63"/>
        <v>26</v>
      </c>
      <c r="BE59" s="1">
        <f t="shared" si="63"/>
        <v>27</v>
      </c>
      <c r="BF59" s="1">
        <f t="shared" si="63"/>
        <v>28</v>
      </c>
      <c r="BG59" s="46"/>
      <c r="BH59" s="4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</row>
    <row r="60" spans="2:84" hidden="1" x14ac:dyDescent="0.25">
      <c r="B60" s="139">
        <v>8</v>
      </c>
      <c r="C60" s="140">
        <v>6</v>
      </c>
      <c r="D60" s="139" t="str">
        <f t="shared" si="0"/>
        <v>COUNTDOWN_EAST_D_1_18</v>
      </c>
      <c r="E60" s="140"/>
      <c r="F60" s="142" t="s">
        <v>33</v>
      </c>
      <c r="G60" s="140" t="s">
        <v>18</v>
      </c>
      <c r="H60" s="140" t="s">
        <v>47</v>
      </c>
      <c r="I60" s="140">
        <v>1</v>
      </c>
      <c r="J60" s="144"/>
      <c r="K60" s="144"/>
      <c r="L60" s="140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178"/>
      <c r="Y60" s="82"/>
      <c r="Z60" s="5"/>
      <c r="AA60" s="5"/>
      <c r="AB60" s="5"/>
      <c r="AC60" s="5"/>
      <c r="AD60" s="64"/>
      <c r="AE60" s="179"/>
      <c r="AF60" s="5"/>
      <c r="AG60" s="5"/>
      <c r="AH60" s="5"/>
      <c r="AI60" s="5"/>
      <c r="AJ60" s="5"/>
      <c r="AK60" s="5"/>
      <c r="AL60" s="5"/>
      <c r="AM60" s="6"/>
      <c r="AN60" s="6"/>
      <c r="AO60" s="46"/>
      <c r="AP60" s="56"/>
      <c r="AQ60" s="56"/>
      <c r="AR60" s="56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</row>
    <row r="61" spans="2:84" hidden="1" x14ac:dyDescent="0.25">
      <c r="B61" s="139">
        <v>10</v>
      </c>
      <c r="C61" s="139">
        <v>1</v>
      </c>
      <c r="D61" s="139" t="str">
        <f t="shared" si="0"/>
        <v>SORTING_EAST_K_2_18</v>
      </c>
      <c r="E61" s="139" t="s">
        <v>35</v>
      </c>
      <c r="F61" s="138" t="s">
        <v>45</v>
      </c>
      <c r="G61" s="140" t="s">
        <v>18</v>
      </c>
      <c r="H61" s="140" t="s">
        <v>12</v>
      </c>
      <c r="I61" s="140">
        <v>2</v>
      </c>
      <c r="J61" s="139"/>
      <c r="K61" s="184">
        <f>COUNT(Y61:AV61)</f>
        <v>16</v>
      </c>
      <c r="L61" s="139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101"/>
      <c r="Y61" s="82">
        <v>1</v>
      </c>
      <c r="Z61" s="5">
        <f t="shared" ref="Z61:AO62" si="64">Y61+1</f>
        <v>2</v>
      </c>
      <c r="AA61" s="5">
        <f t="shared" si="64"/>
        <v>3</v>
      </c>
      <c r="AB61" s="5">
        <f t="shared" si="64"/>
        <v>4</v>
      </c>
      <c r="AC61" s="5">
        <f t="shared" si="64"/>
        <v>5</v>
      </c>
      <c r="AD61" s="64">
        <f t="shared" si="64"/>
        <v>6</v>
      </c>
      <c r="AE61" s="179">
        <f t="shared" si="64"/>
        <v>7</v>
      </c>
      <c r="AF61" s="5">
        <f t="shared" si="64"/>
        <v>8</v>
      </c>
      <c r="AG61" s="5">
        <f t="shared" si="64"/>
        <v>9</v>
      </c>
      <c r="AH61" s="5">
        <f t="shared" si="64"/>
        <v>10</v>
      </c>
      <c r="AI61" s="5">
        <f t="shared" si="64"/>
        <v>11</v>
      </c>
      <c r="AJ61" s="5">
        <f t="shared" si="64"/>
        <v>12</v>
      </c>
      <c r="AK61" s="5">
        <f t="shared" si="64"/>
        <v>13</v>
      </c>
      <c r="AL61" s="5">
        <f t="shared" si="64"/>
        <v>14</v>
      </c>
      <c r="AM61" s="5">
        <f t="shared" si="64"/>
        <v>15</v>
      </c>
      <c r="AN61" s="5">
        <f t="shared" si="64"/>
        <v>16</v>
      </c>
      <c r="AO61" s="4"/>
      <c r="AP61" s="4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</row>
    <row r="62" spans="2:84" hidden="1" x14ac:dyDescent="0.25">
      <c r="B62" s="139">
        <v>10</v>
      </c>
      <c r="C62" s="139">
        <v>2</v>
      </c>
      <c r="D62" s="139" t="str">
        <f t="shared" si="0"/>
        <v>TRANSFER_EAST_K_2_18</v>
      </c>
      <c r="E62" s="139" t="s">
        <v>21</v>
      </c>
      <c r="F62" s="138" t="s">
        <v>21</v>
      </c>
      <c r="G62" s="140" t="s">
        <v>18</v>
      </c>
      <c r="H62" s="140" t="s">
        <v>12</v>
      </c>
      <c r="I62" s="140">
        <v>2</v>
      </c>
      <c r="J62" s="139"/>
      <c r="K62" s="184">
        <f>COUNT(Y62:AV62)</f>
        <v>18</v>
      </c>
      <c r="L62" s="139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101"/>
      <c r="Y62" s="82">
        <v>1</v>
      </c>
      <c r="Z62" s="5">
        <f t="shared" si="64"/>
        <v>2</v>
      </c>
      <c r="AA62" s="5">
        <f t="shared" si="64"/>
        <v>3</v>
      </c>
      <c r="AB62" s="5">
        <f t="shared" si="64"/>
        <v>4</v>
      </c>
      <c r="AC62" s="5">
        <f t="shared" si="64"/>
        <v>5</v>
      </c>
      <c r="AD62" s="64">
        <f t="shared" si="64"/>
        <v>6</v>
      </c>
      <c r="AE62" s="179">
        <f t="shared" si="64"/>
        <v>7</v>
      </c>
      <c r="AF62" s="5">
        <f t="shared" si="64"/>
        <v>8</v>
      </c>
      <c r="AG62" s="5">
        <f t="shared" si="64"/>
        <v>9</v>
      </c>
      <c r="AH62" s="5">
        <f t="shared" si="64"/>
        <v>10</v>
      </c>
      <c r="AI62" s="5">
        <f t="shared" si="64"/>
        <v>11</v>
      </c>
      <c r="AJ62" s="5">
        <f t="shared" si="64"/>
        <v>12</v>
      </c>
      <c r="AK62" s="5">
        <f t="shared" si="64"/>
        <v>13</v>
      </c>
      <c r="AL62" s="5">
        <f t="shared" si="64"/>
        <v>14</v>
      </c>
      <c r="AM62" s="5">
        <f t="shared" si="64"/>
        <v>15</v>
      </c>
      <c r="AN62" s="5">
        <f t="shared" si="64"/>
        <v>16</v>
      </c>
      <c r="AO62" s="5">
        <f t="shared" si="64"/>
        <v>17</v>
      </c>
      <c r="AP62" s="5">
        <f t="shared" ref="AP62" si="65">AO62+1</f>
        <v>18</v>
      </c>
      <c r="AQ62" s="4"/>
      <c r="AR62" s="4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</row>
    <row r="63" spans="2:84" x14ac:dyDescent="0.25">
      <c r="B63" s="139">
        <v>10</v>
      </c>
      <c r="C63" s="139">
        <v>3</v>
      </c>
      <c r="D63" s="139" t="str">
        <f t="shared" si="0"/>
        <v>PREPARE_EAST_K_2_18</v>
      </c>
      <c r="E63" s="139" t="s">
        <v>0</v>
      </c>
      <c r="F63" s="138" t="s">
        <v>46</v>
      </c>
      <c r="G63" s="140" t="s">
        <v>18</v>
      </c>
      <c r="H63" s="140" t="s">
        <v>12</v>
      </c>
      <c r="I63" s="140">
        <v>2</v>
      </c>
      <c r="J63" s="139"/>
      <c r="K63" s="184">
        <f>COUNT(M63:AV63)</f>
        <v>32</v>
      </c>
      <c r="L63" s="139"/>
      <c r="M63" s="5">
        <v>1</v>
      </c>
      <c r="N63" s="5">
        <f t="shared" ref="N63:AR64" si="66">M63+1</f>
        <v>2</v>
      </c>
      <c r="O63" s="5">
        <f t="shared" si="66"/>
        <v>3</v>
      </c>
      <c r="P63" s="5">
        <f t="shared" si="66"/>
        <v>4</v>
      </c>
      <c r="Q63" s="5">
        <f t="shared" si="66"/>
        <v>5</v>
      </c>
      <c r="R63" s="5">
        <f t="shared" si="66"/>
        <v>6</v>
      </c>
      <c r="S63" s="5">
        <f t="shared" si="66"/>
        <v>7</v>
      </c>
      <c r="T63" s="5">
        <f t="shared" si="66"/>
        <v>8</v>
      </c>
      <c r="U63" s="5">
        <f t="shared" si="66"/>
        <v>9</v>
      </c>
      <c r="V63" s="5">
        <f t="shared" si="66"/>
        <v>10</v>
      </c>
      <c r="W63" s="5">
        <f t="shared" si="66"/>
        <v>11</v>
      </c>
      <c r="X63" s="178">
        <f t="shared" si="66"/>
        <v>12</v>
      </c>
      <c r="Y63" s="82">
        <f t="shared" si="66"/>
        <v>13</v>
      </c>
      <c r="Z63" s="5">
        <f t="shared" si="66"/>
        <v>14</v>
      </c>
      <c r="AA63" s="5">
        <f t="shared" si="66"/>
        <v>15</v>
      </c>
      <c r="AB63" s="5">
        <f t="shared" si="66"/>
        <v>16</v>
      </c>
      <c r="AC63" s="5">
        <f t="shared" si="66"/>
        <v>17</v>
      </c>
      <c r="AD63" s="64">
        <f t="shared" si="66"/>
        <v>18</v>
      </c>
      <c r="AE63" s="179">
        <f t="shared" si="66"/>
        <v>19</v>
      </c>
      <c r="AF63" s="5">
        <f t="shared" si="66"/>
        <v>20</v>
      </c>
      <c r="AG63" s="5">
        <f t="shared" si="66"/>
        <v>21</v>
      </c>
      <c r="AH63" s="5">
        <f t="shared" si="66"/>
        <v>22</v>
      </c>
      <c r="AI63" s="5">
        <f t="shared" si="66"/>
        <v>23</v>
      </c>
      <c r="AJ63" s="5">
        <f t="shared" si="66"/>
        <v>24</v>
      </c>
      <c r="AK63" s="5">
        <f t="shared" si="66"/>
        <v>25</v>
      </c>
      <c r="AL63" s="5">
        <f t="shared" si="66"/>
        <v>26</v>
      </c>
      <c r="AM63" s="5">
        <f t="shared" si="66"/>
        <v>27</v>
      </c>
      <c r="AN63" s="5">
        <f t="shared" si="66"/>
        <v>28</v>
      </c>
      <c r="AO63" s="5">
        <f t="shared" si="66"/>
        <v>29</v>
      </c>
      <c r="AP63" s="5">
        <f t="shared" si="66"/>
        <v>30</v>
      </c>
      <c r="AQ63" s="5">
        <f t="shared" si="66"/>
        <v>31</v>
      </c>
      <c r="AR63" s="5">
        <f t="shared" si="66"/>
        <v>32</v>
      </c>
      <c r="AS63" s="4"/>
      <c r="AT63" s="4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</row>
    <row r="64" spans="2:84" x14ac:dyDescent="0.25">
      <c r="B64" s="139">
        <v>10</v>
      </c>
      <c r="C64" s="139">
        <v>4</v>
      </c>
      <c r="D64" s="139" t="str">
        <f t="shared" si="0"/>
        <v>SUPPLY_EAST_K_2_18</v>
      </c>
      <c r="E64" s="139" t="s">
        <v>0</v>
      </c>
      <c r="F64" s="142" t="s">
        <v>0</v>
      </c>
      <c r="G64" s="140" t="s">
        <v>18</v>
      </c>
      <c r="H64" s="140" t="s">
        <v>12</v>
      </c>
      <c r="I64" s="140">
        <v>2</v>
      </c>
      <c r="J64" s="141"/>
      <c r="K64" s="184">
        <f>COUNT(AE64:BN64)</f>
        <v>16</v>
      </c>
      <c r="L64" s="13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90"/>
      <c r="Y64" s="191"/>
      <c r="Z64" s="189"/>
      <c r="AA64" s="189"/>
      <c r="AB64" s="189"/>
      <c r="AC64" s="189"/>
      <c r="AD64" s="192"/>
      <c r="AE64" s="131">
        <v>1</v>
      </c>
      <c r="AF64" s="1">
        <f>AE64+1</f>
        <v>2</v>
      </c>
      <c r="AG64" s="1">
        <f t="shared" si="66"/>
        <v>3</v>
      </c>
      <c r="AH64" s="1">
        <f t="shared" si="66"/>
        <v>4</v>
      </c>
      <c r="AI64" s="1">
        <f t="shared" si="66"/>
        <v>5</v>
      </c>
      <c r="AJ64" s="1">
        <f t="shared" si="66"/>
        <v>6</v>
      </c>
      <c r="AK64" s="1">
        <f t="shared" si="66"/>
        <v>7</v>
      </c>
      <c r="AL64" s="1">
        <f t="shared" si="66"/>
        <v>8</v>
      </c>
      <c r="AM64" s="1">
        <f t="shared" si="66"/>
        <v>9</v>
      </c>
      <c r="AN64" s="1">
        <f t="shared" si="66"/>
        <v>10</v>
      </c>
      <c r="AO64" s="1">
        <f t="shared" si="66"/>
        <v>11</v>
      </c>
      <c r="AP64" s="1">
        <f t="shared" si="66"/>
        <v>12</v>
      </c>
      <c r="AQ64" s="1">
        <f t="shared" si="66"/>
        <v>13</v>
      </c>
      <c r="AR64" s="1">
        <f t="shared" si="66"/>
        <v>14</v>
      </c>
      <c r="AS64" s="1">
        <f t="shared" ref="AS64:AT64" si="67">AR64+1</f>
        <v>15</v>
      </c>
      <c r="AT64" s="1">
        <f t="shared" si="67"/>
        <v>16</v>
      </c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</row>
    <row r="65" spans="1:84" x14ac:dyDescent="0.25">
      <c r="B65" s="139">
        <v>10</v>
      </c>
      <c r="C65" s="140">
        <v>5</v>
      </c>
      <c r="D65" s="139" t="str">
        <f t="shared" si="0"/>
        <v>EMPTY_EAST_K_2_18</v>
      </c>
      <c r="E65" s="140" t="s">
        <v>0</v>
      </c>
      <c r="F65" s="142" t="s">
        <v>32</v>
      </c>
      <c r="G65" s="140" t="s">
        <v>18</v>
      </c>
      <c r="H65" s="140" t="s">
        <v>12</v>
      </c>
      <c r="I65" s="140">
        <v>2</v>
      </c>
      <c r="J65" s="143"/>
      <c r="K65" s="184">
        <f>COUNT(AE65:BN65)</f>
        <v>30</v>
      </c>
      <c r="L65" s="140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90"/>
      <c r="Y65" s="191"/>
      <c r="Z65" s="189"/>
      <c r="AA65" s="189"/>
      <c r="AB65" s="189"/>
      <c r="AC65" s="189"/>
      <c r="AD65" s="192"/>
      <c r="AE65" s="131">
        <v>1</v>
      </c>
      <c r="AF65" s="1">
        <f t="shared" ref="AF65:BH65" si="68">AE65+1</f>
        <v>2</v>
      </c>
      <c r="AG65" s="1">
        <f t="shared" si="68"/>
        <v>3</v>
      </c>
      <c r="AH65" s="1">
        <f t="shared" si="68"/>
        <v>4</v>
      </c>
      <c r="AI65" s="1">
        <f t="shared" si="68"/>
        <v>5</v>
      </c>
      <c r="AJ65" s="1">
        <f t="shared" si="68"/>
        <v>6</v>
      </c>
      <c r="AK65" s="1">
        <f t="shared" si="68"/>
        <v>7</v>
      </c>
      <c r="AL65" s="1">
        <f t="shared" si="68"/>
        <v>8</v>
      </c>
      <c r="AM65" s="1">
        <f t="shared" si="68"/>
        <v>9</v>
      </c>
      <c r="AN65" s="1">
        <f t="shared" si="68"/>
        <v>10</v>
      </c>
      <c r="AO65" s="1">
        <f t="shared" si="68"/>
        <v>11</v>
      </c>
      <c r="AP65" s="1">
        <f t="shared" si="68"/>
        <v>12</v>
      </c>
      <c r="AQ65" s="1">
        <f t="shared" si="68"/>
        <v>13</v>
      </c>
      <c r="AR65" s="1">
        <f t="shared" si="68"/>
        <v>14</v>
      </c>
      <c r="AS65" s="1">
        <f t="shared" si="68"/>
        <v>15</v>
      </c>
      <c r="AT65" s="1">
        <f t="shared" si="68"/>
        <v>16</v>
      </c>
      <c r="AU65" s="1">
        <f t="shared" si="68"/>
        <v>17</v>
      </c>
      <c r="AV65" s="1">
        <f t="shared" si="68"/>
        <v>18</v>
      </c>
      <c r="AW65" s="1">
        <f t="shared" si="68"/>
        <v>19</v>
      </c>
      <c r="AX65" s="1">
        <f t="shared" si="68"/>
        <v>20</v>
      </c>
      <c r="AY65" s="1">
        <f t="shared" si="68"/>
        <v>21</v>
      </c>
      <c r="AZ65" s="1">
        <f t="shared" si="68"/>
        <v>22</v>
      </c>
      <c r="BA65" s="1">
        <f t="shared" si="68"/>
        <v>23</v>
      </c>
      <c r="BB65" s="1">
        <f t="shared" si="68"/>
        <v>24</v>
      </c>
      <c r="BC65" s="1">
        <f t="shared" si="68"/>
        <v>25</v>
      </c>
      <c r="BD65" s="1">
        <f t="shared" si="68"/>
        <v>26</v>
      </c>
      <c r="BE65" s="1">
        <f t="shared" si="68"/>
        <v>27</v>
      </c>
      <c r="BF65" s="1">
        <f t="shared" si="68"/>
        <v>28</v>
      </c>
      <c r="BG65" s="1">
        <f t="shared" si="68"/>
        <v>29</v>
      </c>
      <c r="BH65" s="1">
        <f t="shared" si="68"/>
        <v>30</v>
      </c>
      <c r="BI65" s="46"/>
      <c r="BJ65" s="4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</row>
    <row r="66" spans="1:84" hidden="1" x14ac:dyDescent="0.25">
      <c r="B66" s="139">
        <v>10</v>
      </c>
      <c r="C66" s="140">
        <v>6</v>
      </c>
      <c r="D66" s="139" t="str">
        <f t="shared" si="0"/>
        <v>COUNTDOWN_EAST_K_2_18</v>
      </c>
      <c r="E66" s="140"/>
      <c r="F66" s="142" t="s">
        <v>33</v>
      </c>
      <c r="G66" s="140" t="s">
        <v>18</v>
      </c>
      <c r="H66" s="140" t="s">
        <v>12</v>
      </c>
      <c r="I66" s="140">
        <v>2</v>
      </c>
      <c r="J66" s="144"/>
      <c r="K66" s="144"/>
      <c r="L66" s="140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178"/>
      <c r="Y66" s="82"/>
      <c r="Z66" s="5"/>
      <c r="AA66" s="5"/>
      <c r="AB66" s="5"/>
      <c r="AC66" s="5"/>
      <c r="AD66" s="64"/>
      <c r="AE66" s="179"/>
      <c r="AF66" s="5"/>
      <c r="AG66" s="5"/>
      <c r="AH66" s="5"/>
      <c r="AI66" s="5"/>
      <c r="AJ66" s="5"/>
      <c r="AK66" s="5"/>
      <c r="AL66" s="5"/>
      <c r="AM66" s="5"/>
      <c r="AN66" s="5"/>
      <c r="AO66" s="6"/>
      <c r="AP66" s="6"/>
      <c r="AQ66" s="46"/>
      <c r="AR66" s="46"/>
      <c r="AS66" s="56"/>
      <c r="AT66" s="56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</row>
    <row r="67" spans="1:84" hidden="1" x14ac:dyDescent="0.25">
      <c r="B67" s="139">
        <v>11</v>
      </c>
      <c r="C67" s="139">
        <v>1</v>
      </c>
      <c r="D67" s="139" t="str">
        <f t="shared" si="0"/>
        <v>SORTING_WEST_H_1_18</v>
      </c>
      <c r="E67" s="139" t="s">
        <v>35</v>
      </c>
      <c r="F67" s="138" t="s">
        <v>45</v>
      </c>
      <c r="G67" s="140" t="s">
        <v>19</v>
      </c>
      <c r="H67" s="140" t="s">
        <v>9</v>
      </c>
      <c r="I67" s="140">
        <v>1</v>
      </c>
      <c r="J67" s="139"/>
      <c r="K67" s="184">
        <f>COUNT(Y67:AV67)</f>
        <v>0</v>
      </c>
      <c r="L67" s="139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101"/>
      <c r="Y67" s="9"/>
      <c r="Z67" s="4"/>
      <c r="AA67" s="5"/>
      <c r="AB67" s="5"/>
      <c r="AC67" s="5"/>
      <c r="AD67" s="64"/>
      <c r="AE67" s="179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</row>
    <row r="68" spans="1:84" hidden="1" x14ac:dyDescent="0.25">
      <c r="B68" s="139">
        <v>11</v>
      </c>
      <c r="C68" s="139">
        <v>2</v>
      </c>
      <c r="D68" s="139" t="str">
        <f t="shared" si="0"/>
        <v>TRANSFER_WEST_H_1_18</v>
      </c>
      <c r="E68" s="139" t="s">
        <v>21</v>
      </c>
      <c r="F68" s="138" t="s">
        <v>21</v>
      </c>
      <c r="G68" s="140" t="s">
        <v>19</v>
      </c>
      <c r="H68" s="140" t="s">
        <v>9</v>
      </c>
      <c r="I68" s="140">
        <v>1</v>
      </c>
      <c r="J68" s="139"/>
      <c r="K68" s="184">
        <f>COUNT(Y68:AV68)</f>
        <v>2</v>
      </c>
      <c r="L68" s="139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101"/>
      <c r="Y68" s="82">
        <v>1</v>
      </c>
      <c r="Z68" s="5">
        <f>Y68+1</f>
        <v>2</v>
      </c>
      <c r="AA68" s="4"/>
      <c r="AB68" s="4"/>
      <c r="AC68" s="5"/>
      <c r="AD68" s="64"/>
      <c r="AE68" s="179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78"/>
      <c r="AR68" s="78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</row>
    <row r="69" spans="1:84" x14ac:dyDescent="0.25">
      <c r="B69" s="139">
        <v>11</v>
      </c>
      <c r="C69" s="139">
        <v>3</v>
      </c>
      <c r="D69" s="139" t="str">
        <f t="shared" si="0"/>
        <v>PREPARE_WEST_H_1_18</v>
      </c>
      <c r="E69" s="139" t="s">
        <v>0</v>
      </c>
      <c r="F69" s="138" t="s">
        <v>46</v>
      </c>
      <c r="G69" s="140" t="s">
        <v>19</v>
      </c>
      <c r="H69" s="140" t="s">
        <v>9</v>
      </c>
      <c r="I69" s="140">
        <v>1</v>
      </c>
      <c r="J69" s="139"/>
      <c r="K69" s="184">
        <f>COUNT(M69:AV69)</f>
        <v>17</v>
      </c>
      <c r="L69" s="139"/>
      <c r="M69" s="5">
        <v>1</v>
      </c>
      <c r="N69" s="5">
        <f t="shared" ref="N69:AC69" si="69">M69+1</f>
        <v>2</v>
      </c>
      <c r="O69" s="5">
        <f t="shared" si="69"/>
        <v>3</v>
      </c>
      <c r="P69" s="5">
        <f t="shared" si="69"/>
        <v>4</v>
      </c>
      <c r="Q69" s="5">
        <f t="shared" si="69"/>
        <v>5</v>
      </c>
      <c r="R69" s="5">
        <f t="shared" si="69"/>
        <v>6</v>
      </c>
      <c r="S69" s="5">
        <f t="shared" si="69"/>
        <v>7</v>
      </c>
      <c r="T69" s="5">
        <f t="shared" si="69"/>
        <v>8</v>
      </c>
      <c r="U69" s="5">
        <f t="shared" si="69"/>
        <v>9</v>
      </c>
      <c r="V69" s="5">
        <f t="shared" si="69"/>
        <v>10</v>
      </c>
      <c r="W69" s="5">
        <f t="shared" si="69"/>
        <v>11</v>
      </c>
      <c r="X69" s="178">
        <f t="shared" si="69"/>
        <v>12</v>
      </c>
      <c r="Y69" s="82">
        <f t="shared" si="69"/>
        <v>13</v>
      </c>
      <c r="Z69" s="5">
        <f t="shared" si="69"/>
        <v>14</v>
      </c>
      <c r="AA69" s="5">
        <f t="shared" si="69"/>
        <v>15</v>
      </c>
      <c r="AB69" s="5">
        <f t="shared" si="69"/>
        <v>16</v>
      </c>
      <c r="AC69" s="5">
        <f t="shared" si="69"/>
        <v>17</v>
      </c>
      <c r="AD69" s="21"/>
      <c r="AE69" s="179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</row>
    <row r="70" spans="1:84" x14ac:dyDescent="0.25">
      <c r="B70" s="139">
        <v>11</v>
      </c>
      <c r="C70" s="139">
        <v>4</v>
      </c>
      <c r="D70" s="139" t="str">
        <f t="shared" si="0"/>
        <v>SUPPLY_WEST_H_1_18</v>
      </c>
      <c r="E70" s="139" t="s">
        <v>0</v>
      </c>
      <c r="F70" s="142" t="s">
        <v>0</v>
      </c>
      <c r="G70" s="140" t="s">
        <v>19</v>
      </c>
      <c r="H70" s="140" t="s">
        <v>9</v>
      </c>
      <c r="I70" s="140">
        <v>1</v>
      </c>
      <c r="J70" s="141"/>
      <c r="K70" s="184">
        <f>COUNT(AE70:BN70)</f>
        <v>0</v>
      </c>
      <c r="L70" s="13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90"/>
      <c r="Y70" s="191"/>
      <c r="Z70" s="189"/>
      <c r="AA70" s="189"/>
      <c r="AB70" s="189"/>
      <c r="AC70" s="189"/>
      <c r="AD70" s="192"/>
      <c r="AE70" s="93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97"/>
      <c r="AQ70" s="4"/>
      <c r="AR70" s="4"/>
      <c r="AS70" s="4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</row>
    <row r="71" spans="1:84" x14ac:dyDescent="0.25">
      <c r="B71" s="139">
        <v>11</v>
      </c>
      <c r="C71" s="140">
        <v>5</v>
      </c>
      <c r="D71" s="139" t="str">
        <f t="shared" si="0"/>
        <v>EMPTY_WEST_H_1_18</v>
      </c>
      <c r="E71" s="140" t="s">
        <v>0</v>
      </c>
      <c r="F71" s="142" t="s">
        <v>32</v>
      </c>
      <c r="G71" s="140" t="s">
        <v>19</v>
      </c>
      <c r="H71" s="140" t="s">
        <v>9</v>
      </c>
      <c r="I71" s="140">
        <v>1</v>
      </c>
      <c r="J71" s="143"/>
      <c r="K71" s="184">
        <f>COUNT(AE71:BN71)</f>
        <v>15</v>
      </c>
      <c r="L71" s="140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90"/>
      <c r="Y71" s="191"/>
      <c r="Z71" s="189"/>
      <c r="AA71" s="189"/>
      <c r="AB71" s="189"/>
      <c r="AC71" s="189"/>
      <c r="AD71" s="192"/>
      <c r="AE71" s="131">
        <v>1</v>
      </c>
      <c r="AF71" s="1">
        <f t="shared" ref="AF71:AS71" si="70">AE71+1</f>
        <v>2</v>
      </c>
      <c r="AG71" s="1">
        <f t="shared" si="70"/>
        <v>3</v>
      </c>
      <c r="AH71" s="1">
        <f t="shared" si="70"/>
        <v>4</v>
      </c>
      <c r="AI71" s="1">
        <f t="shared" si="70"/>
        <v>5</v>
      </c>
      <c r="AJ71" s="1">
        <f t="shared" si="70"/>
        <v>6</v>
      </c>
      <c r="AK71" s="1">
        <f t="shared" si="70"/>
        <v>7</v>
      </c>
      <c r="AL71" s="1">
        <f t="shared" si="70"/>
        <v>8</v>
      </c>
      <c r="AM71" s="1">
        <f t="shared" si="70"/>
        <v>9</v>
      </c>
      <c r="AN71" s="1">
        <f t="shared" si="70"/>
        <v>10</v>
      </c>
      <c r="AO71" s="1">
        <f t="shared" si="70"/>
        <v>11</v>
      </c>
      <c r="AP71" s="1">
        <f t="shared" si="70"/>
        <v>12</v>
      </c>
      <c r="AQ71" s="1">
        <f t="shared" si="70"/>
        <v>13</v>
      </c>
      <c r="AR71" s="1">
        <f t="shared" si="70"/>
        <v>14</v>
      </c>
      <c r="AS71" s="1">
        <f t="shared" si="70"/>
        <v>15</v>
      </c>
      <c r="AT71" s="46"/>
      <c r="AU71" s="4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</row>
    <row r="72" spans="1:84" hidden="1" x14ac:dyDescent="0.25">
      <c r="B72" s="139">
        <v>11</v>
      </c>
      <c r="C72" s="140">
        <v>6</v>
      </c>
      <c r="D72" s="139" t="str">
        <f t="shared" si="0"/>
        <v>COUNTDOWN_WEST_H_1_18</v>
      </c>
      <c r="E72" s="140"/>
      <c r="F72" s="142" t="s">
        <v>33</v>
      </c>
      <c r="G72" s="140" t="s">
        <v>19</v>
      </c>
      <c r="H72" s="140" t="s">
        <v>9</v>
      </c>
      <c r="I72" s="140">
        <v>1</v>
      </c>
      <c r="J72" s="144"/>
      <c r="K72" s="144"/>
      <c r="L72" s="140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178"/>
      <c r="Y72" s="29"/>
      <c r="Z72" s="6"/>
      <c r="AA72" s="46"/>
      <c r="AB72" s="46"/>
      <c r="AC72" s="56"/>
      <c r="AD72" s="59"/>
      <c r="AE72" s="93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</row>
    <row r="73" spans="1:84" hidden="1" x14ac:dyDescent="0.25">
      <c r="B73" s="139">
        <v>12</v>
      </c>
      <c r="C73" s="139">
        <v>1</v>
      </c>
      <c r="D73" s="139" t="str">
        <f t="shared" si="0"/>
        <v>SORTING_WEST_P_2_18</v>
      </c>
      <c r="E73" s="139" t="s">
        <v>35</v>
      </c>
      <c r="F73" s="138" t="s">
        <v>45</v>
      </c>
      <c r="G73" s="140" t="s">
        <v>19</v>
      </c>
      <c r="H73" s="140" t="s">
        <v>41</v>
      </c>
      <c r="I73" s="140">
        <v>2</v>
      </c>
      <c r="J73" s="139"/>
      <c r="K73" s="184">
        <f>COUNT(Y73:AV73)</f>
        <v>2</v>
      </c>
      <c r="L73" s="139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101"/>
      <c r="Y73" s="82">
        <v>1</v>
      </c>
      <c r="Z73" s="5">
        <f t="shared" ref="Z73:AB74" si="71">Y73+1</f>
        <v>2</v>
      </c>
      <c r="AA73" s="4"/>
      <c r="AB73" s="4"/>
      <c r="AC73" s="5"/>
      <c r="AD73" s="64"/>
      <c r="AE73" s="179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</row>
    <row r="74" spans="1:84" hidden="1" x14ac:dyDescent="0.25">
      <c r="B74" s="139">
        <v>12</v>
      </c>
      <c r="C74" s="139">
        <v>2</v>
      </c>
      <c r="D74" s="139" t="str">
        <f t="shared" si="0"/>
        <v>TRANSFER_WEST_P_2_18</v>
      </c>
      <c r="E74" s="139" t="s">
        <v>21</v>
      </c>
      <c r="F74" s="138" t="s">
        <v>21</v>
      </c>
      <c r="G74" s="140" t="s">
        <v>19</v>
      </c>
      <c r="H74" s="140" t="s">
        <v>41</v>
      </c>
      <c r="I74" s="140">
        <v>2</v>
      </c>
      <c r="J74" s="139"/>
      <c r="K74" s="184">
        <f>COUNT(Y74:AV74)</f>
        <v>4</v>
      </c>
      <c r="L74" s="139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101"/>
      <c r="Y74" s="82">
        <v>1</v>
      </c>
      <c r="Z74" s="5">
        <f t="shared" si="71"/>
        <v>2</v>
      </c>
      <c r="AA74" s="5">
        <f t="shared" si="71"/>
        <v>3</v>
      </c>
      <c r="AB74" s="5">
        <f t="shared" si="71"/>
        <v>4</v>
      </c>
      <c r="AC74" s="4"/>
      <c r="AD74" s="21"/>
      <c r="AE74" s="86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</row>
    <row r="75" spans="1:84" x14ac:dyDescent="0.25">
      <c r="B75" s="139">
        <v>12</v>
      </c>
      <c r="C75" s="139">
        <v>3</v>
      </c>
      <c r="D75" s="139" t="str">
        <f t="shared" si="0"/>
        <v>PREPARE_WEST_P_2_18</v>
      </c>
      <c r="E75" s="139" t="s">
        <v>0</v>
      </c>
      <c r="F75" s="138" t="s">
        <v>46</v>
      </c>
      <c r="G75" s="140" t="s">
        <v>19</v>
      </c>
      <c r="H75" s="140" t="s">
        <v>41</v>
      </c>
      <c r="I75" s="140">
        <v>2</v>
      </c>
      <c r="J75" s="139"/>
      <c r="K75" s="184">
        <f>COUNT(M75:AV75)</f>
        <v>19</v>
      </c>
      <c r="L75" s="139"/>
      <c r="M75" s="5">
        <v>1</v>
      </c>
      <c r="N75" s="5">
        <f t="shared" ref="N75:AE75" si="72">M75+1</f>
        <v>2</v>
      </c>
      <c r="O75" s="5">
        <f t="shared" si="72"/>
        <v>3</v>
      </c>
      <c r="P75" s="5">
        <f t="shared" si="72"/>
        <v>4</v>
      </c>
      <c r="Q75" s="5">
        <f t="shared" si="72"/>
        <v>5</v>
      </c>
      <c r="R75" s="5">
        <f t="shared" si="72"/>
        <v>6</v>
      </c>
      <c r="S75" s="5">
        <f t="shared" si="72"/>
        <v>7</v>
      </c>
      <c r="T75" s="5">
        <f t="shared" si="72"/>
        <v>8</v>
      </c>
      <c r="U75" s="5">
        <f t="shared" si="72"/>
        <v>9</v>
      </c>
      <c r="V75" s="5">
        <f t="shared" si="72"/>
        <v>10</v>
      </c>
      <c r="W75" s="5">
        <f t="shared" si="72"/>
        <v>11</v>
      </c>
      <c r="X75" s="178">
        <f t="shared" si="72"/>
        <v>12</v>
      </c>
      <c r="Y75" s="82">
        <f t="shared" si="72"/>
        <v>13</v>
      </c>
      <c r="Z75" s="5">
        <f t="shared" si="72"/>
        <v>14</v>
      </c>
      <c r="AA75" s="5">
        <f t="shared" si="72"/>
        <v>15</v>
      </c>
      <c r="AB75" s="5">
        <f t="shared" si="72"/>
        <v>16</v>
      </c>
      <c r="AC75" s="5">
        <f t="shared" si="72"/>
        <v>17</v>
      </c>
      <c r="AD75" s="64">
        <f t="shared" si="72"/>
        <v>18</v>
      </c>
      <c r="AE75" s="179">
        <f t="shared" si="72"/>
        <v>19</v>
      </c>
      <c r="AF75" s="4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</row>
    <row r="76" spans="1:84" x14ac:dyDescent="0.25">
      <c r="B76" s="139">
        <v>12</v>
      </c>
      <c r="C76" s="139">
        <v>4</v>
      </c>
      <c r="D76" s="139" t="str">
        <f t="shared" si="0"/>
        <v>SUPPLY_WEST_P_2_18</v>
      </c>
      <c r="E76" s="139" t="s">
        <v>0</v>
      </c>
      <c r="F76" s="142" t="s">
        <v>0</v>
      </c>
      <c r="G76" s="140" t="s">
        <v>19</v>
      </c>
      <c r="H76" s="140" t="s">
        <v>41</v>
      </c>
      <c r="I76" s="140">
        <v>2</v>
      </c>
      <c r="J76" s="141"/>
      <c r="K76" s="184">
        <f>COUNT(AE76:BN76)</f>
        <v>2</v>
      </c>
      <c r="L76" s="13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90"/>
      <c r="Y76" s="191"/>
      <c r="Z76" s="189"/>
      <c r="AA76" s="189"/>
      <c r="AB76" s="189"/>
      <c r="AC76" s="189"/>
      <c r="AD76" s="192"/>
      <c r="AE76" s="131">
        <v>1</v>
      </c>
      <c r="AF76" s="1">
        <f>AE76+1</f>
        <v>2</v>
      </c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97"/>
      <c r="AR76" s="4"/>
      <c r="AS76" s="4"/>
      <c r="AT76" s="186"/>
      <c r="AU76" s="4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</row>
    <row r="77" spans="1:84" x14ac:dyDescent="0.25">
      <c r="B77" s="139">
        <v>12</v>
      </c>
      <c r="C77" s="140">
        <v>5</v>
      </c>
      <c r="D77" s="139" t="str">
        <f t="shared" si="0"/>
        <v>EMPTY_WEST_P_2_18</v>
      </c>
      <c r="E77" s="140" t="s">
        <v>0</v>
      </c>
      <c r="F77" s="142" t="s">
        <v>32</v>
      </c>
      <c r="G77" s="140" t="s">
        <v>19</v>
      </c>
      <c r="H77" s="140" t="s">
        <v>41</v>
      </c>
      <c r="I77" s="140">
        <v>2</v>
      </c>
      <c r="J77" s="143"/>
      <c r="K77" s="184">
        <f>COUNT(AE77:BN77)</f>
        <v>17</v>
      </c>
      <c r="L77" s="140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  <c r="X77" s="190"/>
      <c r="Y77" s="191"/>
      <c r="Z77" s="189"/>
      <c r="AA77" s="189"/>
      <c r="AB77" s="189"/>
      <c r="AC77" s="189"/>
      <c r="AD77" s="192"/>
      <c r="AE77" s="131">
        <v>1</v>
      </c>
      <c r="AF77" s="1">
        <f t="shared" ref="AF77:AU77" si="73">AE77+1</f>
        <v>2</v>
      </c>
      <c r="AG77" s="1">
        <f t="shared" si="73"/>
        <v>3</v>
      </c>
      <c r="AH77" s="1">
        <f t="shared" si="73"/>
        <v>4</v>
      </c>
      <c r="AI77" s="1">
        <f t="shared" si="73"/>
        <v>5</v>
      </c>
      <c r="AJ77" s="1">
        <f t="shared" si="73"/>
        <v>6</v>
      </c>
      <c r="AK77" s="1">
        <f t="shared" si="73"/>
        <v>7</v>
      </c>
      <c r="AL77" s="1">
        <f t="shared" si="73"/>
        <v>8</v>
      </c>
      <c r="AM77" s="1">
        <f t="shared" si="73"/>
        <v>9</v>
      </c>
      <c r="AN77" s="1">
        <f t="shared" si="73"/>
        <v>10</v>
      </c>
      <c r="AO77" s="1">
        <f t="shared" si="73"/>
        <v>11</v>
      </c>
      <c r="AP77" s="1">
        <f t="shared" si="73"/>
        <v>12</v>
      </c>
      <c r="AQ77" s="1">
        <f t="shared" si="73"/>
        <v>13</v>
      </c>
      <c r="AR77" s="1">
        <f t="shared" si="73"/>
        <v>14</v>
      </c>
      <c r="AS77" s="1">
        <f t="shared" si="73"/>
        <v>15</v>
      </c>
      <c r="AT77" s="1">
        <f t="shared" si="73"/>
        <v>16</v>
      </c>
      <c r="AU77" s="1">
        <f t="shared" si="73"/>
        <v>17</v>
      </c>
      <c r="AV77" s="189"/>
      <c r="AW77" s="186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</row>
    <row r="78" spans="1:84" hidden="1" x14ac:dyDescent="0.25">
      <c r="B78" s="139">
        <v>12</v>
      </c>
      <c r="C78" s="140">
        <v>6</v>
      </c>
      <c r="D78" s="139" t="str">
        <f t="shared" ref="D78:D120" si="74">F78&amp;"_"&amp;G78&amp;"_"&amp;H78&amp;"_"&amp;I78&amp;"_"&amp;$D$2</f>
        <v>COUNTDOWN_WEST_P_2_18</v>
      </c>
      <c r="E78" s="140"/>
      <c r="F78" s="142" t="s">
        <v>33</v>
      </c>
      <c r="G78" s="140" t="s">
        <v>19</v>
      </c>
      <c r="H78" s="140" t="s">
        <v>41</v>
      </c>
      <c r="I78" s="140">
        <v>2</v>
      </c>
      <c r="J78" s="144"/>
      <c r="K78" s="144"/>
      <c r="L78" s="140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178"/>
      <c r="Y78" s="82"/>
      <c r="Z78" s="5"/>
      <c r="AA78" s="6"/>
      <c r="AB78" s="6"/>
      <c r="AC78" s="46"/>
      <c r="AD78" s="57"/>
      <c r="AE78" s="134"/>
      <c r="AF78" s="13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</row>
    <row r="79" spans="1:84" hidden="1" x14ac:dyDescent="0.25">
      <c r="A79" t="s">
        <v>8</v>
      </c>
      <c r="B79" s="139">
        <v>13</v>
      </c>
      <c r="C79" s="139">
        <v>1</v>
      </c>
      <c r="D79" s="139" t="str">
        <f t="shared" si="74"/>
        <v>SORTING_WEST_O_1_18</v>
      </c>
      <c r="E79" s="139" t="s">
        <v>35</v>
      </c>
      <c r="F79" s="138" t="s">
        <v>45</v>
      </c>
      <c r="G79" s="140" t="s">
        <v>19</v>
      </c>
      <c r="H79" s="140" t="s">
        <v>40</v>
      </c>
      <c r="I79" s="140">
        <v>1</v>
      </c>
      <c r="J79" s="139"/>
      <c r="K79" s="184">
        <f>COUNT(Y79:AV79)</f>
        <v>4</v>
      </c>
      <c r="L79" s="139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101"/>
      <c r="Y79" s="82">
        <v>1</v>
      </c>
      <c r="Z79" s="5">
        <f t="shared" ref="Z79:AD80" si="75">Y79+1</f>
        <v>2</v>
      </c>
      <c r="AA79" s="5">
        <f t="shared" si="75"/>
        <v>3</v>
      </c>
      <c r="AB79" s="5">
        <f t="shared" si="75"/>
        <v>4</v>
      </c>
      <c r="AC79" s="4"/>
      <c r="AD79" s="21"/>
      <c r="AE79" s="86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</row>
    <row r="80" spans="1:84" hidden="1" x14ac:dyDescent="0.25">
      <c r="A80" t="s">
        <v>8</v>
      </c>
      <c r="B80" s="139">
        <v>13</v>
      </c>
      <c r="C80" s="139">
        <v>2</v>
      </c>
      <c r="D80" s="139" t="str">
        <f t="shared" si="74"/>
        <v>TRANSFER_WEST_O_1_18</v>
      </c>
      <c r="E80" s="139" t="s">
        <v>21</v>
      </c>
      <c r="F80" s="138" t="s">
        <v>21</v>
      </c>
      <c r="G80" s="140" t="s">
        <v>19</v>
      </c>
      <c r="H80" s="140" t="s">
        <v>40</v>
      </c>
      <c r="I80" s="140">
        <v>1</v>
      </c>
      <c r="J80" s="139"/>
      <c r="K80" s="184">
        <f>COUNT(Y80:AV80)</f>
        <v>6</v>
      </c>
      <c r="L80" s="139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101"/>
      <c r="Y80" s="82">
        <v>1</v>
      </c>
      <c r="Z80" s="5">
        <f t="shared" si="75"/>
        <v>2</v>
      </c>
      <c r="AA80" s="5">
        <f t="shared" si="75"/>
        <v>3</v>
      </c>
      <c r="AB80" s="5">
        <f t="shared" si="75"/>
        <v>4</v>
      </c>
      <c r="AC80" s="5">
        <f t="shared" si="75"/>
        <v>5</v>
      </c>
      <c r="AD80" s="64">
        <f t="shared" si="75"/>
        <v>6</v>
      </c>
      <c r="AE80" s="93"/>
      <c r="AF80" s="4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</row>
    <row r="81" spans="1:84" x14ac:dyDescent="0.25">
      <c r="A81" t="s">
        <v>8</v>
      </c>
      <c r="B81" s="139">
        <v>13</v>
      </c>
      <c r="C81" s="139">
        <v>3</v>
      </c>
      <c r="D81" s="139" t="str">
        <f t="shared" si="74"/>
        <v>PREPARE_WEST_O_1_18</v>
      </c>
      <c r="E81" s="139" t="s">
        <v>0</v>
      </c>
      <c r="F81" s="138" t="s">
        <v>46</v>
      </c>
      <c r="G81" s="140" t="s">
        <v>19</v>
      </c>
      <c r="H81" s="140" t="s">
        <v>40</v>
      </c>
      <c r="I81" s="140">
        <v>1</v>
      </c>
      <c r="J81" s="139"/>
      <c r="K81" s="184">
        <f>COUNT(M81:AV81)</f>
        <v>21</v>
      </c>
      <c r="L81" s="139"/>
      <c r="M81" s="5">
        <v>1</v>
      </c>
      <c r="N81" s="5">
        <f t="shared" ref="N81:AG83" si="76">M81+1</f>
        <v>2</v>
      </c>
      <c r="O81" s="5">
        <f t="shared" si="76"/>
        <v>3</v>
      </c>
      <c r="P81" s="5">
        <f t="shared" si="76"/>
        <v>4</v>
      </c>
      <c r="Q81" s="5">
        <f t="shared" si="76"/>
        <v>5</v>
      </c>
      <c r="R81" s="5">
        <f t="shared" si="76"/>
        <v>6</v>
      </c>
      <c r="S81" s="5">
        <f t="shared" si="76"/>
        <v>7</v>
      </c>
      <c r="T81" s="5">
        <f t="shared" si="76"/>
        <v>8</v>
      </c>
      <c r="U81" s="5">
        <f t="shared" si="76"/>
        <v>9</v>
      </c>
      <c r="V81" s="5">
        <f t="shared" si="76"/>
        <v>10</v>
      </c>
      <c r="W81" s="5">
        <f t="shared" si="76"/>
        <v>11</v>
      </c>
      <c r="X81" s="178">
        <f t="shared" si="76"/>
        <v>12</v>
      </c>
      <c r="Y81" s="82">
        <f t="shared" si="76"/>
        <v>13</v>
      </c>
      <c r="Z81" s="5">
        <f t="shared" si="76"/>
        <v>14</v>
      </c>
      <c r="AA81" s="5">
        <f t="shared" si="76"/>
        <v>15</v>
      </c>
      <c r="AB81" s="5">
        <f t="shared" si="76"/>
        <v>16</v>
      </c>
      <c r="AC81" s="5">
        <f t="shared" si="76"/>
        <v>17</v>
      </c>
      <c r="AD81" s="64">
        <f t="shared" si="76"/>
        <v>18</v>
      </c>
      <c r="AE81" s="179">
        <f t="shared" si="76"/>
        <v>19</v>
      </c>
      <c r="AF81" s="5">
        <f t="shared" si="76"/>
        <v>20</v>
      </c>
      <c r="AG81" s="5">
        <f t="shared" si="76"/>
        <v>21</v>
      </c>
      <c r="AH81" s="4"/>
      <c r="AI81" s="4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</row>
    <row r="82" spans="1:84" x14ac:dyDescent="0.25">
      <c r="A82" t="s">
        <v>8</v>
      </c>
      <c r="B82" s="139">
        <v>13</v>
      </c>
      <c r="C82" s="139">
        <v>4</v>
      </c>
      <c r="D82" s="139" t="str">
        <f t="shared" si="74"/>
        <v>SUPPLY_WEST_O_1_18</v>
      </c>
      <c r="E82" s="139" t="s">
        <v>0</v>
      </c>
      <c r="F82" s="142" t="s">
        <v>0</v>
      </c>
      <c r="G82" s="140" t="s">
        <v>19</v>
      </c>
      <c r="H82" s="140" t="s">
        <v>40</v>
      </c>
      <c r="I82" s="140">
        <v>1</v>
      </c>
      <c r="J82" s="141"/>
      <c r="K82" s="184">
        <f>COUNT(AE82:BN82)</f>
        <v>5</v>
      </c>
      <c r="L82" s="13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  <c r="X82" s="190"/>
      <c r="Y82" s="191"/>
      <c r="Z82" s="189"/>
      <c r="AA82" s="189"/>
      <c r="AB82" s="189"/>
      <c r="AC82" s="189"/>
      <c r="AD82" s="192"/>
      <c r="AE82" s="131">
        <v>1</v>
      </c>
      <c r="AF82" s="1">
        <f t="shared" si="76"/>
        <v>2</v>
      </c>
      <c r="AG82" s="1">
        <f t="shared" ref="AG82:AW83" si="77">AF82+1</f>
        <v>3</v>
      </c>
      <c r="AH82" s="1">
        <f t="shared" si="77"/>
        <v>4</v>
      </c>
      <c r="AI82" s="1">
        <f t="shared" si="77"/>
        <v>5</v>
      </c>
      <c r="AJ82" s="4"/>
      <c r="AK82" s="4"/>
      <c r="AL82" s="4"/>
      <c r="AM82" s="4"/>
      <c r="AN82" s="4"/>
      <c r="AO82" s="4"/>
      <c r="AP82" s="4"/>
      <c r="AQ82" s="4"/>
      <c r="AR82" s="4"/>
      <c r="AS82" s="97"/>
      <c r="AT82" s="4"/>
      <c r="AU82" s="4"/>
      <c r="AV82" s="186"/>
      <c r="AW82" s="186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</row>
    <row r="83" spans="1:84" x14ac:dyDescent="0.25">
      <c r="A83" t="s">
        <v>8</v>
      </c>
      <c r="B83" s="139">
        <v>13</v>
      </c>
      <c r="C83" s="140">
        <v>5</v>
      </c>
      <c r="D83" s="139" t="str">
        <f t="shared" si="74"/>
        <v>EMPTY_WEST_O_1_18</v>
      </c>
      <c r="E83" s="140" t="s">
        <v>0</v>
      </c>
      <c r="F83" s="142" t="s">
        <v>32</v>
      </c>
      <c r="G83" s="140" t="s">
        <v>19</v>
      </c>
      <c r="H83" s="140" t="s">
        <v>40</v>
      </c>
      <c r="I83" s="140">
        <v>1</v>
      </c>
      <c r="J83" s="143"/>
      <c r="K83" s="184">
        <f>COUNT(AE83:BN83)</f>
        <v>19</v>
      </c>
      <c r="L83" s="140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90"/>
      <c r="Y83" s="191"/>
      <c r="Z83" s="189"/>
      <c r="AA83" s="189"/>
      <c r="AB83" s="189"/>
      <c r="AC83" s="189"/>
      <c r="AD83" s="192"/>
      <c r="AE83" s="131">
        <v>1</v>
      </c>
      <c r="AF83" s="1">
        <f t="shared" si="76"/>
        <v>2</v>
      </c>
      <c r="AG83" s="1">
        <f t="shared" si="77"/>
        <v>3</v>
      </c>
      <c r="AH83" s="1">
        <f t="shared" si="77"/>
        <v>4</v>
      </c>
      <c r="AI83" s="1">
        <f t="shared" si="77"/>
        <v>5</v>
      </c>
      <c r="AJ83" s="1">
        <f t="shared" si="77"/>
        <v>6</v>
      </c>
      <c r="AK83" s="1">
        <f t="shared" si="77"/>
        <v>7</v>
      </c>
      <c r="AL83" s="1">
        <f t="shared" si="77"/>
        <v>8</v>
      </c>
      <c r="AM83" s="1">
        <f t="shared" si="77"/>
        <v>9</v>
      </c>
      <c r="AN83" s="1">
        <f t="shared" si="77"/>
        <v>10</v>
      </c>
      <c r="AO83" s="1">
        <f t="shared" si="77"/>
        <v>11</v>
      </c>
      <c r="AP83" s="1">
        <f t="shared" si="77"/>
        <v>12</v>
      </c>
      <c r="AQ83" s="1">
        <f t="shared" si="77"/>
        <v>13</v>
      </c>
      <c r="AR83" s="1">
        <f t="shared" si="77"/>
        <v>14</v>
      </c>
      <c r="AS83" s="1">
        <f t="shared" si="77"/>
        <v>15</v>
      </c>
      <c r="AT83" s="1">
        <f t="shared" si="77"/>
        <v>16</v>
      </c>
      <c r="AU83" s="1">
        <f t="shared" si="77"/>
        <v>17</v>
      </c>
      <c r="AV83" s="1">
        <f t="shared" si="77"/>
        <v>18</v>
      </c>
      <c r="AW83" s="1">
        <f t="shared" si="77"/>
        <v>19</v>
      </c>
      <c r="AX83" s="189"/>
      <c r="AY83" s="186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</row>
    <row r="84" spans="1:84" hidden="1" x14ac:dyDescent="0.25">
      <c r="A84" t="s">
        <v>8</v>
      </c>
      <c r="B84" s="139">
        <v>13</v>
      </c>
      <c r="C84" s="140">
        <v>6</v>
      </c>
      <c r="D84" s="139" t="str">
        <f t="shared" si="74"/>
        <v>COUNTDOWN_WEST_O_1_18</v>
      </c>
      <c r="E84" s="140"/>
      <c r="F84" s="142" t="s">
        <v>33</v>
      </c>
      <c r="G84" s="140" t="s">
        <v>19</v>
      </c>
      <c r="H84" s="140" t="s">
        <v>40</v>
      </c>
      <c r="I84" s="140">
        <v>1</v>
      </c>
      <c r="J84" s="144"/>
      <c r="K84" s="144"/>
      <c r="L84" s="140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178"/>
      <c r="Y84" s="82"/>
      <c r="Z84" s="5"/>
      <c r="AA84" s="5"/>
      <c r="AB84" s="5"/>
      <c r="AC84" s="6"/>
      <c r="AD84" s="28"/>
      <c r="AE84" s="133"/>
      <c r="AF84" s="133"/>
      <c r="AG84" s="56"/>
      <c r="AH84" s="56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</row>
    <row r="85" spans="1:84" hidden="1" x14ac:dyDescent="0.25">
      <c r="B85" s="139">
        <v>14</v>
      </c>
      <c r="C85" s="139">
        <v>1</v>
      </c>
      <c r="D85" s="139" t="str">
        <f t="shared" si="74"/>
        <v>SORTING_WEST_L_2_18</v>
      </c>
      <c r="E85" s="139" t="s">
        <v>35</v>
      </c>
      <c r="F85" s="138" t="s">
        <v>45</v>
      </c>
      <c r="G85" s="140" t="s">
        <v>19</v>
      </c>
      <c r="H85" s="140" t="s">
        <v>13</v>
      </c>
      <c r="I85" s="140">
        <v>2</v>
      </c>
      <c r="J85" s="139"/>
      <c r="K85" s="184">
        <f>COUNT(Y85:AV85)</f>
        <v>6</v>
      </c>
      <c r="L85" s="139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101"/>
      <c r="Y85" s="82">
        <v>1</v>
      </c>
      <c r="Z85" s="5">
        <f t="shared" ref="Z85:AF86" si="78">Y85+1</f>
        <v>2</v>
      </c>
      <c r="AA85" s="5">
        <f t="shared" si="78"/>
        <v>3</v>
      </c>
      <c r="AB85" s="5">
        <f t="shared" si="78"/>
        <v>4</v>
      </c>
      <c r="AC85" s="5">
        <f t="shared" si="78"/>
        <v>5</v>
      </c>
      <c r="AD85" s="64">
        <f t="shared" si="78"/>
        <v>6</v>
      </c>
      <c r="AE85" s="93"/>
      <c r="AF85" s="4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</row>
    <row r="86" spans="1:84" hidden="1" x14ac:dyDescent="0.25">
      <c r="B86" s="139">
        <v>14</v>
      </c>
      <c r="C86" s="139">
        <v>2</v>
      </c>
      <c r="D86" s="139" t="str">
        <f t="shared" si="74"/>
        <v>TRANSFER_WEST_L_2_18</v>
      </c>
      <c r="E86" s="139" t="s">
        <v>21</v>
      </c>
      <c r="F86" s="138" t="s">
        <v>21</v>
      </c>
      <c r="G86" s="140" t="s">
        <v>19</v>
      </c>
      <c r="H86" s="140" t="s">
        <v>13</v>
      </c>
      <c r="I86" s="140">
        <v>2</v>
      </c>
      <c r="J86" s="139"/>
      <c r="K86" s="184">
        <f>COUNT(Y86:AV86)</f>
        <v>8</v>
      </c>
      <c r="L86" s="139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101"/>
      <c r="Y86" s="82">
        <v>1</v>
      </c>
      <c r="Z86" s="5">
        <f t="shared" si="78"/>
        <v>2</v>
      </c>
      <c r="AA86" s="5">
        <f t="shared" si="78"/>
        <v>3</v>
      </c>
      <c r="AB86" s="5">
        <f t="shared" si="78"/>
        <v>4</v>
      </c>
      <c r="AC86" s="5">
        <f t="shared" si="78"/>
        <v>5</v>
      </c>
      <c r="AD86" s="64">
        <f t="shared" si="78"/>
        <v>6</v>
      </c>
      <c r="AE86" s="179">
        <f t="shared" si="78"/>
        <v>7</v>
      </c>
      <c r="AF86" s="5">
        <f t="shared" si="78"/>
        <v>8</v>
      </c>
      <c r="AG86" s="4"/>
      <c r="AH86" s="4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</row>
    <row r="87" spans="1:84" x14ac:dyDescent="0.25">
      <c r="B87" s="139">
        <v>14</v>
      </c>
      <c r="C87" s="139">
        <v>3</v>
      </c>
      <c r="D87" s="139" t="str">
        <f t="shared" si="74"/>
        <v>PREPARE_WEST_L_2_18</v>
      </c>
      <c r="E87" s="139" t="s">
        <v>0</v>
      </c>
      <c r="F87" s="138" t="s">
        <v>46</v>
      </c>
      <c r="G87" s="140" t="s">
        <v>19</v>
      </c>
      <c r="H87" s="140" t="s">
        <v>13</v>
      </c>
      <c r="I87" s="140">
        <v>2</v>
      </c>
      <c r="J87" s="139"/>
      <c r="K87" s="184">
        <f>COUNT(M87:AV87)</f>
        <v>23</v>
      </c>
      <c r="L87" s="139"/>
      <c r="M87" s="5">
        <v>1</v>
      </c>
      <c r="N87" s="5">
        <f t="shared" ref="N87:AI89" si="79">M87+1</f>
        <v>2</v>
      </c>
      <c r="O87" s="5">
        <f t="shared" si="79"/>
        <v>3</v>
      </c>
      <c r="P87" s="5">
        <f t="shared" si="79"/>
        <v>4</v>
      </c>
      <c r="Q87" s="5">
        <f t="shared" si="79"/>
        <v>5</v>
      </c>
      <c r="R87" s="5">
        <f t="shared" si="79"/>
        <v>6</v>
      </c>
      <c r="S87" s="5">
        <f t="shared" si="79"/>
        <v>7</v>
      </c>
      <c r="T87" s="5">
        <f t="shared" si="79"/>
        <v>8</v>
      </c>
      <c r="U87" s="5">
        <f t="shared" si="79"/>
        <v>9</v>
      </c>
      <c r="V87" s="5">
        <f t="shared" si="79"/>
        <v>10</v>
      </c>
      <c r="W87" s="5">
        <f t="shared" si="79"/>
        <v>11</v>
      </c>
      <c r="X87" s="178">
        <f t="shared" si="79"/>
        <v>12</v>
      </c>
      <c r="Y87" s="82">
        <f t="shared" si="79"/>
        <v>13</v>
      </c>
      <c r="Z87" s="5">
        <f t="shared" si="79"/>
        <v>14</v>
      </c>
      <c r="AA87" s="5">
        <f t="shared" si="79"/>
        <v>15</v>
      </c>
      <c r="AB87" s="5">
        <f t="shared" si="79"/>
        <v>16</v>
      </c>
      <c r="AC87" s="5">
        <f t="shared" si="79"/>
        <v>17</v>
      </c>
      <c r="AD87" s="64">
        <f t="shared" si="79"/>
        <v>18</v>
      </c>
      <c r="AE87" s="179">
        <f t="shared" si="79"/>
        <v>19</v>
      </c>
      <c r="AF87" s="5">
        <f t="shared" si="79"/>
        <v>20</v>
      </c>
      <c r="AG87" s="5">
        <f t="shared" si="79"/>
        <v>21</v>
      </c>
      <c r="AH87" s="5">
        <f t="shared" si="79"/>
        <v>22</v>
      </c>
      <c r="AI87" s="5">
        <f t="shared" si="79"/>
        <v>23</v>
      </c>
      <c r="AJ87" s="4"/>
      <c r="AK87" s="4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</row>
    <row r="88" spans="1:84" x14ac:dyDescent="0.25">
      <c r="B88" s="139">
        <v>14</v>
      </c>
      <c r="C88" s="139">
        <v>4</v>
      </c>
      <c r="D88" s="139" t="str">
        <f t="shared" si="74"/>
        <v>SUPPLY_WEST_L_2_18</v>
      </c>
      <c r="E88" s="139" t="s">
        <v>0</v>
      </c>
      <c r="F88" s="142" t="s">
        <v>0</v>
      </c>
      <c r="G88" s="140" t="s">
        <v>19</v>
      </c>
      <c r="H88" s="140" t="s">
        <v>13</v>
      </c>
      <c r="I88" s="140">
        <v>2</v>
      </c>
      <c r="J88" s="141"/>
      <c r="K88" s="184">
        <f>COUNT(AE88:BN88)</f>
        <v>7</v>
      </c>
      <c r="L88" s="13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90"/>
      <c r="Y88" s="191"/>
      <c r="Z88" s="189"/>
      <c r="AA88" s="189"/>
      <c r="AB88" s="189"/>
      <c r="AC88" s="189"/>
      <c r="AD88" s="192"/>
      <c r="AE88" s="131">
        <v>1</v>
      </c>
      <c r="AF88" s="1">
        <f t="shared" si="79"/>
        <v>2</v>
      </c>
      <c r="AG88" s="1">
        <f t="shared" si="79"/>
        <v>3</v>
      </c>
      <c r="AH88" s="1">
        <f t="shared" si="79"/>
        <v>4</v>
      </c>
      <c r="AI88" s="1">
        <f t="shared" ref="AI88:AY89" si="80">AH88+1</f>
        <v>5</v>
      </c>
      <c r="AJ88" s="1">
        <f t="shared" si="80"/>
        <v>6</v>
      </c>
      <c r="AK88" s="1">
        <f t="shared" si="80"/>
        <v>7</v>
      </c>
      <c r="AL88" s="4"/>
      <c r="AM88" s="4"/>
      <c r="AN88" s="4"/>
      <c r="AO88" s="4"/>
      <c r="AP88" s="4"/>
      <c r="AQ88" s="4"/>
      <c r="AR88" s="4"/>
      <c r="AS88" s="4"/>
      <c r="AT88" s="4"/>
      <c r="AU88" s="97"/>
      <c r="AV88" s="4"/>
      <c r="AW88" s="4"/>
      <c r="AX88" s="186"/>
      <c r="AY88" s="186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</row>
    <row r="89" spans="1:84" x14ac:dyDescent="0.25">
      <c r="B89" s="139">
        <v>14</v>
      </c>
      <c r="C89" s="140">
        <v>5</v>
      </c>
      <c r="D89" s="139" t="str">
        <f t="shared" si="74"/>
        <v>EMPTY_WEST_L_2_18</v>
      </c>
      <c r="E89" s="140" t="s">
        <v>0</v>
      </c>
      <c r="F89" s="142" t="s">
        <v>32</v>
      </c>
      <c r="G89" s="140" t="s">
        <v>19</v>
      </c>
      <c r="H89" s="140" t="s">
        <v>13</v>
      </c>
      <c r="I89" s="140">
        <v>2</v>
      </c>
      <c r="J89" s="143"/>
      <c r="K89" s="184">
        <f>COUNT(AE89:BN89)</f>
        <v>21</v>
      </c>
      <c r="L89" s="140"/>
      <c r="M89" s="189"/>
      <c r="N89" s="189"/>
      <c r="O89" s="189"/>
      <c r="P89" s="189"/>
      <c r="Q89" s="189"/>
      <c r="R89" s="189"/>
      <c r="S89" s="189"/>
      <c r="T89" s="189"/>
      <c r="U89" s="189"/>
      <c r="V89" s="189"/>
      <c r="W89" s="189"/>
      <c r="X89" s="190"/>
      <c r="Y89" s="191"/>
      <c r="Z89" s="189"/>
      <c r="AA89" s="189"/>
      <c r="AB89" s="189"/>
      <c r="AC89" s="189"/>
      <c r="AD89" s="192"/>
      <c r="AE89" s="131">
        <v>1</v>
      </c>
      <c r="AF89" s="1">
        <f t="shared" si="79"/>
        <v>2</v>
      </c>
      <c r="AG89" s="1">
        <f t="shared" si="79"/>
        <v>3</v>
      </c>
      <c r="AH89" s="1">
        <f t="shared" si="79"/>
        <v>4</v>
      </c>
      <c r="AI89" s="1">
        <f t="shared" si="80"/>
        <v>5</v>
      </c>
      <c r="AJ89" s="1">
        <f t="shared" si="80"/>
        <v>6</v>
      </c>
      <c r="AK89" s="1">
        <f t="shared" si="80"/>
        <v>7</v>
      </c>
      <c r="AL89" s="1">
        <f t="shared" si="80"/>
        <v>8</v>
      </c>
      <c r="AM89" s="1">
        <f t="shared" si="80"/>
        <v>9</v>
      </c>
      <c r="AN89" s="1">
        <f t="shared" si="80"/>
        <v>10</v>
      </c>
      <c r="AO89" s="1">
        <f t="shared" si="80"/>
        <v>11</v>
      </c>
      <c r="AP89" s="1">
        <f t="shared" si="80"/>
        <v>12</v>
      </c>
      <c r="AQ89" s="1">
        <f t="shared" si="80"/>
        <v>13</v>
      </c>
      <c r="AR89" s="1">
        <f t="shared" si="80"/>
        <v>14</v>
      </c>
      <c r="AS89" s="1">
        <f t="shared" si="80"/>
        <v>15</v>
      </c>
      <c r="AT89" s="1">
        <f t="shared" si="80"/>
        <v>16</v>
      </c>
      <c r="AU89" s="1">
        <f t="shared" si="80"/>
        <v>17</v>
      </c>
      <c r="AV89" s="1">
        <f t="shared" si="80"/>
        <v>18</v>
      </c>
      <c r="AW89" s="1">
        <f t="shared" si="80"/>
        <v>19</v>
      </c>
      <c r="AX89" s="1">
        <f t="shared" si="80"/>
        <v>20</v>
      </c>
      <c r="AY89" s="1">
        <f t="shared" si="80"/>
        <v>21</v>
      </c>
      <c r="AZ89" s="46"/>
      <c r="BA89" s="186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</row>
    <row r="90" spans="1:84" hidden="1" x14ac:dyDescent="0.25">
      <c r="B90" s="139">
        <v>14</v>
      </c>
      <c r="C90" s="140">
        <v>6</v>
      </c>
      <c r="D90" s="139" t="str">
        <f t="shared" si="74"/>
        <v>COUNTDOWN_WEST_L_2_18</v>
      </c>
      <c r="E90" s="140"/>
      <c r="F90" s="142" t="s">
        <v>33</v>
      </c>
      <c r="G90" s="140" t="s">
        <v>19</v>
      </c>
      <c r="H90" s="140" t="s">
        <v>13</v>
      </c>
      <c r="I90" s="140">
        <v>2</v>
      </c>
      <c r="J90" s="144"/>
      <c r="K90" s="144"/>
      <c r="L90" s="140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178"/>
      <c r="Y90" s="82"/>
      <c r="Z90" s="5"/>
      <c r="AA90" s="5"/>
      <c r="AB90" s="5"/>
      <c r="AC90" s="5"/>
      <c r="AD90" s="64"/>
      <c r="AE90" s="132"/>
      <c r="AF90" s="28"/>
      <c r="AG90" s="46"/>
      <c r="AH90" s="46"/>
      <c r="AI90" s="56"/>
      <c r="AJ90" s="56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</row>
    <row r="91" spans="1:84" hidden="1" x14ac:dyDescent="0.25">
      <c r="B91" s="139">
        <v>16</v>
      </c>
      <c r="C91" s="139">
        <v>1</v>
      </c>
      <c r="D91" s="139" t="str">
        <f t="shared" si="74"/>
        <v>SORTING_WEST_N_1_18</v>
      </c>
      <c r="E91" s="139" t="s">
        <v>35</v>
      </c>
      <c r="F91" s="138" t="s">
        <v>45</v>
      </c>
      <c r="G91" s="140" t="s">
        <v>19</v>
      </c>
      <c r="H91" s="140" t="s">
        <v>15</v>
      </c>
      <c r="I91" s="140">
        <v>1</v>
      </c>
      <c r="J91" s="139"/>
      <c r="K91" s="184">
        <f>COUNT(Y91:AV91)</f>
        <v>8</v>
      </c>
      <c r="L91" s="139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101"/>
      <c r="Y91" s="82">
        <v>1</v>
      </c>
      <c r="Z91" s="5">
        <f t="shared" ref="Z91:AH92" si="81">Y91+1</f>
        <v>2</v>
      </c>
      <c r="AA91" s="5">
        <f t="shared" si="81"/>
        <v>3</v>
      </c>
      <c r="AB91" s="5">
        <f t="shared" si="81"/>
        <v>4</v>
      </c>
      <c r="AC91" s="5">
        <f t="shared" si="81"/>
        <v>5</v>
      </c>
      <c r="AD91" s="64">
        <f t="shared" si="81"/>
        <v>6</v>
      </c>
      <c r="AE91" s="179">
        <f t="shared" si="81"/>
        <v>7</v>
      </c>
      <c r="AF91" s="5">
        <f t="shared" si="81"/>
        <v>8</v>
      </c>
      <c r="AG91" s="4"/>
      <c r="AH91" s="4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</row>
    <row r="92" spans="1:84" hidden="1" x14ac:dyDescent="0.25">
      <c r="B92" s="139">
        <v>16</v>
      </c>
      <c r="C92" s="139">
        <v>2</v>
      </c>
      <c r="D92" s="139" t="str">
        <f t="shared" si="74"/>
        <v>TRANSFER_WEST_N_1_18</v>
      </c>
      <c r="E92" s="139" t="s">
        <v>21</v>
      </c>
      <c r="F92" s="138" t="s">
        <v>21</v>
      </c>
      <c r="G92" s="140" t="s">
        <v>19</v>
      </c>
      <c r="H92" s="140" t="s">
        <v>15</v>
      </c>
      <c r="I92" s="140">
        <v>1</v>
      </c>
      <c r="J92" s="139"/>
      <c r="K92" s="184">
        <f>COUNT(Y92:AV92)</f>
        <v>10</v>
      </c>
      <c r="L92" s="139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101"/>
      <c r="Y92" s="82">
        <v>1</v>
      </c>
      <c r="Z92" s="5">
        <f t="shared" si="81"/>
        <v>2</v>
      </c>
      <c r="AA92" s="5">
        <f t="shared" si="81"/>
        <v>3</v>
      </c>
      <c r="AB92" s="5">
        <f t="shared" si="81"/>
        <v>4</v>
      </c>
      <c r="AC92" s="5">
        <f t="shared" si="81"/>
        <v>5</v>
      </c>
      <c r="AD92" s="64">
        <f t="shared" si="81"/>
        <v>6</v>
      </c>
      <c r="AE92" s="179">
        <f t="shared" si="81"/>
        <v>7</v>
      </c>
      <c r="AF92" s="5">
        <f t="shared" si="81"/>
        <v>8</v>
      </c>
      <c r="AG92" s="5">
        <f t="shared" si="81"/>
        <v>9</v>
      </c>
      <c r="AH92" s="5">
        <f t="shared" si="81"/>
        <v>10</v>
      </c>
      <c r="AI92" s="4"/>
      <c r="AJ92" s="4"/>
      <c r="AK92" s="3"/>
      <c r="AL92" s="3"/>
      <c r="AM92" s="3"/>
      <c r="AN92" s="3"/>
      <c r="AO92" s="3"/>
      <c r="AP92" s="3"/>
      <c r="AQ92" s="3"/>
      <c r="AR92" s="3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</row>
    <row r="93" spans="1:84" x14ac:dyDescent="0.25">
      <c r="B93" s="139">
        <v>16</v>
      </c>
      <c r="C93" s="139">
        <v>3</v>
      </c>
      <c r="D93" s="139" t="str">
        <f t="shared" si="74"/>
        <v>PREPARE_WEST_N_1_18</v>
      </c>
      <c r="E93" s="139" t="s">
        <v>0</v>
      </c>
      <c r="F93" s="138" t="s">
        <v>46</v>
      </c>
      <c r="G93" s="140" t="s">
        <v>19</v>
      </c>
      <c r="H93" s="140" t="s">
        <v>15</v>
      </c>
      <c r="I93" s="140">
        <v>1</v>
      </c>
      <c r="J93" s="139"/>
      <c r="K93" s="184">
        <f>COUNT(M93:AV93)</f>
        <v>25</v>
      </c>
      <c r="L93" s="139"/>
      <c r="M93" s="5">
        <v>1</v>
      </c>
      <c r="N93" s="5">
        <f t="shared" ref="N93:AK95" si="82">M93+1</f>
        <v>2</v>
      </c>
      <c r="O93" s="5">
        <f t="shared" si="82"/>
        <v>3</v>
      </c>
      <c r="P93" s="5">
        <f t="shared" si="82"/>
        <v>4</v>
      </c>
      <c r="Q93" s="5">
        <f t="shared" si="82"/>
        <v>5</v>
      </c>
      <c r="R93" s="5">
        <f t="shared" si="82"/>
        <v>6</v>
      </c>
      <c r="S93" s="5">
        <f t="shared" si="82"/>
        <v>7</v>
      </c>
      <c r="T93" s="5">
        <f t="shared" si="82"/>
        <v>8</v>
      </c>
      <c r="U93" s="5">
        <f t="shared" si="82"/>
        <v>9</v>
      </c>
      <c r="V93" s="5">
        <f t="shared" si="82"/>
        <v>10</v>
      </c>
      <c r="W93" s="5">
        <f t="shared" si="82"/>
        <v>11</v>
      </c>
      <c r="X93" s="178">
        <f t="shared" si="82"/>
        <v>12</v>
      </c>
      <c r="Y93" s="82">
        <f t="shared" si="82"/>
        <v>13</v>
      </c>
      <c r="Z93" s="5">
        <f t="shared" si="82"/>
        <v>14</v>
      </c>
      <c r="AA93" s="5">
        <f t="shared" si="82"/>
        <v>15</v>
      </c>
      <c r="AB93" s="5">
        <f t="shared" si="82"/>
        <v>16</v>
      </c>
      <c r="AC93" s="5">
        <f t="shared" si="82"/>
        <v>17</v>
      </c>
      <c r="AD93" s="64">
        <f t="shared" si="82"/>
        <v>18</v>
      </c>
      <c r="AE93" s="179">
        <f t="shared" si="82"/>
        <v>19</v>
      </c>
      <c r="AF93" s="5">
        <f t="shared" si="82"/>
        <v>20</v>
      </c>
      <c r="AG93" s="5">
        <f t="shared" si="82"/>
        <v>21</v>
      </c>
      <c r="AH93" s="5">
        <f t="shared" si="82"/>
        <v>22</v>
      </c>
      <c r="AI93" s="5">
        <f t="shared" si="82"/>
        <v>23</v>
      </c>
      <c r="AJ93" s="5">
        <f t="shared" si="82"/>
        <v>24</v>
      </c>
      <c r="AK93" s="5">
        <f t="shared" si="82"/>
        <v>25</v>
      </c>
      <c r="AL93" s="4"/>
      <c r="AM93" s="4"/>
      <c r="AN93" s="4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</row>
    <row r="94" spans="1:84" x14ac:dyDescent="0.25">
      <c r="B94" s="139">
        <v>16</v>
      </c>
      <c r="C94" s="139">
        <v>4</v>
      </c>
      <c r="D94" s="139" t="str">
        <f t="shared" si="74"/>
        <v>SUPPLY_WEST_N_1_18</v>
      </c>
      <c r="E94" s="139" t="s">
        <v>0</v>
      </c>
      <c r="F94" s="142" t="s">
        <v>0</v>
      </c>
      <c r="G94" s="140" t="s">
        <v>19</v>
      </c>
      <c r="H94" s="140" t="s">
        <v>15</v>
      </c>
      <c r="I94" s="140">
        <v>1</v>
      </c>
      <c r="J94" s="141"/>
      <c r="K94" s="184">
        <f>COUNT(AE94:BN94)</f>
        <v>10</v>
      </c>
      <c r="L94" s="13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90"/>
      <c r="Y94" s="191"/>
      <c r="Z94" s="189"/>
      <c r="AA94" s="189"/>
      <c r="AB94" s="189"/>
      <c r="AC94" s="189"/>
      <c r="AD94" s="192"/>
      <c r="AE94" s="131">
        <v>1</v>
      </c>
      <c r="AF94" s="1">
        <f t="shared" si="82"/>
        <v>2</v>
      </c>
      <c r="AG94" s="1">
        <f t="shared" si="82"/>
        <v>3</v>
      </c>
      <c r="AH94" s="1">
        <f t="shared" si="82"/>
        <v>4</v>
      </c>
      <c r="AI94" s="1">
        <f t="shared" si="82"/>
        <v>5</v>
      </c>
      <c r="AJ94" s="1">
        <f t="shared" si="82"/>
        <v>6</v>
      </c>
      <c r="AK94" s="1">
        <f t="shared" ref="AK94:BA95" si="83">AJ94+1</f>
        <v>7</v>
      </c>
      <c r="AL94" s="1">
        <f t="shared" si="83"/>
        <v>8</v>
      </c>
      <c r="AM94" s="1">
        <f t="shared" si="83"/>
        <v>9</v>
      </c>
      <c r="AN94" s="1">
        <f t="shared" si="83"/>
        <v>10</v>
      </c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97"/>
      <c r="AZ94" s="4"/>
      <c r="BA94" s="4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</row>
    <row r="95" spans="1:84" x14ac:dyDescent="0.25">
      <c r="B95" s="139">
        <v>16</v>
      </c>
      <c r="C95" s="140">
        <v>5</v>
      </c>
      <c r="D95" s="139" t="str">
        <f t="shared" si="74"/>
        <v>EMPTY_WEST_N_1_18</v>
      </c>
      <c r="E95" s="140" t="s">
        <v>0</v>
      </c>
      <c r="F95" s="142" t="s">
        <v>32</v>
      </c>
      <c r="G95" s="140" t="s">
        <v>19</v>
      </c>
      <c r="H95" s="140" t="s">
        <v>15</v>
      </c>
      <c r="I95" s="140">
        <v>1</v>
      </c>
      <c r="J95" s="143"/>
      <c r="K95" s="184">
        <f>COUNT(AE95:BN95)</f>
        <v>23</v>
      </c>
      <c r="L95" s="140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90"/>
      <c r="Y95" s="191"/>
      <c r="Z95" s="189"/>
      <c r="AA95" s="189"/>
      <c r="AB95" s="189"/>
      <c r="AC95" s="189"/>
      <c r="AD95" s="192"/>
      <c r="AE95" s="131">
        <v>1</v>
      </c>
      <c r="AF95" s="1">
        <f t="shared" si="82"/>
        <v>2</v>
      </c>
      <c r="AG95" s="1">
        <f t="shared" si="82"/>
        <v>3</v>
      </c>
      <c r="AH95" s="1">
        <f t="shared" si="82"/>
        <v>4</v>
      </c>
      <c r="AI95" s="1">
        <f t="shared" si="82"/>
        <v>5</v>
      </c>
      <c r="AJ95" s="1">
        <f t="shared" si="82"/>
        <v>6</v>
      </c>
      <c r="AK95" s="1">
        <f t="shared" si="83"/>
        <v>7</v>
      </c>
      <c r="AL95" s="1">
        <f t="shared" si="83"/>
        <v>8</v>
      </c>
      <c r="AM95" s="1">
        <f t="shared" si="83"/>
        <v>9</v>
      </c>
      <c r="AN95" s="1">
        <f t="shared" si="83"/>
        <v>10</v>
      </c>
      <c r="AO95" s="1">
        <f t="shared" si="83"/>
        <v>11</v>
      </c>
      <c r="AP95" s="1">
        <f t="shared" si="83"/>
        <v>12</v>
      </c>
      <c r="AQ95" s="1">
        <f t="shared" si="83"/>
        <v>13</v>
      </c>
      <c r="AR95" s="1">
        <f t="shared" si="83"/>
        <v>14</v>
      </c>
      <c r="AS95" s="1">
        <f t="shared" si="83"/>
        <v>15</v>
      </c>
      <c r="AT95" s="1">
        <f t="shared" si="83"/>
        <v>16</v>
      </c>
      <c r="AU95" s="1">
        <f t="shared" si="83"/>
        <v>17</v>
      </c>
      <c r="AV95" s="1">
        <f t="shared" si="83"/>
        <v>18</v>
      </c>
      <c r="AW95" s="1">
        <f t="shared" si="83"/>
        <v>19</v>
      </c>
      <c r="AX95" s="1">
        <f t="shared" si="83"/>
        <v>20</v>
      </c>
      <c r="AY95" s="1">
        <f t="shared" si="83"/>
        <v>21</v>
      </c>
      <c r="AZ95" s="1">
        <f t="shared" si="83"/>
        <v>22</v>
      </c>
      <c r="BA95" s="1">
        <f t="shared" si="83"/>
        <v>23</v>
      </c>
      <c r="BB95" s="46"/>
      <c r="BC95" s="4"/>
      <c r="BD95" s="187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</row>
    <row r="96" spans="1:84" hidden="1" x14ac:dyDescent="0.25">
      <c r="B96" s="139">
        <v>16</v>
      </c>
      <c r="C96" s="140">
        <v>6</v>
      </c>
      <c r="D96" s="139" t="str">
        <f t="shared" si="74"/>
        <v>COUNTDOWN_WEST_N_1_18</v>
      </c>
      <c r="E96" s="140"/>
      <c r="F96" s="142" t="s">
        <v>33</v>
      </c>
      <c r="G96" s="140" t="s">
        <v>19</v>
      </c>
      <c r="H96" s="140" t="s">
        <v>15</v>
      </c>
      <c r="I96" s="140">
        <v>1</v>
      </c>
      <c r="J96" s="144"/>
      <c r="K96" s="144"/>
      <c r="L96" s="140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178"/>
      <c r="Y96" s="82"/>
      <c r="Z96" s="5"/>
      <c r="AA96" s="5"/>
      <c r="AB96" s="5"/>
      <c r="AC96" s="5"/>
      <c r="AD96" s="64"/>
      <c r="AE96" s="179"/>
      <c r="AF96" s="5"/>
      <c r="AG96" s="6"/>
      <c r="AH96" s="6"/>
      <c r="AI96" s="46"/>
      <c r="AJ96" s="46"/>
      <c r="AK96" s="56"/>
      <c r="AL96" s="56"/>
      <c r="AM96" s="93"/>
      <c r="AN96" s="93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</row>
    <row r="97" spans="1:84" hidden="1" x14ac:dyDescent="0.25">
      <c r="B97" s="139">
        <v>17</v>
      </c>
      <c r="C97" s="139">
        <v>1</v>
      </c>
      <c r="D97" s="139" t="str">
        <f t="shared" si="74"/>
        <v>SORTING_WEST_J_2_18</v>
      </c>
      <c r="E97" s="139" t="s">
        <v>35</v>
      </c>
      <c r="F97" s="138" t="s">
        <v>45</v>
      </c>
      <c r="G97" s="140" t="s">
        <v>19</v>
      </c>
      <c r="H97" s="140" t="s">
        <v>11</v>
      </c>
      <c r="I97" s="140">
        <v>2</v>
      </c>
      <c r="J97" s="139"/>
      <c r="K97" s="184">
        <f>COUNT(Y97:AV97)</f>
        <v>10</v>
      </c>
      <c r="L97" s="139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101"/>
      <c r="Y97" s="82">
        <v>1</v>
      </c>
      <c r="Z97" s="5">
        <f t="shared" ref="Z97:AJ98" si="84">Y97+1</f>
        <v>2</v>
      </c>
      <c r="AA97" s="5">
        <f t="shared" si="84"/>
        <v>3</v>
      </c>
      <c r="AB97" s="5">
        <f t="shared" si="84"/>
        <v>4</v>
      </c>
      <c r="AC97" s="5">
        <f t="shared" si="84"/>
        <v>5</v>
      </c>
      <c r="AD97" s="64">
        <f t="shared" si="84"/>
        <v>6</v>
      </c>
      <c r="AE97" s="179">
        <f t="shared" si="84"/>
        <v>7</v>
      </c>
      <c r="AF97" s="5">
        <f t="shared" si="84"/>
        <v>8</v>
      </c>
      <c r="AG97" s="5">
        <f t="shared" si="84"/>
        <v>9</v>
      </c>
      <c r="AH97" s="5">
        <f t="shared" si="84"/>
        <v>10</v>
      </c>
      <c r="AI97" s="4"/>
      <c r="AJ97" s="4"/>
      <c r="AK97" s="3"/>
      <c r="AL97" s="3"/>
      <c r="AM97" s="3"/>
      <c r="AN97" s="3"/>
      <c r="AO97" s="3"/>
      <c r="AP97" s="3"/>
      <c r="AQ97" s="3"/>
      <c r="AR97" s="3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</row>
    <row r="98" spans="1:84" hidden="1" x14ac:dyDescent="0.25">
      <c r="B98" s="139">
        <v>17</v>
      </c>
      <c r="C98" s="139">
        <v>2</v>
      </c>
      <c r="D98" s="139" t="str">
        <f t="shared" si="74"/>
        <v>TRANSFER_WEST_J_2_18</v>
      </c>
      <c r="E98" s="139" t="s">
        <v>21</v>
      </c>
      <c r="F98" s="138" t="s">
        <v>21</v>
      </c>
      <c r="G98" s="140" t="s">
        <v>19</v>
      </c>
      <c r="H98" s="140" t="s">
        <v>11</v>
      </c>
      <c r="I98" s="140">
        <v>2</v>
      </c>
      <c r="J98" s="139"/>
      <c r="K98" s="184">
        <f>COUNT(Y98:AV98)</f>
        <v>12</v>
      </c>
      <c r="L98" s="139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101"/>
      <c r="Y98" s="82">
        <v>1</v>
      </c>
      <c r="Z98" s="5">
        <f t="shared" si="84"/>
        <v>2</v>
      </c>
      <c r="AA98" s="5">
        <f t="shared" si="84"/>
        <v>3</v>
      </c>
      <c r="AB98" s="5">
        <f t="shared" si="84"/>
        <v>4</v>
      </c>
      <c r="AC98" s="5">
        <f t="shared" si="84"/>
        <v>5</v>
      </c>
      <c r="AD98" s="64">
        <f t="shared" si="84"/>
        <v>6</v>
      </c>
      <c r="AE98" s="179">
        <f t="shared" si="84"/>
        <v>7</v>
      </c>
      <c r="AF98" s="5">
        <f t="shared" si="84"/>
        <v>8</v>
      </c>
      <c r="AG98" s="5">
        <f t="shared" si="84"/>
        <v>9</v>
      </c>
      <c r="AH98" s="5">
        <f t="shared" si="84"/>
        <v>10</v>
      </c>
      <c r="AI98" s="5">
        <f t="shared" si="84"/>
        <v>11</v>
      </c>
      <c r="AJ98" s="5">
        <f t="shared" si="84"/>
        <v>12</v>
      </c>
      <c r="AK98" s="4"/>
      <c r="AL98" s="4"/>
      <c r="AM98" s="3"/>
      <c r="AN98" s="3"/>
      <c r="AO98" s="3"/>
      <c r="AP98" s="3"/>
      <c r="AQ98" s="3"/>
      <c r="AR98" s="3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</row>
    <row r="99" spans="1:84" x14ac:dyDescent="0.25">
      <c r="B99" s="139">
        <v>17</v>
      </c>
      <c r="C99" s="139">
        <v>3</v>
      </c>
      <c r="D99" s="139" t="str">
        <f t="shared" si="74"/>
        <v>PREPARE_WEST_J_2_18</v>
      </c>
      <c r="E99" s="139" t="s">
        <v>0</v>
      </c>
      <c r="F99" s="138" t="s">
        <v>46</v>
      </c>
      <c r="G99" s="140" t="s">
        <v>19</v>
      </c>
      <c r="H99" s="140" t="s">
        <v>11</v>
      </c>
      <c r="I99" s="140">
        <v>2</v>
      </c>
      <c r="J99" s="139"/>
      <c r="K99" s="184">
        <f>COUNT(M99:AV99)</f>
        <v>27</v>
      </c>
      <c r="L99" s="139"/>
      <c r="M99" s="5">
        <v>1</v>
      </c>
      <c r="N99" s="5">
        <f t="shared" ref="N99:AM101" si="85">M99+1</f>
        <v>2</v>
      </c>
      <c r="O99" s="5">
        <f t="shared" si="85"/>
        <v>3</v>
      </c>
      <c r="P99" s="5">
        <f t="shared" si="85"/>
        <v>4</v>
      </c>
      <c r="Q99" s="5">
        <f t="shared" si="85"/>
        <v>5</v>
      </c>
      <c r="R99" s="5">
        <f t="shared" si="85"/>
        <v>6</v>
      </c>
      <c r="S99" s="5">
        <f t="shared" si="85"/>
        <v>7</v>
      </c>
      <c r="T99" s="5">
        <f t="shared" si="85"/>
        <v>8</v>
      </c>
      <c r="U99" s="5">
        <f t="shared" si="85"/>
        <v>9</v>
      </c>
      <c r="V99" s="5">
        <f t="shared" si="85"/>
        <v>10</v>
      </c>
      <c r="W99" s="5">
        <f t="shared" si="85"/>
        <v>11</v>
      </c>
      <c r="X99" s="178">
        <f t="shared" si="85"/>
        <v>12</v>
      </c>
      <c r="Y99" s="82">
        <f t="shared" si="85"/>
        <v>13</v>
      </c>
      <c r="Z99" s="5">
        <f t="shared" si="85"/>
        <v>14</v>
      </c>
      <c r="AA99" s="5">
        <f t="shared" si="85"/>
        <v>15</v>
      </c>
      <c r="AB99" s="5">
        <f t="shared" si="85"/>
        <v>16</v>
      </c>
      <c r="AC99" s="5">
        <f t="shared" si="85"/>
        <v>17</v>
      </c>
      <c r="AD99" s="64">
        <f t="shared" si="85"/>
        <v>18</v>
      </c>
      <c r="AE99" s="179">
        <f t="shared" si="85"/>
        <v>19</v>
      </c>
      <c r="AF99" s="5">
        <f t="shared" si="85"/>
        <v>20</v>
      </c>
      <c r="AG99" s="5">
        <f t="shared" si="85"/>
        <v>21</v>
      </c>
      <c r="AH99" s="5">
        <f t="shared" si="85"/>
        <v>22</v>
      </c>
      <c r="AI99" s="5">
        <f t="shared" si="85"/>
        <v>23</v>
      </c>
      <c r="AJ99" s="5">
        <f t="shared" si="85"/>
        <v>24</v>
      </c>
      <c r="AK99" s="5">
        <f t="shared" si="85"/>
        <v>25</v>
      </c>
      <c r="AL99" s="5">
        <f t="shared" si="85"/>
        <v>26</v>
      </c>
      <c r="AM99" s="5">
        <f t="shared" si="85"/>
        <v>27</v>
      </c>
      <c r="AN99" s="4"/>
      <c r="AO99" s="4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</row>
    <row r="100" spans="1:84" x14ac:dyDescent="0.25">
      <c r="B100" s="139">
        <v>17</v>
      </c>
      <c r="C100" s="139">
        <v>4</v>
      </c>
      <c r="D100" s="139" t="str">
        <f t="shared" si="74"/>
        <v>SUPPLY_WEST_J_2_18</v>
      </c>
      <c r="E100" s="139" t="s">
        <v>0</v>
      </c>
      <c r="F100" s="142" t="s">
        <v>0</v>
      </c>
      <c r="G100" s="140" t="s">
        <v>19</v>
      </c>
      <c r="H100" s="140" t="s">
        <v>11</v>
      </c>
      <c r="I100" s="140">
        <v>2</v>
      </c>
      <c r="J100" s="141"/>
      <c r="K100" s="184">
        <f>COUNT(AE100:BN100)</f>
        <v>11</v>
      </c>
      <c r="L100" s="13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90"/>
      <c r="Y100" s="191"/>
      <c r="Z100" s="189"/>
      <c r="AA100" s="189"/>
      <c r="AB100" s="189"/>
      <c r="AC100" s="189"/>
      <c r="AD100" s="192"/>
      <c r="AE100" s="131">
        <v>1</v>
      </c>
      <c r="AF100" s="1">
        <f t="shared" si="85"/>
        <v>2</v>
      </c>
      <c r="AG100" s="1">
        <f t="shared" si="85"/>
        <v>3</v>
      </c>
      <c r="AH100" s="1">
        <f t="shared" si="85"/>
        <v>4</v>
      </c>
      <c r="AI100" s="1">
        <f t="shared" si="85"/>
        <v>5</v>
      </c>
      <c r="AJ100" s="1">
        <f t="shared" si="85"/>
        <v>6</v>
      </c>
      <c r="AK100" s="1">
        <f t="shared" si="85"/>
        <v>7</v>
      </c>
      <c r="AL100" s="1">
        <f t="shared" si="85"/>
        <v>8</v>
      </c>
      <c r="AM100" s="1">
        <f t="shared" ref="AM100:BC101" si="86">AL100+1</f>
        <v>9</v>
      </c>
      <c r="AN100" s="1">
        <f t="shared" si="86"/>
        <v>10</v>
      </c>
      <c r="AO100" s="1">
        <f>AN100+1</f>
        <v>11</v>
      </c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97"/>
      <c r="BB100" s="4"/>
      <c r="BC100" s="4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</row>
    <row r="101" spans="1:84" x14ac:dyDescent="0.25">
      <c r="B101" s="139">
        <v>17</v>
      </c>
      <c r="C101" s="140">
        <v>5</v>
      </c>
      <c r="D101" s="139" t="str">
        <f t="shared" si="74"/>
        <v>EMPTY_WEST_J_2_18</v>
      </c>
      <c r="E101" s="140" t="s">
        <v>0</v>
      </c>
      <c r="F101" s="142" t="s">
        <v>32</v>
      </c>
      <c r="G101" s="140" t="s">
        <v>19</v>
      </c>
      <c r="H101" s="140" t="s">
        <v>11</v>
      </c>
      <c r="I101" s="140">
        <v>2</v>
      </c>
      <c r="J101" s="143"/>
      <c r="K101" s="184">
        <f>COUNT(AE101:BN101)</f>
        <v>25</v>
      </c>
      <c r="L101" s="140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90"/>
      <c r="Y101" s="191"/>
      <c r="Z101" s="189"/>
      <c r="AA101" s="189"/>
      <c r="AB101" s="189"/>
      <c r="AC101" s="189"/>
      <c r="AD101" s="192"/>
      <c r="AE101" s="131">
        <v>1</v>
      </c>
      <c r="AF101" s="1">
        <f t="shared" si="85"/>
        <v>2</v>
      </c>
      <c r="AG101" s="1">
        <f t="shared" si="85"/>
        <v>3</v>
      </c>
      <c r="AH101" s="1">
        <f t="shared" si="85"/>
        <v>4</v>
      </c>
      <c r="AI101" s="1">
        <f t="shared" si="85"/>
        <v>5</v>
      </c>
      <c r="AJ101" s="1">
        <f t="shared" si="85"/>
        <v>6</v>
      </c>
      <c r="AK101" s="1">
        <f t="shared" si="85"/>
        <v>7</v>
      </c>
      <c r="AL101" s="1">
        <f t="shared" si="85"/>
        <v>8</v>
      </c>
      <c r="AM101" s="1">
        <f t="shared" si="86"/>
        <v>9</v>
      </c>
      <c r="AN101" s="1">
        <f t="shared" si="86"/>
        <v>10</v>
      </c>
      <c r="AO101" s="1">
        <f t="shared" si="86"/>
        <v>11</v>
      </c>
      <c r="AP101" s="1">
        <f t="shared" si="86"/>
        <v>12</v>
      </c>
      <c r="AQ101" s="1">
        <f t="shared" si="86"/>
        <v>13</v>
      </c>
      <c r="AR101" s="1">
        <f t="shared" si="86"/>
        <v>14</v>
      </c>
      <c r="AS101" s="1">
        <f t="shared" si="86"/>
        <v>15</v>
      </c>
      <c r="AT101" s="1">
        <f t="shared" si="86"/>
        <v>16</v>
      </c>
      <c r="AU101" s="1">
        <f t="shared" si="86"/>
        <v>17</v>
      </c>
      <c r="AV101" s="1">
        <f t="shared" si="86"/>
        <v>18</v>
      </c>
      <c r="AW101" s="1">
        <f t="shared" si="86"/>
        <v>19</v>
      </c>
      <c r="AX101" s="1">
        <f t="shared" si="86"/>
        <v>20</v>
      </c>
      <c r="AY101" s="1">
        <f t="shared" si="86"/>
        <v>21</v>
      </c>
      <c r="AZ101" s="1">
        <f t="shared" si="86"/>
        <v>22</v>
      </c>
      <c r="BA101" s="1">
        <f t="shared" si="86"/>
        <v>23</v>
      </c>
      <c r="BB101" s="1">
        <f t="shared" si="86"/>
        <v>24</v>
      </c>
      <c r="BC101" s="1">
        <f t="shared" si="86"/>
        <v>25</v>
      </c>
      <c r="BD101" s="189"/>
      <c r="BE101" s="4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</row>
    <row r="102" spans="1:84" hidden="1" x14ac:dyDescent="0.25">
      <c r="B102" s="139">
        <v>17</v>
      </c>
      <c r="C102" s="140">
        <v>6</v>
      </c>
      <c r="D102" s="139" t="str">
        <f t="shared" si="74"/>
        <v>COUNTDOWN_WEST_J_2_18</v>
      </c>
      <c r="E102" s="140"/>
      <c r="F102" s="142" t="s">
        <v>33</v>
      </c>
      <c r="G102" s="140" t="s">
        <v>19</v>
      </c>
      <c r="H102" s="140" t="s">
        <v>11</v>
      </c>
      <c r="I102" s="140">
        <v>2</v>
      </c>
      <c r="J102" s="144"/>
      <c r="K102" s="144"/>
      <c r="L102" s="140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178"/>
      <c r="Y102" s="82"/>
      <c r="Z102" s="5"/>
      <c r="AA102" s="5"/>
      <c r="AB102" s="5"/>
      <c r="AC102" s="5"/>
      <c r="AD102" s="64"/>
      <c r="AE102" s="179"/>
      <c r="AF102" s="5"/>
      <c r="AG102" s="5"/>
      <c r="AH102" s="5"/>
      <c r="AI102" s="6"/>
      <c r="AJ102" s="6"/>
      <c r="AK102" s="46"/>
      <c r="AL102" s="46"/>
      <c r="AM102" s="56"/>
      <c r="AN102" s="56"/>
      <c r="AO102" s="93"/>
      <c r="AP102" s="93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</row>
    <row r="103" spans="1:84" hidden="1" x14ac:dyDescent="0.25">
      <c r="A103" t="s">
        <v>59</v>
      </c>
      <c r="B103" s="139">
        <v>18</v>
      </c>
      <c r="C103" s="139">
        <v>1</v>
      </c>
      <c r="D103" s="139" t="str">
        <f t="shared" si="74"/>
        <v>SORTING_WEST_Q_1_18</v>
      </c>
      <c r="E103" s="139" t="s">
        <v>35</v>
      </c>
      <c r="F103" s="138" t="s">
        <v>45</v>
      </c>
      <c r="G103" s="140" t="s">
        <v>19</v>
      </c>
      <c r="H103" s="140" t="s">
        <v>59</v>
      </c>
      <c r="I103" s="140">
        <v>1</v>
      </c>
      <c r="J103" s="139"/>
      <c r="K103" s="184">
        <f>COUNT(Y103:AV103)</f>
        <v>12</v>
      </c>
      <c r="L103" s="139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101"/>
      <c r="Y103" s="82">
        <v>1</v>
      </c>
      <c r="Z103" s="5">
        <f t="shared" ref="Z103:AK107" si="87">Y103+1</f>
        <v>2</v>
      </c>
      <c r="AA103" s="5">
        <f t="shared" si="87"/>
        <v>3</v>
      </c>
      <c r="AB103" s="5">
        <f t="shared" si="87"/>
        <v>4</v>
      </c>
      <c r="AC103" s="5">
        <f t="shared" si="87"/>
        <v>5</v>
      </c>
      <c r="AD103" s="64">
        <f t="shared" si="87"/>
        <v>6</v>
      </c>
      <c r="AE103" s="179">
        <f t="shared" si="87"/>
        <v>7</v>
      </c>
      <c r="AF103" s="5">
        <f t="shared" si="87"/>
        <v>8</v>
      </c>
      <c r="AG103" s="5">
        <f t="shared" si="87"/>
        <v>9</v>
      </c>
      <c r="AH103" s="5">
        <f t="shared" si="87"/>
        <v>10</v>
      </c>
      <c r="AI103" s="5">
        <f t="shared" si="87"/>
        <v>11</v>
      </c>
      <c r="AJ103" s="5">
        <f t="shared" si="87"/>
        <v>12</v>
      </c>
      <c r="AK103" s="4"/>
      <c r="AL103" s="4"/>
      <c r="AM103" s="3"/>
      <c r="AN103" s="3"/>
      <c r="AO103" s="3"/>
      <c r="AP103" s="3"/>
      <c r="AQ103" s="3"/>
      <c r="AR103" s="3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</row>
    <row r="104" spans="1:84" hidden="1" x14ac:dyDescent="0.25">
      <c r="A104" t="s">
        <v>59</v>
      </c>
      <c r="B104" s="139">
        <v>18</v>
      </c>
      <c r="C104" s="139">
        <v>2</v>
      </c>
      <c r="D104" s="139" t="str">
        <f t="shared" si="74"/>
        <v>TRANSFER_WEST_Q_1_18</v>
      </c>
      <c r="E104" s="139" t="s">
        <v>21</v>
      </c>
      <c r="F104" s="138" t="s">
        <v>21</v>
      </c>
      <c r="G104" s="140" t="s">
        <v>19</v>
      </c>
      <c r="H104" s="140" t="s">
        <v>59</v>
      </c>
      <c r="I104" s="140">
        <v>1</v>
      </c>
      <c r="J104" s="139"/>
      <c r="K104" s="184">
        <f>COUNT(Y104:AV104)</f>
        <v>14</v>
      </c>
      <c r="L104" s="139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101"/>
      <c r="Y104" s="82">
        <v>1</v>
      </c>
      <c r="Z104" s="5">
        <f t="shared" si="87"/>
        <v>2</v>
      </c>
      <c r="AA104" s="5">
        <f t="shared" si="87"/>
        <v>3</v>
      </c>
      <c r="AB104" s="5">
        <f t="shared" si="87"/>
        <v>4</v>
      </c>
      <c r="AC104" s="5">
        <f t="shared" si="87"/>
        <v>5</v>
      </c>
      <c r="AD104" s="64">
        <f t="shared" si="87"/>
        <v>6</v>
      </c>
      <c r="AE104" s="179">
        <f t="shared" si="87"/>
        <v>7</v>
      </c>
      <c r="AF104" s="5">
        <f t="shared" si="87"/>
        <v>8</v>
      </c>
      <c r="AG104" s="5">
        <f t="shared" si="87"/>
        <v>9</v>
      </c>
      <c r="AH104" s="5">
        <f t="shared" si="87"/>
        <v>10</v>
      </c>
      <c r="AI104" s="5">
        <f t="shared" si="87"/>
        <v>11</v>
      </c>
      <c r="AJ104" s="5">
        <f t="shared" si="87"/>
        <v>12</v>
      </c>
      <c r="AK104" s="5">
        <f>AJ104+1</f>
        <v>13</v>
      </c>
      <c r="AL104" s="5">
        <f t="shared" ref="AL104:AO107" si="88">AK104+1</f>
        <v>14</v>
      </c>
      <c r="AM104" s="4"/>
      <c r="AN104" s="4"/>
      <c r="AO104" s="3"/>
      <c r="AP104" s="3"/>
      <c r="AQ104" s="3"/>
      <c r="AR104" s="3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</row>
    <row r="105" spans="1:84" x14ac:dyDescent="0.25">
      <c r="A105" t="s">
        <v>59</v>
      </c>
      <c r="B105" s="139">
        <v>18</v>
      </c>
      <c r="C105" s="139">
        <v>3</v>
      </c>
      <c r="D105" s="139" t="str">
        <f t="shared" si="74"/>
        <v>PREPARE_WEST_Q_1_18</v>
      </c>
      <c r="E105" s="139" t="s">
        <v>0</v>
      </c>
      <c r="F105" s="138" t="s">
        <v>46</v>
      </c>
      <c r="G105" s="140" t="s">
        <v>19</v>
      </c>
      <c r="H105" s="140" t="s">
        <v>59</v>
      </c>
      <c r="I105" s="140">
        <v>1</v>
      </c>
      <c r="J105" s="139"/>
      <c r="K105" s="184">
        <f>COUNT(M105:AV105)</f>
        <v>29</v>
      </c>
      <c r="L105" s="139"/>
      <c r="M105" s="5">
        <v>1</v>
      </c>
      <c r="N105" s="5">
        <f t="shared" ref="N105:Y105" si="89">M105+1</f>
        <v>2</v>
      </c>
      <c r="O105" s="5">
        <f t="shared" si="89"/>
        <v>3</v>
      </c>
      <c r="P105" s="5">
        <f t="shared" si="89"/>
        <v>4</v>
      </c>
      <c r="Q105" s="5">
        <f t="shared" si="89"/>
        <v>5</v>
      </c>
      <c r="R105" s="5">
        <f t="shared" si="89"/>
        <v>6</v>
      </c>
      <c r="S105" s="5">
        <f t="shared" si="89"/>
        <v>7</v>
      </c>
      <c r="T105" s="5">
        <f t="shared" si="89"/>
        <v>8</v>
      </c>
      <c r="U105" s="5">
        <f t="shared" si="89"/>
        <v>9</v>
      </c>
      <c r="V105" s="5">
        <f t="shared" si="89"/>
        <v>10</v>
      </c>
      <c r="W105" s="5">
        <f t="shared" si="89"/>
        <v>11</v>
      </c>
      <c r="X105" s="178">
        <f t="shared" si="89"/>
        <v>12</v>
      </c>
      <c r="Y105" s="82">
        <f t="shared" si="89"/>
        <v>13</v>
      </c>
      <c r="Z105" s="5">
        <f t="shared" si="87"/>
        <v>14</v>
      </c>
      <c r="AA105" s="5">
        <f t="shared" si="87"/>
        <v>15</v>
      </c>
      <c r="AB105" s="5">
        <f t="shared" si="87"/>
        <v>16</v>
      </c>
      <c r="AC105" s="5">
        <f t="shared" si="87"/>
        <v>17</v>
      </c>
      <c r="AD105" s="64">
        <f t="shared" si="87"/>
        <v>18</v>
      </c>
      <c r="AE105" s="179">
        <f t="shared" si="87"/>
        <v>19</v>
      </c>
      <c r="AF105" s="5">
        <f t="shared" si="87"/>
        <v>20</v>
      </c>
      <c r="AG105" s="5">
        <f t="shared" si="87"/>
        <v>21</v>
      </c>
      <c r="AH105" s="5">
        <f t="shared" si="87"/>
        <v>22</v>
      </c>
      <c r="AI105" s="5">
        <f t="shared" si="87"/>
        <v>23</v>
      </c>
      <c r="AJ105" s="5">
        <f t="shared" si="87"/>
        <v>24</v>
      </c>
      <c r="AK105" s="5">
        <f t="shared" si="87"/>
        <v>25</v>
      </c>
      <c r="AL105" s="5">
        <f t="shared" si="88"/>
        <v>26</v>
      </c>
      <c r="AM105" s="5">
        <f t="shared" si="88"/>
        <v>27</v>
      </c>
      <c r="AN105" s="5">
        <f t="shared" si="88"/>
        <v>28</v>
      </c>
      <c r="AO105" s="5">
        <f t="shared" si="88"/>
        <v>29</v>
      </c>
      <c r="AP105" s="4"/>
      <c r="AQ105" s="4"/>
      <c r="AR105" s="3"/>
      <c r="AS105" s="3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</row>
    <row r="106" spans="1:84" x14ac:dyDescent="0.25">
      <c r="A106" t="s">
        <v>59</v>
      </c>
      <c r="B106" s="139">
        <v>18</v>
      </c>
      <c r="C106" s="139">
        <v>4</v>
      </c>
      <c r="D106" s="139" t="str">
        <f t="shared" si="74"/>
        <v>SUPPLY_WEST_Q_1_18</v>
      </c>
      <c r="E106" s="139" t="s">
        <v>0</v>
      </c>
      <c r="F106" s="142" t="s">
        <v>0</v>
      </c>
      <c r="G106" s="140" t="s">
        <v>19</v>
      </c>
      <c r="H106" s="140" t="s">
        <v>59</v>
      </c>
      <c r="I106" s="140">
        <v>1</v>
      </c>
      <c r="J106" s="141"/>
      <c r="K106" s="184">
        <f>COUNT(AE106:BN106)</f>
        <v>13</v>
      </c>
      <c r="L106" s="13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90"/>
      <c r="Y106" s="191"/>
      <c r="Z106" s="189"/>
      <c r="AA106" s="189"/>
      <c r="AB106" s="189"/>
      <c r="AC106" s="189"/>
      <c r="AD106" s="192"/>
      <c r="AE106" s="131">
        <v>1</v>
      </c>
      <c r="AF106" s="1">
        <f t="shared" si="87"/>
        <v>2</v>
      </c>
      <c r="AG106" s="1">
        <f t="shared" si="87"/>
        <v>3</v>
      </c>
      <c r="AH106" s="1">
        <f t="shared" si="87"/>
        <v>4</v>
      </c>
      <c r="AI106" s="1">
        <f t="shared" si="87"/>
        <v>5</v>
      </c>
      <c r="AJ106" s="1">
        <f t="shared" si="87"/>
        <v>6</v>
      </c>
      <c r="AK106" s="1">
        <f t="shared" si="87"/>
        <v>7</v>
      </c>
      <c r="AL106" s="1">
        <f t="shared" si="88"/>
        <v>8</v>
      </c>
      <c r="AM106" s="1">
        <f t="shared" si="88"/>
        <v>9</v>
      </c>
      <c r="AN106" s="1">
        <f t="shared" si="88"/>
        <v>10</v>
      </c>
      <c r="AO106" s="1">
        <f>AN106+1</f>
        <v>11</v>
      </c>
      <c r="AP106" s="1">
        <f t="shared" ref="AP106:BE107" si="90">AO106+1</f>
        <v>12</v>
      </c>
      <c r="AQ106" s="1">
        <f t="shared" si="90"/>
        <v>13</v>
      </c>
      <c r="AR106" s="4"/>
      <c r="AS106" s="185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3"/>
      <c r="BG106" s="3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</row>
    <row r="107" spans="1:84" x14ac:dyDescent="0.25">
      <c r="A107" t="s">
        <v>59</v>
      </c>
      <c r="B107" s="139">
        <v>18</v>
      </c>
      <c r="C107" s="140">
        <v>5</v>
      </c>
      <c r="D107" s="139" t="str">
        <f t="shared" si="74"/>
        <v>EMPTY_WEST_Q_1_18</v>
      </c>
      <c r="E107" s="140" t="s">
        <v>0</v>
      </c>
      <c r="F107" s="142" t="s">
        <v>32</v>
      </c>
      <c r="G107" s="140" t="s">
        <v>19</v>
      </c>
      <c r="H107" s="140" t="s">
        <v>59</v>
      </c>
      <c r="I107" s="140">
        <v>1</v>
      </c>
      <c r="J107" s="143"/>
      <c r="K107" s="184">
        <f>COUNT(AE107:BN107)</f>
        <v>27</v>
      </c>
      <c r="L107" s="140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90"/>
      <c r="Y107" s="191"/>
      <c r="Z107" s="189"/>
      <c r="AA107" s="189"/>
      <c r="AB107" s="189"/>
      <c r="AC107" s="189"/>
      <c r="AD107" s="192"/>
      <c r="AE107" s="131">
        <v>1</v>
      </c>
      <c r="AF107" s="1">
        <f t="shared" si="87"/>
        <v>2</v>
      </c>
      <c r="AG107" s="1">
        <f t="shared" si="87"/>
        <v>3</v>
      </c>
      <c r="AH107" s="1">
        <f t="shared" si="87"/>
        <v>4</v>
      </c>
      <c r="AI107" s="1">
        <f t="shared" si="87"/>
        <v>5</v>
      </c>
      <c r="AJ107" s="1">
        <f t="shared" si="87"/>
        <v>6</v>
      </c>
      <c r="AK107" s="1">
        <f t="shared" si="87"/>
        <v>7</v>
      </c>
      <c r="AL107" s="1">
        <f t="shared" si="88"/>
        <v>8</v>
      </c>
      <c r="AM107" s="1">
        <f t="shared" si="88"/>
        <v>9</v>
      </c>
      <c r="AN107" s="1">
        <f t="shared" si="88"/>
        <v>10</v>
      </c>
      <c r="AO107" s="1">
        <f t="shared" si="88"/>
        <v>11</v>
      </c>
      <c r="AP107" s="1">
        <f t="shared" si="90"/>
        <v>12</v>
      </c>
      <c r="AQ107" s="1">
        <f t="shared" si="90"/>
        <v>13</v>
      </c>
      <c r="AR107" s="1">
        <f t="shared" si="90"/>
        <v>14</v>
      </c>
      <c r="AS107" s="1">
        <f t="shared" si="90"/>
        <v>15</v>
      </c>
      <c r="AT107" s="1">
        <f t="shared" si="90"/>
        <v>16</v>
      </c>
      <c r="AU107" s="1">
        <f t="shared" si="90"/>
        <v>17</v>
      </c>
      <c r="AV107" s="1">
        <f t="shared" si="90"/>
        <v>18</v>
      </c>
      <c r="AW107" s="1">
        <f t="shared" si="90"/>
        <v>19</v>
      </c>
      <c r="AX107" s="1">
        <f t="shared" si="90"/>
        <v>20</v>
      </c>
      <c r="AY107" s="1">
        <f t="shared" si="90"/>
        <v>21</v>
      </c>
      <c r="AZ107" s="1">
        <f t="shared" si="90"/>
        <v>22</v>
      </c>
      <c r="BA107" s="1">
        <f t="shared" si="90"/>
        <v>23</v>
      </c>
      <c r="BB107" s="1">
        <f t="shared" si="90"/>
        <v>24</v>
      </c>
      <c r="BC107" s="1">
        <f t="shared" si="90"/>
        <v>25</v>
      </c>
      <c r="BD107" s="1">
        <f t="shared" si="90"/>
        <v>26</v>
      </c>
      <c r="BE107" s="1">
        <f t="shared" si="90"/>
        <v>27</v>
      </c>
      <c r="BF107" s="189"/>
      <c r="BG107" s="4"/>
      <c r="BH107" s="3"/>
      <c r="BI107" s="3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</row>
    <row r="108" spans="1:84" hidden="1" x14ac:dyDescent="0.25">
      <c r="A108" t="s">
        <v>59</v>
      </c>
      <c r="B108" s="139">
        <v>18</v>
      </c>
      <c r="C108" s="140">
        <v>6</v>
      </c>
      <c r="D108" s="139" t="str">
        <f t="shared" si="74"/>
        <v>COUNTDOWN_WEST_Q_1_18</v>
      </c>
      <c r="E108" s="140"/>
      <c r="F108" s="142" t="s">
        <v>33</v>
      </c>
      <c r="G108" s="140" t="s">
        <v>19</v>
      </c>
      <c r="H108" s="140" t="s">
        <v>59</v>
      </c>
      <c r="I108" s="140">
        <v>1</v>
      </c>
      <c r="J108" s="144"/>
      <c r="K108" s="144"/>
      <c r="L108" s="140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178"/>
      <c r="Y108" s="82"/>
      <c r="Z108" s="5"/>
      <c r="AA108" s="5"/>
      <c r="AB108" s="5"/>
      <c r="AC108" s="5"/>
      <c r="AD108" s="64"/>
      <c r="AE108" s="179"/>
      <c r="AF108" s="5"/>
      <c r="AG108" s="5"/>
      <c r="AH108" s="5"/>
      <c r="AI108" s="5"/>
      <c r="AJ108" s="5"/>
      <c r="AK108" s="6"/>
      <c r="AL108" s="6"/>
      <c r="AM108" s="46"/>
      <c r="AN108" s="46"/>
      <c r="AO108" s="56"/>
      <c r="AP108" s="56"/>
      <c r="AQ108" s="93"/>
      <c r="AR108" s="93"/>
      <c r="AS108" s="93"/>
      <c r="AT108" s="93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</row>
    <row r="109" spans="1:84" hidden="1" x14ac:dyDescent="0.25">
      <c r="A109" t="s">
        <v>7</v>
      </c>
      <c r="B109" s="139">
        <v>19</v>
      </c>
      <c r="C109" s="139">
        <v>1</v>
      </c>
      <c r="D109" s="139" t="str">
        <f t="shared" si="74"/>
        <v>SORTING_WEST_F_2_18</v>
      </c>
      <c r="E109" s="139" t="s">
        <v>35</v>
      </c>
      <c r="F109" s="138" t="s">
        <v>45</v>
      </c>
      <c r="G109" s="140" t="s">
        <v>19</v>
      </c>
      <c r="H109" s="140" t="s">
        <v>7</v>
      </c>
      <c r="I109" s="140">
        <v>2</v>
      </c>
      <c r="J109" s="139"/>
      <c r="K109" s="184">
        <f>COUNT(Y109:AV109)</f>
        <v>14</v>
      </c>
      <c r="L109" s="139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101"/>
      <c r="Y109" s="82">
        <v>1</v>
      </c>
      <c r="Z109" s="5">
        <f t="shared" ref="Z109:AN110" si="91">Y109+1</f>
        <v>2</v>
      </c>
      <c r="AA109" s="5">
        <f t="shared" si="91"/>
        <v>3</v>
      </c>
      <c r="AB109" s="5">
        <f t="shared" si="91"/>
        <v>4</v>
      </c>
      <c r="AC109" s="5">
        <f t="shared" si="91"/>
        <v>5</v>
      </c>
      <c r="AD109" s="64">
        <f t="shared" si="91"/>
        <v>6</v>
      </c>
      <c r="AE109" s="179">
        <f t="shared" si="91"/>
        <v>7</v>
      </c>
      <c r="AF109" s="5">
        <f t="shared" si="91"/>
        <v>8</v>
      </c>
      <c r="AG109" s="5">
        <f t="shared" si="91"/>
        <v>9</v>
      </c>
      <c r="AH109" s="5">
        <f t="shared" si="91"/>
        <v>10</v>
      </c>
      <c r="AI109" s="5">
        <f t="shared" si="91"/>
        <v>11</v>
      </c>
      <c r="AJ109" s="5">
        <f t="shared" si="91"/>
        <v>12</v>
      </c>
      <c r="AK109" s="5">
        <f t="shared" si="91"/>
        <v>13</v>
      </c>
      <c r="AL109" s="5">
        <f t="shared" si="91"/>
        <v>14</v>
      </c>
      <c r="AM109" s="4"/>
      <c r="AN109" s="4"/>
      <c r="AO109" s="3"/>
      <c r="AP109" s="3"/>
      <c r="AQ109" s="3"/>
      <c r="AR109" s="3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</row>
    <row r="110" spans="1:84" hidden="1" x14ac:dyDescent="0.25">
      <c r="A110" t="s">
        <v>7</v>
      </c>
      <c r="B110" s="139">
        <v>19</v>
      </c>
      <c r="C110" s="139">
        <v>2</v>
      </c>
      <c r="D110" s="139" t="str">
        <f t="shared" si="74"/>
        <v>TRANSFER_WEST_F_2_18</v>
      </c>
      <c r="E110" s="139" t="s">
        <v>21</v>
      </c>
      <c r="F110" s="138" t="s">
        <v>21</v>
      </c>
      <c r="G110" s="140" t="s">
        <v>19</v>
      </c>
      <c r="H110" s="140" t="s">
        <v>7</v>
      </c>
      <c r="I110" s="140">
        <v>2</v>
      </c>
      <c r="J110" s="139"/>
      <c r="K110" s="184">
        <f>COUNT(Y110:AV110)</f>
        <v>16</v>
      </c>
      <c r="L110" s="139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101"/>
      <c r="Y110" s="82">
        <v>1</v>
      </c>
      <c r="Z110" s="5">
        <f t="shared" si="91"/>
        <v>2</v>
      </c>
      <c r="AA110" s="5">
        <f t="shared" si="91"/>
        <v>3</v>
      </c>
      <c r="AB110" s="5">
        <f t="shared" si="91"/>
        <v>4</v>
      </c>
      <c r="AC110" s="5">
        <f t="shared" si="91"/>
        <v>5</v>
      </c>
      <c r="AD110" s="64">
        <f t="shared" si="91"/>
        <v>6</v>
      </c>
      <c r="AE110" s="179">
        <f t="shared" si="91"/>
        <v>7</v>
      </c>
      <c r="AF110" s="5">
        <f t="shared" si="91"/>
        <v>8</v>
      </c>
      <c r="AG110" s="5">
        <f t="shared" si="91"/>
        <v>9</v>
      </c>
      <c r="AH110" s="5">
        <f t="shared" si="91"/>
        <v>10</v>
      </c>
      <c r="AI110" s="5">
        <f t="shared" si="91"/>
        <v>11</v>
      </c>
      <c r="AJ110" s="5">
        <f t="shared" si="91"/>
        <v>12</v>
      </c>
      <c r="AK110" s="5">
        <f>AJ110+1</f>
        <v>13</v>
      </c>
      <c r="AL110" s="5">
        <f t="shared" si="91"/>
        <v>14</v>
      </c>
      <c r="AM110" s="5">
        <f t="shared" si="91"/>
        <v>15</v>
      </c>
      <c r="AN110" s="5">
        <f t="shared" si="91"/>
        <v>16</v>
      </c>
      <c r="AO110" s="4"/>
      <c r="AP110" s="4"/>
      <c r="AQ110" s="3"/>
      <c r="AR110" s="3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</row>
    <row r="111" spans="1:84" x14ac:dyDescent="0.25">
      <c r="A111" t="s">
        <v>7</v>
      </c>
      <c r="B111" s="139">
        <v>19</v>
      </c>
      <c r="C111" s="139">
        <v>3</v>
      </c>
      <c r="D111" s="139" t="str">
        <f t="shared" si="74"/>
        <v>PREPARE_WEST_F_2_18</v>
      </c>
      <c r="E111" s="139" t="s">
        <v>0</v>
      </c>
      <c r="F111" s="138" t="s">
        <v>46</v>
      </c>
      <c r="G111" s="140" t="s">
        <v>19</v>
      </c>
      <c r="H111" s="140" t="s">
        <v>7</v>
      </c>
      <c r="I111" s="140">
        <v>2</v>
      </c>
      <c r="J111" s="139"/>
      <c r="K111" s="184">
        <f>COUNT(M111:AV111)</f>
        <v>31</v>
      </c>
      <c r="L111" s="139"/>
      <c r="M111" s="5">
        <v>1</v>
      </c>
      <c r="N111" s="5">
        <f t="shared" ref="N111:AQ113" si="92">M111+1</f>
        <v>2</v>
      </c>
      <c r="O111" s="5">
        <f t="shared" si="92"/>
        <v>3</v>
      </c>
      <c r="P111" s="5">
        <f t="shared" si="92"/>
        <v>4</v>
      </c>
      <c r="Q111" s="5">
        <f t="shared" si="92"/>
        <v>5</v>
      </c>
      <c r="R111" s="5">
        <f t="shared" si="92"/>
        <v>6</v>
      </c>
      <c r="S111" s="5">
        <f t="shared" si="92"/>
        <v>7</v>
      </c>
      <c r="T111" s="5">
        <f t="shared" si="92"/>
        <v>8</v>
      </c>
      <c r="U111" s="5">
        <f t="shared" si="92"/>
        <v>9</v>
      </c>
      <c r="V111" s="5">
        <f t="shared" si="92"/>
        <v>10</v>
      </c>
      <c r="W111" s="5">
        <f t="shared" si="92"/>
        <v>11</v>
      </c>
      <c r="X111" s="178">
        <f t="shared" si="92"/>
        <v>12</v>
      </c>
      <c r="Y111" s="82">
        <f t="shared" si="92"/>
        <v>13</v>
      </c>
      <c r="Z111" s="5">
        <f t="shared" si="92"/>
        <v>14</v>
      </c>
      <c r="AA111" s="5">
        <f t="shared" si="92"/>
        <v>15</v>
      </c>
      <c r="AB111" s="5">
        <f t="shared" si="92"/>
        <v>16</v>
      </c>
      <c r="AC111" s="5">
        <f t="shared" si="92"/>
        <v>17</v>
      </c>
      <c r="AD111" s="64">
        <f t="shared" si="92"/>
        <v>18</v>
      </c>
      <c r="AE111" s="179">
        <f t="shared" si="92"/>
        <v>19</v>
      </c>
      <c r="AF111" s="5">
        <f t="shared" si="92"/>
        <v>20</v>
      </c>
      <c r="AG111" s="5">
        <f t="shared" si="92"/>
        <v>21</v>
      </c>
      <c r="AH111" s="5">
        <f t="shared" si="92"/>
        <v>22</v>
      </c>
      <c r="AI111" s="5">
        <f t="shared" si="92"/>
        <v>23</v>
      </c>
      <c r="AJ111" s="5">
        <f t="shared" si="92"/>
        <v>24</v>
      </c>
      <c r="AK111" s="5">
        <f t="shared" si="92"/>
        <v>25</v>
      </c>
      <c r="AL111" s="5">
        <f t="shared" si="92"/>
        <v>26</v>
      </c>
      <c r="AM111" s="5">
        <f t="shared" si="92"/>
        <v>27</v>
      </c>
      <c r="AN111" s="5">
        <f t="shared" si="92"/>
        <v>28</v>
      </c>
      <c r="AO111" s="5">
        <f t="shared" si="92"/>
        <v>29</v>
      </c>
      <c r="AP111" s="5">
        <f t="shared" si="92"/>
        <v>30</v>
      </c>
      <c r="AQ111" s="5">
        <f t="shared" si="92"/>
        <v>31</v>
      </c>
      <c r="AR111" s="4"/>
      <c r="AS111" s="3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</row>
    <row r="112" spans="1:84" x14ac:dyDescent="0.25">
      <c r="A112" t="s">
        <v>7</v>
      </c>
      <c r="B112" s="139">
        <v>19</v>
      </c>
      <c r="C112" s="139">
        <v>4</v>
      </c>
      <c r="D112" s="139" t="str">
        <f t="shared" si="74"/>
        <v>SUPPLY_WEST_F_2_18</v>
      </c>
      <c r="E112" s="139" t="s">
        <v>0</v>
      </c>
      <c r="F112" s="142" t="s">
        <v>0</v>
      </c>
      <c r="G112" s="140" t="s">
        <v>19</v>
      </c>
      <c r="H112" s="140" t="s">
        <v>7</v>
      </c>
      <c r="I112" s="140">
        <v>2</v>
      </c>
      <c r="J112" s="141"/>
      <c r="K112" s="184">
        <f>COUNT(AE112:BN112)</f>
        <v>14</v>
      </c>
      <c r="L112" s="139"/>
      <c r="M112" s="189"/>
      <c r="N112" s="189"/>
      <c r="O112" s="189"/>
      <c r="P112" s="189"/>
      <c r="Q112" s="189"/>
      <c r="R112" s="189"/>
      <c r="S112" s="189"/>
      <c r="T112" s="189"/>
      <c r="U112" s="189"/>
      <c r="V112" s="189"/>
      <c r="W112" s="189"/>
      <c r="X112" s="190"/>
      <c r="Y112" s="191"/>
      <c r="Z112" s="189"/>
      <c r="AA112" s="189"/>
      <c r="AB112" s="189"/>
      <c r="AC112" s="189"/>
      <c r="AD112" s="192"/>
      <c r="AE112" s="131">
        <v>1</v>
      </c>
      <c r="AF112" s="1">
        <f t="shared" si="92"/>
        <v>2</v>
      </c>
      <c r="AG112" s="1">
        <f t="shared" si="92"/>
        <v>3</v>
      </c>
      <c r="AH112" s="1">
        <f t="shared" si="92"/>
        <v>4</v>
      </c>
      <c r="AI112" s="1">
        <f t="shared" si="92"/>
        <v>5</v>
      </c>
      <c r="AJ112" s="1">
        <f t="shared" si="92"/>
        <v>6</v>
      </c>
      <c r="AK112" s="1">
        <f t="shared" si="92"/>
        <v>7</v>
      </c>
      <c r="AL112" s="1">
        <f t="shared" si="92"/>
        <v>8</v>
      </c>
      <c r="AM112" s="1">
        <f t="shared" si="92"/>
        <v>9</v>
      </c>
      <c r="AN112" s="1">
        <f t="shared" si="92"/>
        <v>10</v>
      </c>
      <c r="AO112" s="1">
        <f>AN112+1</f>
        <v>11</v>
      </c>
      <c r="AP112" s="1">
        <f t="shared" si="92"/>
        <v>12</v>
      </c>
      <c r="AQ112" s="1">
        <f t="shared" ref="AQ112:BG113" si="93">AP112+1</f>
        <v>13</v>
      </c>
      <c r="AR112" s="1">
        <f t="shared" si="93"/>
        <v>14</v>
      </c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97"/>
      <c r="BF112" s="97"/>
      <c r="BG112" s="97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</row>
    <row r="113" spans="1:84" x14ac:dyDescent="0.25">
      <c r="A113" t="s">
        <v>7</v>
      </c>
      <c r="B113" s="139">
        <v>19</v>
      </c>
      <c r="C113" s="140">
        <v>5</v>
      </c>
      <c r="D113" s="139" t="str">
        <f t="shared" si="74"/>
        <v>EMPTY_WEST_F_2_18</v>
      </c>
      <c r="E113" s="140" t="s">
        <v>0</v>
      </c>
      <c r="F113" s="142" t="s">
        <v>32</v>
      </c>
      <c r="G113" s="140" t="s">
        <v>19</v>
      </c>
      <c r="H113" s="140" t="s">
        <v>7</v>
      </c>
      <c r="I113" s="140">
        <v>2</v>
      </c>
      <c r="J113" s="143"/>
      <c r="K113" s="184">
        <f>COUNT(AE113:BN113)</f>
        <v>29</v>
      </c>
      <c r="L113" s="140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90"/>
      <c r="Y113" s="191"/>
      <c r="Z113" s="189"/>
      <c r="AA113" s="189"/>
      <c r="AB113" s="189"/>
      <c r="AC113" s="189"/>
      <c r="AD113" s="192"/>
      <c r="AE113" s="131">
        <v>1</v>
      </c>
      <c r="AF113" s="1">
        <f t="shared" si="92"/>
        <v>2</v>
      </c>
      <c r="AG113" s="1">
        <f t="shared" si="92"/>
        <v>3</v>
      </c>
      <c r="AH113" s="1">
        <f t="shared" si="92"/>
        <v>4</v>
      </c>
      <c r="AI113" s="1">
        <f t="shared" si="92"/>
        <v>5</v>
      </c>
      <c r="AJ113" s="1">
        <f t="shared" si="92"/>
        <v>6</v>
      </c>
      <c r="AK113" s="1">
        <f t="shared" si="92"/>
        <v>7</v>
      </c>
      <c r="AL113" s="1">
        <f t="shared" si="92"/>
        <v>8</v>
      </c>
      <c r="AM113" s="1">
        <f t="shared" si="92"/>
        <v>9</v>
      </c>
      <c r="AN113" s="1">
        <f t="shared" si="92"/>
        <v>10</v>
      </c>
      <c r="AO113" s="1">
        <f t="shared" si="92"/>
        <v>11</v>
      </c>
      <c r="AP113" s="1">
        <f t="shared" si="92"/>
        <v>12</v>
      </c>
      <c r="AQ113" s="1">
        <f t="shared" si="93"/>
        <v>13</v>
      </c>
      <c r="AR113" s="1">
        <f t="shared" si="93"/>
        <v>14</v>
      </c>
      <c r="AS113" s="1">
        <f t="shared" si="93"/>
        <v>15</v>
      </c>
      <c r="AT113" s="1">
        <f t="shared" si="93"/>
        <v>16</v>
      </c>
      <c r="AU113" s="1">
        <f t="shared" si="93"/>
        <v>17</v>
      </c>
      <c r="AV113" s="1">
        <f t="shared" si="93"/>
        <v>18</v>
      </c>
      <c r="AW113" s="1">
        <f t="shared" si="93"/>
        <v>19</v>
      </c>
      <c r="AX113" s="1">
        <f t="shared" si="93"/>
        <v>20</v>
      </c>
      <c r="AY113" s="1">
        <f t="shared" si="93"/>
        <v>21</v>
      </c>
      <c r="AZ113" s="1">
        <f t="shared" si="93"/>
        <v>22</v>
      </c>
      <c r="BA113" s="1">
        <f t="shared" si="93"/>
        <v>23</v>
      </c>
      <c r="BB113" s="1">
        <f t="shared" si="93"/>
        <v>24</v>
      </c>
      <c r="BC113" s="1">
        <f t="shared" si="93"/>
        <v>25</v>
      </c>
      <c r="BD113" s="1">
        <f t="shared" si="93"/>
        <v>26</v>
      </c>
      <c r="BE113" s="1">
        <f t="shared" si="93"/>
        <v>27</v>
      </c>
      <c r="BF113" s="1">
        <f t="shared" si="93"/>
        <v>28</v>
      </c>
      <c r="BG113" s="1">
        <f t="shared" si="93"/>
        <v>29</v>
      </c>
      <c r="BH113" s="46"/>
      <c r="BI113" s="4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</row>
    <row r="114" spans="1:84" hidden="1" x14ac:dyDescent="0.25">
      <c r="A114" t="s">
        <v>7</v>
      </c>
      <c r="B114" s="139">
        <v>19</v>
      </c>
      <c r="C114" s="140">
        <v>6</v>
      </c>
      <c r="D114" s="139" t="str">
        <f t="shared" si="74"/>
        <v>COUNTDOWN_WEST_F_2_18</v>
      </c>
      <c r="E114" s="140"/>
      <c r="F114" s="142" t="s">
        <v>33</v>
      </c>
      <c r="G114" s="140" t="s">
        <v>19</v>
      </c>
      <c r="H114" s="140" t="s">
        <v>7</v>
      </c>
      <c r="I114" s="140">
        <v>2</v>
      </c>
      <c r="J114" s="144"/>
      <c r="K114" s="144"/>
      <c r="L114" s="140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178"/>
      <c r="Y114" s="82"/>
      <c r="Z114" s="5"/>
      <c r="AA114" s="5"/>
      <c r="AB114" s="5"/>
      <c r="AC114" s="5"/>
      <c r="AD114" s="64"/>
      <c r="AE114" s="179"/>
      <c r="AF114" s="5"/>
      <c r="AG114" s="5"/>
      <c r="AH114" s="5"/>
      <c r="AI114" s="5"/>
      <c r="AJ114" s="5"/>
      <c r="AK114" s="5"/>
      <c r="AL114" s="5"/>
      <c r="AM114" s="6"/>
      <c r="AN114" s="6"/>
      <c r="AO114" s="46"/>
      <c r="AP114" s="46"/>
      <c r="AQ114" s="56"/>
      <c r="AR114" s="56"/>
      <c r="AS114" s="93"/>
      <c r="AT114" s="93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</row>
    <row r="115" spans="1:84" hidden="1" x14ac:dyDescent="0.25">
      <c r="A115" t="s">
        <v>14</v>
      </c>
      <c r="B115" s="139">
        <v>20</v>
      </c>
      <c r="C115" s="139">
        <v>1</v>
      </c>
      <c r="D115" s="139" t="str">
        <f t="shared" si="74"/>
        <v>SORTING_WEST_M_1_18</v>
      </c>
      <c r="E115" s="139" t="s">
        <v>35</v>
      </c>
      <c r="F115" s="138" t="s">
        <v>45</v>
      </c>
      <c r="G115" s="140" t="s">
        <v>19</v>
      </c>
      <c r="H115" s="140" t="s">
        <v>14</v>
      </c>
      <c r="I115" s="140">
        <v>1</v>
      </c>
      <c r="J115" s="139"/>
      <c r="K115" s="184">
        <f>COUNT(Y115:AV115)</f>
        <v>16</v>
      </c>
      <c r="L115" s="139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101"/>
      <c r="Y115" s="82">
        <v>1</v>
      </c>
      <c r="Z115" s="5">
        <f t="shared" ref="Z115:AO116" si="94">Y115+1</f>
        <v>2</v>
      </c>
      <c r="AA115" s="5">
        <f t="shared" si="94"/>
        <v>3</v>
      </c>
      <c r="AB115" s="5">
        <f t="shared" si="94"/>
        <v>4</v>
      </c>
      <c r="AC115" s="5">
        <f t="shared" si="94"/>
        <v>5</v>
      </c>
      <c r="AD115" s="64">
        <f t="shared" si="94"/>
        <v>6</v>
      </c>
      <c r="AE115" s="179">
        <f t="shared" si="94"/>
        <v>7</v>
      </c>
      <c r="AF115" s="5">
        <f t="shared" si="94"/>
        <v>8</v>
      </c>
      <c r="AG115" s="5">
        <f t="shared" si="94"/>
        <v>9</v>
      </c>
      <c r="AH115" s="5">
        <f t="shared" si="94"/>
        <v>10</v>
      </c>
      <c r="AI115" s="5">
        <f t="shared" si="94"/>
        <v>11</v>
      </c>
      <c r="AJ115" s="5">
        <f t="shared" si="94"/>
        <v>12</v>
      </c>
      <c r="AK115" s="5">
        <f t="shared" si="94"/>
        <v>13</v>
      </c>
      <c r="AL115" s="5">
        <f t="shared" si="94"/>
        <v>14</v>
      </c>
      <c r="AM115" s="5">
        <f t="shared" si="94"/>
        <v>15</v>
      </c>
      <c r="AN115" s="5">
        <f t="shared" si="94"/>
        <v>16</v>
      </c>
      <c r="AO115" s="4"/>
      <c r="AP115" s="4"/>
      <c r="AQ115" s="3"/>
      <c r="AR115" s="3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</row>
    <row r="116" spans="1:84" hidden="1" x14ac:dyDescent="0.25">
      <c r="A116" t="s">
        <v>14</v>
      </c>
      <c r="B116" s="139">
        <v>20</v>
      </c>
      <c r="C116" s="139">
        <v>2</v>
      </c>
      <c r="D116" s="139" t="str">
        <f t="shared" si="74"/>
        <v>TRANSFER_WEST_M_1_18</v>
      </c>
      <c r="E116" s="139" t="s">
        <v>21</v>
      </c>
      <c r="F116" s="138" t="s">
        <v>21</v>
      </c>
      <c r="G116" s="140" t="s">
        <v>19</v>
      </c>
      <c r="H116" s="140" t="s">
        <v>14</v>
      </c>
      <c r="I116" s="140">
        <v>1</v>
      </c>
      <c r="J116" s="139"/>
      <c r="K116" s="184">
        <f>COUNT(Y116:AV116)</f>
        <v>18</v>
      </c>
      <c r="L116" s="139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101"/>
      <c r="Y116" s="82">
        <v>1</v>
      </c>
      <c r="Z116" s="5">
        <f t="shared" si="94"/>
        <v>2</v>
      </c>
      <c r="AA116" s="5">
        <f t="shared" si="94"/>
        <v>3</v>
      </c>
      <c r="AB116" s="5">
        <f t="shared" si="94"/>
        <v>4</v>
      </c>
      <c r="AC116" s="5">
        <f t="shared" si="94"/>
        <v>5</v>
      </c>
      <c r="AD116" s="64">
        <f t="shared" si="94"/>
        <v>6</v>
      </c>
      <c r="AE116" s="179">
        <f t="shared" si="94"/>
        <v>7</v>
      </c>
      <c r="AF116" s="5">
        <f t="shared" si="94"/>
        <v>8</v>
      </c>
      <c r="AG116" s="5">
        <f t="shared" si="94"/>
        <v>9</v>
      </c>
      <c r="AH116" s="5">
        <f t="shared" si="94"/>
        <v>10</v>
      </c>
      <c r="AI116" s="5">
        <f t="shared" si="94"/>
        <v>11</v>
      </c>
      <c r="AJ116" s="5">
        <f t="shared" si="94"/>
        <v>12</v>
      </c>
      <c r="AK116" s="5">
        <f>AJ116+1</f>
        <v>13</v>
      </c>
      <c r="AL116" s="5">
        <f t="shared" si="94"/>
        <v>14</v>
      </c>
      <c r="AM116" s="5">
        <f t="shared" si="94"/>
        <v>15</v>
      </c>
      <c r="AN116" s="5">
        <f t="shared" si="94"/>
        <v>16</v>
      </c>
      <c r="AO116" s="5">
        <f t="shared" si="94"/>
        <v>17</v>
      </c>
      <c r="AP116" s="5">
        <f t="shared" ref="AP116" si="95">AO116+1</f>
        <v>18</v>
      </c>
      <c r="AQ116" s="4"/>
      <c r="AR116" s="4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</row>
    <row r="117" spans="1:84" x14ac:dyDescent="0.25">
      <c r="A117" t="s">
        <v>14</v>
      </c>
      <c r="B117" s="139">
        <v>20</v>
      </c>
      <c r="C117" s="139">
        <v>3</v>
      </c>
      <c r="D117" s="139" t="str">
        <f t="shared" si="74"/>
        <v>PREPARE_WEST_M_1_18</v>
      </c>
      <c r="E117" s="139" t="s">
        <v>0</v>
      </c>
      <c r="F117" s="138" t="s">
        <v>46</v>
      </c>
      <c r="G117" s="140" t="s">
        <v>19</v>
      </c>
      <c r="H117" s="140" t="s">
        <v>14</v>
      </c>
      <c r="I117" s="140">
        <v>1</v>
      </c>
      <c r="J117" s="139"/>
      <c r="K117" s="184">
        <f>COUNT(M117:AV117)</f>
        <v>33</v>
      </c>
      <c r="L117" s="139"/>
      <c r="M117" s="5">
        <v>1</v>
      </c>
      <c r="N117" s="5">
        <f t="shared" ref="N117:AS119" si="96">M117+1</f>
        <v>2</v>
      </c>
      <c r="O117" s="5">
        <f t="shared" si="96"/>
        <v>3</v>
      </c>
      <c r="P117" s="5">
        <f t="shared" si="96"/>
        <v>4</v>
      </c>
      <c r="Q117" s="5">
        <f t="shared" si="96"/>
        <v>5</v>
      </c>
      <c r="R117" s="5">
        <f t="shared" si="96"/>
        <v>6</v>
      </c>
      <c r="S117" s="5">
        <f t="shared" si="96"/>
        <v>7</v>
      </c>
      <c r="T117" s="5">
        <f t="shared" si="96"/>
        <v>8</v>
      </c>
      <c r="U117" s="5">
        <f t="shared" si="96"/>
        <v>9</v>
      </c>
      <c r="V117" s="5">
        <f t="shared" si="96"/>
        <v>10</v>
      </c>
      <c r="W117" s="5">
        <f t="shared" si="96"/>
        <v>11</v>
      </c>
      <c r="X117" s="178">
        <f t="shared" si="96"/>
        <v>12</v>
      </c>
      <c r="Y117" s="82">
        <f t="shared" si="96"/>
        <v>13</v>
      </c>
      <c r="Z117" s="5">
        <f t="shared" si="96"/>
        <v>14</v>
      </c>
      <c r="AA117" s="5">
        <f t="shared" si="96"/>
        <v>15</v>
      </c>
      <c r="AB117" s="5">
        <f t="shared" si="96"/>
        <v>16</v>
      </c>
      <c r="AC117" s="5">
        <f t="shared" si="96"/>
        <v>17</v>
      </c>
      <c r="AD117" s="64">
        <f t="shared" si="96"/>
        <v>18</v>
      </c>
      <c r="AE117" s="179">
        <f t="shared" si="96"/>
        <v>19</v>
      </c>
      <c r="AF117" s="5">
        <f t="shared" si="96"/>
        <v>20</v>
      </c>
      <c r="AG117" s="5">
        <f t="shared" si="96"/>
        <v>21</v>
      </c>
      <c r="AH117" s="5">
        <f t="shared" si="96"/>
        <v>22</v>
      </c>
      <c r="AI117" s="5">
        <f t="shared" si="96"/>
        <v>23</v>
      </c>
      <c r="AJ117" s="5">
        <f t="shared" si="96"/>
        <v>24</v>
      </c>
      <c r="AK117" s="5">
        <f t="shared" si="96"/>
        <v>25</v>
      </c>
      <c r="AL117" s="5">
        <f t="shared" si="96"/>
        <v>26</v>
      </c>
      <c r="AM117" s="5">
        <f t="shared" si="96"/>
        <v>27</v>
      </c>
      <c r="AN117" s="5">
        <f t="shared" si="96"/>
        <v>28</v>
      </c>
      <c r="AO117" s="5">
        <f t="shared" si="96"/>
        <v>29</v>
      </c>
      <c r="AP117" s="5">
        <f t="shared" si="96"/>
        <v>30</v>
      </c>
      <c r="AQ117" s="5">
        <f t="shared" si="96"/>
        <v>31</v>
      </c>
      <c r="AR117" s="5">
        <f t="shared" si="96"/>
        <v>32</v>
      </c>
      <c r="AS117" s="5">
        <f t="shared" si="96"/>
        <v>33</v>
      </c>
      <c r="AT117" s="4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</row>
    <row r="118" spans="1:84" x14ac:dyDescent="0.25">
      <c r="A118" t="s">
        <v>14</v>
      </c>
      <c r="B118" s="139">
        <v>20</v>
      </c>
      <c r="C118" s="139">
        <v>4</v>
      </c>
      <c r="D118" s="139" t="str">
        <f t="shared" si="74"/>
        <v>SUPPLY_WEST_M_1_18</v>
      </c>
      <c r="E118" s="139" t="s">
        <v>0</v>
      </c>
      <c r="F118" s="142" t="s">
        <v>0</v>
      </c>
      <c r="G118" s="140" t="s">
        <v>19</v>
      </c>
      <c r="H118" s="140" t="s">
        <v>14</v>
      </c>
      <c r="I118" s="140">
        <v>1</v>
      </c>
      <c r="J118" s="141"/>
      <c r="K118" s="184">
        <f>COUNT(AE118:BN118)</f>
        <v>16</v>
      </c>
      <c r="L118" s="139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  <c r="W118" s="189"/>
      <c r="X118" s="190"/>
      <c r="Y118" s="191"/>
      <c r="Z118" s="189"/>
      <c r="AA118" s="189"/>
      <c r="AB118" s="189"/>
      <c r="AC118" s="189"/>
      <c r="AD118" s="192"/>
      <c r="AE118" s="131">
        <v>1</v>
      </c>
      <c r="AF118" s="1">
        <f t="shared" si="96"/>
        <v>2</v>
      </c>
      <c r="AG118" s="1">
        <f t="shared" si="96"/>
        <v>3</v>
      </c>
      <c r="AH118" s="1">
        <f t="shared" si="96"/>
        <v>4</v>
      </c>
      <c r="AI118" s="1">
        <f t="shared" si="96"/>
        <v>5</v>
      </c>
      <c r="AJ118" s="1">
        <f t="shared" si="96"/>
        <v>6</v>
      </c>
      <c r="AK118" s="1">
        <f t="shared" si="96"/>
        <v>7</v>
      </c>
      <c r="AL118" s="1">
        <f t="shared" si="96"/>
        <v>8</v>
      </c>
      <c r="AM118" s="1">
        <f t="shared" si="96"/>
        <v>9</v>
      </c>
      <c r="AN118" s="1">
        <f t="shared" si="96"/>
        <v>10</v>
      </c>
      <c r="AO118" s="1">
        <f>AN118+1</f>
        <v>11</v>
      </c>
      <c r="AP118" s="1">
        <f t="shared" si="96"/>
        <v>12</v>
      </c>
      <c r="AQ118" s="1">
        <f t="shared" si="96"/>
        <v>13</v>
      </c>
      <c r="AR118" s="1">
        <f t="shared" si="96"/>
        <v>14</v>
      </c>
      <c r="AS118" s="1">
        <f t="shared" ref="AS118:BI119" si="97">AR118+1</f>
        <v>15</v>
      </c>
      <c r="AT118" s="1">
        <f t="shared" si="97"/>
        <v>16</v>
      </c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</row>
    <row r="119" spans="1:84" x14ac:dyDescent="0.25">
      <c r="A119" t="s">
        <v>14</v>
      </c>
      <c r="B119" s="139">
        <v>20</v>
      </c>
      <c r="C119" s="140">
        <v>5</v>
      </c>
      <c r="D119" s="139" t="str">
        <f t="shared" si="74"/>
        <v>EMPTY_WEST_M_1_18</v>
      </c>
      <c r="E119" s="140" t="s">
        <v>0</v>
      </c>
      <c r="F119" s="142" t="s">
        <v>32</v>
      </c>
      <c r="G119" s="140" t="s">
        <v>19</v>
      </c>
      <c r="H119" s="140" t="s">
        <v>14</v>
      </c>
      <c r="I119" s="140">
        <v>1</v>
      </c>
      <c r="J119" s="143"/>
      <c r="K119" s="184">
        <f>COUNT(AE119:BN119)</f>
        <v>31</v>
      </c>
      <c r="L119" s="140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  <c r="W119" s="189"/>
      <c r="X119" s="190"/>
      <c r="Y119" s="191"/>
      <c r="Z119" s="189"/>
      <c r="AA119" s="189"/>
      <c r="AB119" s="189"/>
      <c r="AC119" s="189"/>
      <c r="AD119" s="192"/>
      <c r="AE119" s="131">
        <v>1</v>
      </c>
      <c r="AF119" s="1">
        <f t="shared" si="96"/>
        <v>2</v>
      </c>
      <c r="AG119" s="1">
        <f t="shared" si="96"/>
        <v>3</v>
      </c>
      <c r="AH119" s="1">
        <f t="shared" si="96"/>
        <v>4</v>
      </c>
      <c r="AI119" s="1">
        <f t="shared" si="96"/>
        <v>5</v>
      </c>
      <c r="AJ119" s="1">
        <f t="shared" si="96"/>
        <v>6</v>
      </c>
      <c r="AK119" s="1">
        <f t="shared" si="96"/>
        <v>7</v>
      </c>
      <c r="AL119" s="1">
        <f t="shared" si="96"/>
        <v>8</v>
      </c>
      <c r="AM119" s="1">
        <f t="shared" si="96"/>
        <v>9</v>
      </c>
      <c r="AN119" s="1">
        <f t="shared" si="96"/>
        <v>10</v>
      </c>
      <c r="AO119" s="1">
        <f t="shared" si="96"/>
        <v>11</v>
      </c>
      <c r="AP119" s="1">
        <f t="shared" si="96"/>
        <v>12</v>
      </c>
      <c r="AQ119" s="1">
        <f t="shared" si="96"/>
        <v>13</v>
      </c>
      <c r="AR119" s="1">
        <f t="shared" si="96"/>
        <v>14</v>
      </c>
      <c r="AS119" s="1">
        <f t="shared" si="97"/>
        <v>15</v>
      </c>
      <c r="AT119" s="1">
        <f t="shared" si="97"/>
        <v>16</v>
      </c>
      <c r="AU119" s="1">
        <f t="shared" si="97"/>
        <v>17</v>
      </c>
      <c r="AV119" s="1">
        <f t="shared" si="97"/>
        <v>18</v>
      </c>
      <c r="AW119" s="1">
        <f t="shared" si="97"/>
        <v>19</v>
      </c>
      <c r="AX119" s="1">
        <f t="shared" si="97"/>
        <v>20</v>
      </c>
      <c r="AY119" s="1">
        <f t="shared" si="97"/>
        <v>21</v>
      </c>
      <c r="AZ119" s="1">
        <f t="shared" si="97"/>
        <v>22</v>
      </c>
      <c r="BA119" s="1">
        <f t="shared" si="97"/>
        <v>23</v>
      </c>
      <c r="BB119" s="1">
        <f t="shared" si="97"/>
        <v>24</v>
      </c>
      <c r="BC119" s="1">
        <f t="shared" si="97"/>
        <v>25</v>
      </c>
      <c r="BD119" s="1">
        <f t="shared" si="97"/>
        <v>26</v>
      </c>
      <c r="BE119" s="1">
        <f t="shared" si="97"/>
        <v>27</v>
      </c>
      <c r="BF119" s="1">
        <f t="shared" si="97"/>
        <v>28</v>
      </c>
      <c r="BG119" s="1">
        <f t="shared" si="97"/>
        <v>29</v>
      </c>
      <c r="BH119" s="1">
        <f t="shared" si="97"/>
        <v>30</v>
      </c>
      <c r="BI119" s="1">
        <f t="shared" si="97"/>
        <v>31</v>
      </c>
      <c r="BJ119" s="46"/>
      <c r="BK119" s="4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</row>
    <row r="120" spans="1:84" ht="15.75" hidden="1" thickBot="1" x14ac:dyDescent="0.3">
      <c r="A120" t="s">
        <v>14</v>
      </c>
      <c r="B120" s="139">
        <v>20</v>
      </c>
      <c r="C120" s="140">
        <v>6</v>
      </c>
      <c r="D120" s="139" t="str">
        <f t="shared" si="74"/>
        <v>COUNTDOWN_WEST_M_1_18</v>
      </c>
      <c r="E120" s="140"/>
      <c r="F120" s="142" t="s">
        <v>33</v>
      </c>
      <c r="G120" s="140" t="s">
        <v>19</v>
      </c>
      <c r="H120" s="140" t="s">
        <v>14</v>
      </c>
      <c r="I120" s="140">
        <v>1</v>
      </c>
      <c r="J120" s="144"/>
      <c r="K120" s="144"/>
      <c r="L120" s="140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178"/>
      <c r="Y120" s="156"/>
      <c r="Z120" s="157"/>
      <c r="AA120" s="157"/>
      <c r="AB120" s="157"/>
      <c r="AC120" s="157"/>
      <c r="AD120" s="167"/>
      <c r="AE120" s="179"/>
      <c r="AF120" s="5"/>
      <c r="AG120" s="5"/>
      <c r="AH120" s="5"/>
      <c r="AI120" s="5"/>
      <c r="AJ120" s="5"/>
      <c r="AK120" s="5"/>
      <c r="AL120" s="5"/>
      <c r="AM120" s="5"/>
      <c r="AN120" s="5"/>
      <c r="AO120" s="6"/>
      <c r="AP120" s="6"/>
      <c r="AQ120" s="46"/>
      <c r="AR120" s="46"/>
      <c r="AS120" s="56"/>
      <c r="AT120" s="56"/>
      <c r="AU120" s="93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65"/>
      <c r="BG120" s="65"/>
      <c r="BH120" s="6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</row>
    <row r="121" spans="1:84" x14ac:dyDescent="0.25">
      <c r="BF121" s="188"/>
      <c r="BG121" s="188"/>
      <c r="BH121" s="188"/>
    </row>
  </sheetData>
  <autoFilter ref="A6:CF120">
    <filterColumn colId="5">
      <filters>
        <filter val="EMPTY"/>
        <filter val="PREPARE"/>
        <filter val="SUPPLY"/>
      </filters>
    </filterColumn>
  </autoFilter>
  <mergeCells count="2">
    <mergeCell ref="W2:Z2"/>
    <mergeCell ref="AC2:A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CJ119"/>
  <sheetViews>
    <sheetView zoomScale="85" zoomScaleNormal="85" workbookViewId="0">
      <selection activeCell="AQ26" sqref="AQ26"/>
    </sheetView>
  </sheetViews>
  <sheetFormatPr defaultRowHeight="15" x14ac:dyDescent="0.25"/>
  <cols>
    <col min="1" max="1" width="5.140625" customWidth="1"/>
    <col min="2" max="2" width="6.85546875" bestFit="1" customWidth="1"/>
    <col min="3" max="3" width="10.7109375" bestFit="1" customWidth="1"/>
    <col min="4" max="4" width="30.140625" bestFit="1" customWidth="1"/>
    <col min="5" max="5" width="16.85546875" bestFit="1" customWidth="1"/>
    <col min="6" max="6" width="14.85546875" bestFit="1" customWidth="1"/>
    <col min="7" max="7" width="6.7109375" bestFit="1" customWidth="1"/>
    <col min="9" max="9" width="4.7109375" bestFit="1" customWidth="1"/>
    <col min="10" max="11" width="8.140625" customWidth="1"/>
    <col min="13" max="87" width="3.7109375" customWidth="1"/>
    <col min="88" max="88" width="2.85546875" customWidth="1"/>
  </cols>
  <sheetData>
    <row r="1" spans="2:88" ht="21" x14ac:dyDescent="0.25">
      <c r="B1" s="44" t="s">
        <v>60</v>
      </c>
      <c r="D1" s="335">
        <v>19</v>
      </c>
      <c r="E1" s="334" t="s">
        <v>66</v>
      </c>
      <c r="X1" s="359" t="s">
        <v>43</v>
      </c>
      <c r="Y1" s="359"/>
      <c r="Z1" s="359"/>
      <c r="AA1" s="359"/>
      <c r="AD1" s="359" t="s">
        <v>44</v>
      </c>
      <c r="AE1" s="359"/>
      <c r="AF1" s="359"/>
      <c r="AG1" s="359"/>
    </row>
    <row r="2" spans="2:88" x14ac:dyDescent="0.25">
      <c r="Z2" s="162"/>
      <c r="AF2" s="164"/>
      <c r="AG2" s="2"/>
    </row>
    <row r="3" spans="2:88" ht="18.75" customHeight="1" thickBot="1" x14ac:dyDescent="0.3">
      <c r="B3" s="135" t="s">
        <v>26</v>
      </c>
      <c r="C3" s="135" t="s">
        <v>25</v>
      </c>
      <c r="D3" s="135"/>
      <c r="E3" s="135" t="s">
        <v>34</v>
      </c>
      <c r="F3" s="135" t="s">
        <v>29</v>
      </c>
      <c r="G3" s="135" t="s">
        <v>17</v>
      </c>
      <c r="H3" s="135" t="s">
        <v>1</v>
      </c>
      <c r="I3" s="135" t="s">
        <v>20</v>
      </c>
      <c r="J3" s="135" t="s">
        <v>30</v>
      </c>
      <c r="K3" s="135" t="s">
        <v>31</v>
      </c>
      <c r="L3" s="135" t="s">
        <v>27</v>
      </c>
      <c r="Z3" s="165"/>
      <c r="AF3" s="151"/>
    </row>
    <row r="4" spans="2:88" ht="18.75" customHeight="1" x14ac:dyDescent="0.25">
      <c r="B4" s="136"/>
      <c r="C4" s="136"/>
      <c r="D4" s="136"/>
      <c r="E4" s="136"/>
      <c r="F4" s="136"/>
      <c r="G4" s="136"/>
      <c r="H4" s="136"/>
      <c r="I4" s="145"/>
      <c r="J4" s="136"/>
      <c r="K4" s="136">
        <v>17</v>
      </c>
      <c r="L4" s="137" t="s">
        <v>37</v>
      </c>
      <c r="M4" s="4">
        <v>19</v>
      </c>
      <c r="N4" s="4">
        <v>18</v>
      </c>
      <c r="O4" s="4">
        <v>17</v>
      </c>
      <c r="P4" s="4">
        <v>16</v>
      </c>
      <c r="Q4" s="4">
        <v>15</v>
      </c>
      <c r="R4" s="4">
        <v>14</v>
      </c>
      <c r="S4" s="4">
        <v>13</v>
      </c>
      <c r="T4" s="4">
        <v>12</v>
      </c>
      <c r="U4" s="4">
        <v>11</v>
      </c>
      <c r="V4" s="4">
        <v>10</v>
      </c>
      <c r="W4" s="4">
        <v>9</v>
      </c>
      <c r="X4" s="4">
        <v>8</v>
      </c>
      <c r="Y4" s="97">
        <v>7</v>
      </c>
      <c r="Z4" s="11">
        <v>6</v>
      </c>
      <c r="AA4" s="12">
        <v>5</v>
      </c>
      <c r="AB4" s="12">
        <v>4</v>
      </c>
      <c r="AC4" s="12">
        <v>3</v>
      </c>
      <c r="AD4" s="12">
        <v>2</v>
      </c>
      <c r="AE4" s="18">
        <v>1</v>
      </c>
      <c r="AF4" s="95">
        <v>19</v>
      </c>
      <c r="AG4" s="40">
        <v>18</v>
      </c>
      <c r="AH4" s="40">
        <v>17</v>
      </c>
      <c r="AI4" s="40">
        <v>16</v>
      </c>
      <c r="AJ4" s="40">
        <v>15</v>
      </c>
      <c r="AK4" s="40">
        <v>14</v>
      </c>
      <c r="AL4" s="40">
        <v>13</v>
      </c>
      <c r="AM4" s="40">
        <v>12</v>
      </c>
      <c r="AN4" s="40">
        <v>11</v>
      </c>
      <c r="AO4" s="40">
        <v>10</v>
      </c>
      <c r="AP4" s="40">
        <v>9</v>
      </c>
      <c r="AQ4" s="40">
        <v>8</v>
      </c>
      <c r="AR4" s="40">
        <v>7</v>
      </c>
      <c r="AS4" s="40">
        <v>6</v>
      </c>
      <c r="AT4" s="40">
        <v>5</v>
      </c>
      <c r="AU4" s="40">
        <v>4</v>
      </c>
      <c r="AV4" s="40">
        <v>3</v>
      </c>
      <c r="AW4" s="40">
        <v>2</v>
      </c>
      <c r="AX4" s="40">
        <v>1</v>
      </c>
      <c r="AY4" s="37">
        <v>19</v>
      </c>
      <c r="AZ4" s="37">
        <v>18</v>
      </c>
      <c r="BA4" s="37">
        <v>17</v>
      </c>
      <c r="BB4" s="37">
        <v>16</v>
      </c>
      <c r="BC4" s="37">
        <v>15</v>
      </c>
      <c r="BD4" s="37">
        <v>14</v>
      </c>
      <c r="BE4" s="37">
        <v>13</v>
      </c>
      <c r="BF4" s="37">
        <v>12</v>
      </c>
      <c r="BG4" s="37">
        <v>11</v>
      </c>
      <c r="BH4" s="37">
        <v>10</v>
      </c>
      <c r="BI4" s="37">
        <v>9</v>
      </c>
      <c r="BJ4" s="37">
        <v>8</v>
      </c>
      <c r="BK4" s="37">
        <v>7</v>
      </c>
      <c r="BL4" s="37">
        <v>6</v>
      </c>
      <c r="BM4" s="37">
        <v>5</v>
      </c>
      <c r="BN4" s="37">
        <v>4</v>
      </c>
      <c r="BO4" s="37">
        <v>3</v>
      </c>
      <c r="BP4" s="37">
        <v>2</v>
      </c>
      <c r="BQ4" s="37">
        <v>1</v>
      </c>
      <c r="BR4" s="88">
        <v>19</v>
      </c>
      <c r="BS4" s="88">
        <v>18</v>
      </c>
      <c r="BT4" s="88">
        <v>17</v>
      </c>
      <c r="BU4" s="88">
        <v>16</v>
      </c>
      <c r="BV4" s="88">
        <v>15</v>
      </c>
      <c r="BW4" s="88">
        <v>14</v>
      </c>
      <c r="BX4" s="88">
        <v>13</v>
      </c>
      <c r="BY4" s="88">
        <v>12</v>
      </c>
      <c r="BZ4" s="88">
        <v>11</v>
      </c>
      <c r="CA4" s="88">
        <v>10</v>
      </c>
      <c r="CB4" s="88">
        <v>9</v>
      </c>
      <c r="CC4" s="88">
        <v>8</v>
      </c>
      <c r="CD4" s="88">
        <v>7</v>
      </c>
      <c r="CE4" s="88">
        <v>6</v>
      </c>
      <c r="CF4" s="88">
        <v>5</v>
      </c>
      <c r="CG4" s="88">
        <v>4</v>
      </c>
      <c r="CH4" s="88">
        <v>3</v>
      </c>
      <c r="CI4" s="88">
        <v>2</v>
      </c>
      <c r="CJ4" s="88">
        <v>1</v>
      </c>
    </row>
    <row r="5" spans="2:88" ht="18.75" customHeight="1" x14ac:dyDescent="0.25">
      <c r="B5" s="146">
        <v>0</v>
      </c>
      <c r="C5" s="146">
        <v>0</v>
      </c>
      <c r="D5" s="146"/>
      <c r="E5" s="146"/>
      <c r="F5" s="147" t="s">
        <v>23</v>
      </c>
      <c r="G5" s="146"/>
      <c r="H5" s="149"/>
      <c r="I5" s="148"/>
      <c r="J5" s="149"/>
      <c r="K5" s="150"/>
      <c r="L5" s="150"/>
      <c r="M5" s="4">
        <v>13</v>
      </c>
      <c r="N5" s="4">
        <v>12</v>
      </c>
      <c r="O5" s="4">
        <v>11</v>
      </c>
      <c r="P5" s="4">
        <v>10</v>
      </c>
      <c r="Q5" s="4">
        <v>9</v>
      </c>
      <c r="R5" s="4">
        <v>8</v>
      </c>
      <c r="S5" s="4">
        <v>7</v>
      </c>
      <c r="T5" s="4">
        <v>6</v>
      </c>
      <c r="U5" s="4">
        <v>5</v>
      </c>
      <c r="V5" s="4">
        <v>4</v>
      </c>
      <c r="W5" s="4">
        <v>3</v>
      </c>
      <c r="X5" s="4">
        <v>2</v>
      </c>
      <c r="Y5" s="97">
        <v>1</v>
      </c>
      <c r="Z5" s="39">
        <v>19</v>
      </c>
      <c r="AA5" s="40">
        <v>18</v>
      </c>
      <c r="AB5" s="40">
        <v>17</v>
      </c>
      <c r="AC5" s="40">
        <v>16</v>
      </c>
      <c r="AD5" s="40">
        <v>15</v>
      </c>
      <c r="AE5" s="41">
        <v>14</v>
      </c>
      <c r="AF5" s="95">
        <v>13</v>
      </c>
      <c r="AG5" s="40">
        <v>12</v>
      </c>
      <c r="AH5" s="40">
        <v>11</v>
      </c>
      <c r="AI5" s="40">
        <v>10</v>
      </c>
      <c r="AJ5" s="40">
        <v>9</v>
      </c>
      <c r="AK5" s="40">
        <v>8</v>
      </c>
      <c r="AL5" s="40">
        <v>7</v>
      </c>
      <c r="AM5" s="40">
        <v>6</v>
      </c>
      <c r="AN5" s="40">
        <v>5</v>
      </c>
      <c r="AO5" s="40">
        <v>4</v>
      </c>
      <c r="AP5" s="40">
        <v>3</v>
      </c>
      <c r="AQ5" s="40">
        <v>2</v>
      </c>
      <c r="AR5" s="40">
        <v>1</v>
      </c>
      <c r="AS5" s="37">
        <v>19</v>
      </c>
      <c r="AT5" s="37">
        <v>18</v>
      </c>
      <c r="AU5" s="37">
        <v>17</v>
      </c>
      <c r="AV5" s="37">
        <v>16</v>
      </c>
      <c r="AW5" s="37">
        <v>15</v>
      </c>
      <c r="AX5" s="37">
        <v>14</v>
      </c>
      <c r="AY5" s="37">
        <v>13</v>
      </c>
      <c r="AZ5" s="37">
        <v>12</v>
      </c>
      <c r="BA5" s="37">
        <v>11</v>
      </c>
      <c r="BB5" s="37">
        <v>10</v>
      </c>
      <c r="BC5" s="37">
        <v>9</v>
      </c>
      <c r="BD5" s="37">
        <v>8</v>
      </c>
      <c r="BE5" s="37">
        <v>7</v>
      </c>
      <c r="BF5" s="37">
        <v>6</v>
      </c>
      <c r="BG5" s="37">
        <v>5</v>
      </c>
      <c r="BH5" s="37">
        <v>4</v>
      </c>
      <c r="BI5" s="37">
        <v>3</v>
      </c>
      <c r="BJ5" s="37">
        <v>2</v>
      </c>
      <c r="BK5" s="37">
        <v>1</v>
      </c>
      <c r="BL5" s="88">
        <v>19</v>
      </c>
      <c r="BM5" s="88">
        <v>18</v>
      </c>
      <c r="BN5" s="88">
        <v>17</v>
      </c>
      <c r="BO5" s="88">
        <v>16</v>
      </c>
      <c r="BP5" s="88">
        <v>15</v>
      </c>
      <c r="BQ5" s="88">
        <v>14</v>
      </c>
      <c r="BR5" s="88">
        <v>13</v>
      </c>
      <c r="BS5" s="88">
        <v>12</v>
      </c>
      <c r="BT5" s="88">
        <v>11</v>
      </c>
      <c r="BU5" s="88">
        <v>10</v>
      </c>
      <c r="BV5" s="88">
        <v>9</v>
      </c>
      <c r="BW5" s="88">
        <v>8</v>
      </c>
      <c r="BX5" s="88">
        <v>7</v>
      </c>
      <c r="BY5" s="88">
        <v>6</v>
      </c>
      <c r="BZ5" s="88">
        <v>5</v>
      </c>
      <c r="CA5" s="88">
        <v>4</v>
      </c>
      <c r="CB5" s="88">
        <v>3</v>
      </c>
      <c r="CC5" s="88">
        <v>2</v>
      </c>
      <c r="CD5" s="88">
        <v>1</v>
      </c>
      <c r="CE5" s="5">
        <v>19</v>
      </c>
      <c r="CF5" s="5">
        <v>18</v>
      </c>
      <c r="CG5" s="5">
        <v>17</v>
      </c>
      <c r="CH5" s="5">
        <v>16</v>
      </c>
      <c r="CI5" s="5">
        <v>15</v>
      </c>
      <c r="CJ5" s="5">
        <v>14</v>
      </c>
    </row>
    <row r="6" spans="2:88" ht="15" hidden="1" customHeight="1" x14ac:dyDescent="0.25">
      <c r="B6" s="139">
        <v>1</v>
      </c>
      <c r="C6" s="139">
        <v>1</v>
      </c>
      <c r="D6" s="139" t="str">
        <f>F6&amp;"_"&amp;G6&amp;"_"&amp;H6&amp;"_"&amp;I6&amp;"_"&amp;$D$1</f>
        <v>SORTING_EAST_UNP_1_19</v>
      </c>
      <c r="E6" s="139" t="s">
        <v>35</v>
      </c>
      <c r="F6" s="138" t="s">
        <v>45</v>
      </c>
      <c r="G6" s="140" t="s">
        <v>18</v>
      </c>
      <c r="H6" s="140" t="s">
        <v>42</v>
      </c>
      <c r="I6" s="140">
        <v>1</v>
      </c>
      <c r="J6" s="139"/>
      <c r="K6" s="184">
        <f>COUNT(Z6:AX6)</f>
        <v>0</v>
      </c>
      <c r="L6" s="139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101"/>
      <c r="Z6" s="9"/>
      <c r="AA6" s="4"/>
      <c r="AB6" s="5"/>
      <c r="AC6" s="5"/>
      <c r="AD6" s="5"/>
      <c r="AE6" s="64"/>
      <c r="AF6" s="179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</row>
    <row r="7" spans="2:88" ht="15" hidden="1" customHeight="1" x14ac:dyDescent="0.25">
      <c r="B7" s="139">
        <v>1</v>
      </c>
      <c r="C7" s="139">
        <v>2</v>
      </c>
      <c r="D7" s="139" t="str">
        <f t="shared" ref="D7:D76" si="0">F7&amp;"_"&amp;G7&amp;"_"&amp;H7&amp;"_"&amp;I7&amp;"_"&amp;$D$1</f>
        <v>TRANSFER_EAST_UNP_1_19</v>
      </c>
      <c r="E7" s="139" t="s">
        <v>21</v>
      </c>
      <c r="F7" s="138" t="s">
        <v>21</v>
      </c>
      <c r="G7" s="140" t="s">
        <v>18</v>
      </c>
      <c r="H7" s="140" t="s">
        <v>42</v>
      </c>
      <c r="I7" s="140">
        <v>1</v>
      </c>
      <c r="J7" s="139"/>
      <c r="K7" s="184">
        <f>COUNT(Z7:AX7)</f>
        <v>2</v>
      </c>
      <c r="L7" s="139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178"/>
      <c r="Z7" s="82">
        <v>1</v>
      </c>
      <c r="AA7" s="3">
        <f>Z7+1</f>
        <v>2</v>
      </c>
      <c r="AB7" s="4"/>
      <c r="AC7" s="3"/>
      <c r="AD7" s="3"/>
      <c r="AE7" s="31"/>
      <c r="AF7" s="86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</row>
    <row r="8" spans="2:88" ht="15" customHeight="1" x14ac:dyDescent="0.25">
      <c r="B8" s="139">
        <v>1</v>
      </c>
      <c r="C8" s="139">
        <v>3</v>
      </c>
      <c r="D8" s="139" t="str">
        <f t="shared" si="0"/>
        <v>PREPARE_EAST_UNP_1_19</v>
      </c>
      <c r="E8" s="139" t="s">
        <v>0</v>
      </c>
      <c r="F8" s="138" t="s">
        <v>46</v>
      </c>
      <c r="G8" s="140" t="s">
        <v>18</v>
      </c>
      <c r="H8" s="140" t="s">
        <v>42</v>
      </c>
      <c r="I8" s="140">
        <v>1</v>
      </c>
      <c r="J8" s="141"/>
      <c r="K8" s="184">
        <f>COUNT(M8:AX8)</f>
        <v>17</v>
      </c>
      <c r="L8" s="139"/>
      <c r="M8" s="5">
        <v>1</v>
      </c>
      <c r="N8" s="5">
        <f>M8+1</f>
        <v>2</v>
      </c>
      <c r="O8" s="5">
        <f t="shared" ref="O8:AC8" si="1">N8+1</f>
        <v>3</v>
      </c>
      <c r="P8" s="5">
        <f t="shared" si="1"/>
        <v>4</v>
      </c>
      <c r="Q8" s="5">
        <f t="shared" si="1"/>
        <v>5</v>
      </c>
      <c r="R8" s="5">
        <f t="shared" si="1"/>
        <v>6</v>
      </c>
      <c r="S8" s="5">
        <f t="shared" si="1"/>
        <v>7</v>
      </c>
      <c r="T8" s="5">
        <f t="shared" si="1"/>
        <v>8</v>
      </c>
      <c r="U8" s="5">
        <f t="shared" si="1"/>
        <v>9</v>
      </c>
      <c r="V8" s="5">
        <f t="shared" si="1"/>
        <v>10</v>
      </c>
      <c r="W8" s="5">
        <f t="shared" si="1"/>
        <v>11</v>
      </c>
      <c r="X8" s="5">
        <f t="shared" si="1"/>
        <v>12</v>
      </c>
      <c r="Y8" s="5">
        <f t="shared" si="1"/>
        <v>13</v>
      </c>
      <c r="Z8" s="5">
        <f t="shared" si="1"/>
        <v>14</v>
      </c>
      <c r="AA8" s="5">
        <f t="shared" si="1"/>
        <v>15</v>
      </c>
      <c r="AB8" s="5">
        <f t="shared" si="1"/>
        <v>16</v>
      </c>
      <c r="AC8" s="5">
        <f t="shared" si="1"/>
        <v>17</v>
      </c>
      <c r="AD8" s="4"/>
      <c r="AE8" s="21"/>
      <c r="AF8" s="179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</row>
    <row r="9" spans="2:88" ht="15" customHeight="1" x14ac:dyDescent="0.25">
      <c r="B9" s="139">
        <v>1</v>
      </c>
      <c r="C9" s="139">
        <v>4</v>
      </c>
      <c r="D9" s="139" t="str">
        <f t="shared" si="0"/>
        <v>SUPPLY_EAST_UNP_1_19</v>
      </c>
      <c r="E9" s="139" t="s">
        <v>0</v>
      </c>
      <c r="F9" s="142" t="s">
        <v>0</v>
      </c>
      <c r="G9" s="140" t="s">
        <v>18</v>
      </c>
      <c r="H9" s="140" t="s">
        <v>42</v>
      </c>
      <c r="I9" s="140">
        <v>1</v>
      </c>
      <c r="J9" s="143"/>
      <c r="K9" s="184">
        <f>COUNT(AF9:BQ9)</f>
        <v>0</v>
      </c>
      <c r="L9" s="140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101"/>
      <c r="Z9" s="42"/>
      <c r="AA9" s="46"/>
      <c r="AB9" s="46"/>
      <c r="AC9" s="46"/>
      <c r="AD9" s="46"/>
      <c r="AE9" s="57"/>
      <c r="AF9" s="93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</row>
    <row r="10" spans="2:88" ht="15" customHeight="1" x14ac:dyDescent="0.25">
      <c r="B10" s="139">
        <v>1</v>
      </c>
      <c r="C10" s="140">
        <v>5</v>
      </c>
      <c r="D10" s="139" t="str">
        <f t="shared" si="0"/>
        <v>EMPTY_EAST_UNP_1_19</v>
      </c>
      <c r="E10" s="140" t="s">
        <v>0</v>
      </c>
      <c r="F10" s="142" t="s">
        <v>32</v>
      </c>
      <c r="G10" s="140" t="s">
        <v>18</v>
      </c>
      <c r="H10" s="140" t="s">
        <v>42</v>
      </c>
      <c r="I10" s="140">
        <v>1</v>
      </c>
      <c r="J10" s="139"/>
      <c r="K10" s="184">
        <f>COUNT(AF10:BQ10)</f>
        <v>14</v>
      </c>
      <c r="L10" s="139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101"/>
      <c r="Z10" s="42"/>
      <c r="AA10" s="46"/>
      <c r="AB10" s="46"/>
      <c r="AC10" s="46"/>
      <c r="AD10" s="46"/>
      <c r="AE10" s="57"/>
      <c r="AF10" s="179">
        <v>1</v>
      </c>
      <c r="AG10" s="5">
        <f>AF10+1</f>
        <v>2</v>
      </c>
      <c r="AH10" s="5">
        <f t="shared" ref="AH10:AS10" si="2">AG10+1</f>
        <v>3</v>
      </c>
      <c r="AI10" s="5">
        <f t="shared" si="2"/>
        <v>4</v>
      </c>
      <c r="AJ10" s="5">
        <f t="shared" si="2"/>
        <v>5</v>
      </c>
      <c r="AK10" s="5">
        <f t="shared" si="2"/>
        <v>6</v>
      </c>
      <c r="AL10" s="5">
        <f t="shared" si="2"/>
        <v>7</v>
      </c>
      <c r="AM10" s="5">
        <f t="shared" si="2"/>
        <v>8</v>
      </c>
      <c r="AN10" s="5">
        <f t="shared" si="2"/>
        <v>9</v>
      </c>
      <c r="AO10" s="5">
        <f t="shared" si="2"/>
        <v>10</v>
      </c>
      <c r="AP10" s="5">
        <f t="shared" si="2"/>
        <v>11</v>
      </c>
      <c r="AQ10" s="5">
        <f t="shared" si="2"/>
        <v>12</v>
      </c>
      <c r="AR10" s="5">
        <f t="shared" si="2"/>
        <v>13</v>
      </c>
      <c r="AS10" s="5">
        <f t="shared" si="2"/>
        <v>14</v>
      </c>
      <c r="AT10" s="46"/>
      <c r="AU10" s="4"/>
      <c r="AV10" s="4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</row>
    <row r="11" spans="2:88" ht="15" hidden="1" customHeight="1" x14ac:dyDescent="0.25">
      <c r="B11" s="139">
        <v>1</v>
      </c>
      <c r="C11" s="140">
        <v>6</v>
      </c>
      <c r="D11" s="139" t="str">
        <f t="shared" si="0"/>
        <v>COUNTDOWN_EAST_UNP_1_19</v>
      </c>
      <c r="E11" s="140"/>
      <c r="F11" s="142" t="s">
        <v>33</v>
      </c>
      <c r="G11" s="140" t="s">
        <v>18</v>
      </c>
      <c r="H11" s="140" t="s">
        <v>42</v>
      </c>
      <c r="I11" s="140">
        <v>1</v>
      </c>
      <c r="J11" s="144"/>
      <c r="K11" s="144"/>
      <c r="L11" s="140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178"/>
      <c r="Z11" s="29"/>
      <c r="AA11" s="46"/>
      <c r="AB11" s="46"/>
      <c r="AC11" s="56"/>
      <c r="AD11" s="56"/>
      <c r="AE11" s="59"/>
      <c r="AF11" s="179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</row>
    <row r="12" spans="2:88" ht="15" hidden="1" customHeight="1" x14ac:dyDescent="0.25">
      <c r="B12" s="139">
        <v>2</v>
      </c>
      <c r="C12" s="139">
        <v>1</v>
      </c>
      <c r="D12" s="139" t="str">
        <f t="shared" si="0"/>
        <v>SORTING_EAST_A_2_19</v>
      </c>
      <c r="E12" s="139" t="s">
        <v>35</v>
      </c>
      <c r="F12" s="138" t="s">
        <v>45</v>
      </c>
      <c r="G12" s="140" t="s">
        <v>18</v>
      </c>
      <c r="H12" s="140" t="s">
        <v>2</v>
      </c>
      <c r="I12" s="140">
        <v>2</v>
      </c>
      <c r="J12" s="139"/>
      <c r="K12" s="184">
        <f>COUNT(Z12:AX12)</f>
        <v>2</v>
      </c>
      <c r="L12" s="139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101"/>
      <c r="Z12" s="82">
        <v>1</v>
      </c>
      <c r="AA12" s="3">
        <f>Z12+1</f>
        <v>2</v>
      </c>
      <c r="AB12" s="4"/>
      <c r="AC12" s="3"/>
      <c r="AD12" s="3"/>
      <c r="AE12" s="31"/>
      <c r="AF12" s="86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</row>
    <row r="13" spans="2:88" ht="15" hidden="1" customHeight="1" x14ac:dyDescent="0.25">
      <c r="B13" s="139">
        <v>2</v>
      </c>
      <c r="C13" s="139">
        <v>2</v>
      </c>
      <c r="D13" s="139" t="str">
        <f t="shared" si="0"/>
        <v>TRANSFER_EAST_A_2_19</v>
      </c>
      <c r="E13" s="139" t="s">
        <v>21</v>
      </c>
      <c r="F13" s="138" t="s">
        <v>21</v>
      </c>
      <c r="G13" s="140" t="s">
        <v>18</v>
      </c>
      <c r="H13" s="140" t="s">
        <v>2</v>
      </c>
      <c r="I13" s="140">
        <v>2</v>
      </c>
      <c r="J13" s="139"/>
      <c r="K13" s="184">
        <f>COUNT(Z13:AX13)</f>
        <v>3</v>
      </c>
      <c r="L13" s="139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178"/>
      <c r="Z13" s="82">
        <v>1</v>
      </c>
      <c r="AA13" s="3">
        <f>Z13+1</f>
        <v>2</v>
      </c>
      <c r="AB13" s="3">
        <f t="shared" ref="AB13" si="3">AA13+1</f>
        <v>3</v>
      </c>
      <c r="AC13" s="4"/>
      <c r="AD13" s="3"/>
      <c r="AE13" s="31"/>
      <c r="AF13" s="86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</row>
    <row r="14" spans="2:88" ht="15" customHeight="1" x14ac:dyDescent="0.25">
      <c r="B14" s="139">
        <v>2</v>
      </c>
      <c r="C14" s="139">
        <v>3</v>
      </c>
      <c r="D14" s="139" t="str">
        <f t="shared" si="0"/>
        <v>PREPARE_EAST_A_2_19</v>
      </c>
      <c r="E14" s="139" t="s">
        <v>0</v>
      </c>
      <c r="F14" s="138" t="s">
        <v>46</v>
      </c>
      <c r="G14" s="140" t="s">
        <v>18</v>
      </c>
      <c r="H14" s="140" t="s">
        <v>2</v>
      </c>
      <c r="I14" s="140">
        <v>2</v>
      </c>
      <c r="J14" s="141"/>
      <c r="K14" s="184">
        <f>COUNT(M14:AX14)</f>
        <v>18</v>
      </c>
      <c r="L14" s="139"/>
      <c r="M14" s="5">
        <v>1</v>
      </c>
      <c r="N14" s="5">
        <f>M14+1</f>
        <v>2</v>
      </c>
      <c r="O14" s="5">
        <f t="shared" ref="O14:AD14" si="4">N14+1</f>
        <v>3</v>
      </c>
      <c r="P14" s="5">
        <f t="shared" si="4"/>
        <v>4</v>
      </c>
      <c r="Q14" s="5">
        <f t="shared" si="4"/>
        <v>5</v>
      </c>
      <c r="R14" s="5">
        <f t="shared" si="4"/>
        <v>6</v>
      </c>
      <c r="S14" s="5">
        <f t="shared" si="4"/>
        <v>7</v>
      </c>
      <c r="T14" s="5">
        <f t="shared" si="4"/>
        <v>8</v>
      </c>
      <c r="U14" s="5">
        <f t="shared" si="4"/>
        <v>9</v>
      </c>
      <c r="V14" s="5">
        <f t="shared" si="4"/>
        <v>10</v>
      </c>
      <c r="W14" s="5">
        <f t="shared" si="4"/>
        <v>11</v>
      </c>
      <c r="X14" s="5">
        <f t="shared" si="4"/>
        <v>12</v>
      </c>
      <c r="Y14" s="5">
        <f t="shared" si="4"/>
        <v>13</v>
      </c>
      <c r="Z14" s="5">
        <f t="shared" si="4"/>
        <v>14</v>
      </c>
      <c r="AA14" s="5">
        <f t="shared" si="4"/>
        <v>15</v>
      </c>
      <c r="AB14" s="5">
        <f t="shared" si="4"/>
        <v>16</v>
      </c>
      <c r="AC14" s="5">
        <f t="shared" si="4"/>
        <v>17</v>
      </c>
      <c r="AD14" s="5">
        <f t="shared" si="4"/>
        <v>18</v>
      </c>
      <c r="AE14" s="93"/>
      <c r="AF14" s="93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</row>
    <row r="15" spans="2:88" ht="15" customHeight="1" x14ac:dyDescent="0.25">
      <c r="B15" s="139">
        <v>2</v>
      </c>
      <c r="C15" s="139">
        <v>4</v>
      </c>
      <c r="D15" s="139" t="str">
        <f t="shared" si="0"/>
        <v>SUPPLY_EAST_A_2_19</v>
      </c>
      <c r="E15" s="139" t="s">
        <v>0</v>
      </c>
      <c r="F15" s="142" t="s">
        <v>0</v>
      </c>
      <c r="G15" s="140" t="s">
        <v>18</v>
      </c>
      <c r="H15" s="140" t="s">
        <v>2</v>
      </c>
      <c r="I15" s="140">
        <v>2</v>
      </c>
      <c r="J15" s="143"/>
      <c r="K15" s="184">
        <f>COUNT(AF15:BQ15)</f>
        <v>1</v>
      </c>
      <c r="L15" s="140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101"/>
      <c r="Z15" s="42"/>
      <c r="AA15" s="46"/>
      <c r="AB15" s="46"/>
      <c r="AC15" s="46"/>
      <c r="AD15" s="46"/>
      <c r="AE15" s="57"/>
      <c r="AF15" s="179">
        <v>1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</row>
    <row r="16" spans="2:88" ht="15" customHeight="1" x14ac:dyDescent="0.25">
      <c r="B16" s="139">
        <v>2</v>
      </c>
      <c r="C16" s="140">
        <v>5</v>
      </c>
      <c r="D16" s="139" t="str">
        <f t="shared" si="0"/>
        <v>EMPTY_EAST_A_2_19</v>
      </c>
      <c r="E16" s="140" t="s">
        <v>0</v>
      </c>
      <c r="F16" s="142" t="s">
        <v>32</v>
      </c>
      <c r="G16" s="140" t="s">
        <v>18</v>
      </c>
      <c r="H16" s="140" t="s">
        <v>2</v>
      </c>
      <c r="I16" s="140">
        <v>2</v>
      </c>
      <c r="J16" s="139"/>
      <c r="K16" s="184">
        <f>COUNT(AF16:BQ16)</f>
        <v>16</v>
      </c>
      <c r="L16" s="139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101"/>
      <c r="Z16" s="42"/>
      <c r="AA16" s="46"/>
      <c r="AB16" s="46"/>
      <c r="AC16" s="46"/>
      <c r="AD16" s="46"/>
      <c r="AE16" s="57"/>
      <c r="AF16" s="179">
        <v>1</v>
      </c>
      <c r="AG16" s="5">
        <f>AF16+1</f>
        <v>2</v>
      </c>
      <c r="AH16" s="5">
        <f t="shared" ref="AH16:AR16" si="5">AG16+1</f>
        <v>3</v>
      </c>
      <c r="AI16" s="5">
        <f t="shared" si="5"/>
        <v>4</v>
      </c>
      <c r="AJ16" s="5">
        <f t="shared" si="5"/>
        <v>5</v>
      </c>
      <c r="AK16" s="5">
        <f t="shared" si="5"/>
        <v>6</v>
      </c>
      <c r="AL16" s="5">
        <f t="shared" si="5"/>
        <v>7</v>
      </c>
      <c r="AM16" s="5">
        <f t="shared" si="5"/>
        <v>8</v>
      </c>
      <c r="AN16" s="5">
        <f t="shared" si="5"/>
        <v>9</v>
      </c>
      <c r="AO16" s="5">
        <f t="shared" si="5"/>
        <v>10</v>
      </c>
      <c r="AP16" s="5">
        <f t="shared" si="5"/>
        <v>11</v>
      </c>
      <c r="AQ16" s="5">
        <f t="shared" si="5"/>
        <v>12</v>
      </c>
      <c r="AR16" s="5">
        <f t="shared" si="5"/>
        <v>13</v>
      </c>
      <c r="AS16" s="5">
        <f>AR16+1</f>
        <v>14</v>
      </c>
      <c r="AT16" s="5">
        <f t="shared" ref="AT16:AU16" si="6">AS16+1</f>
        <v>15</v>
      </c>
      <c r="AU16" s="5">
        <f t="shared" si="6"/>
        <v>16</v>
      </c>
      <c r="AV16" s="46"/>
      <c r="AW16" s="4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</row>
    <row r="17" spans="1:88" ht="15" hidden="1" customHeight="1" x14ac:dyDescent="0.25">
      <c r="B17" s="139">
        <v>2</v>
      </c>
      <c r="C17" s="140">
        <v>6</v>
      </c>
      <c r="D17" s="139" t="str">
        <f t="shared" si="0"/>
        <v>COUNTDOWN_EAST_A_2_19</v>
      </c>
      <c r="E17" s="140"/>
      <c r="F17" s="142" t="s">
        <v>33</v>
      </c>
      <c r="G17" s="140" t="s">
        <v>18</v>
      </c>
      <c r="H17" s="140" t="s">
        <v>2</v>
      </c>
      <c r="I17" s="140">
        <v>2</v>
      </c>
      <c r="J17" s="144"/>
      <c r="K17" s="144"/>
      <c r="L17" s="140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178"/>
      <c r="Z17" s="82"/>
      <c r="AA17" s="6"/>
      <c r="AB17" s="6"/>
      <c r="AC17" s="46"/>
      <c r="AD17" s="46"/>
      <c r="AE17" s="59"/>
      <c r="AF17" s="134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</row>
    <row r="18" spans="1:88" ht="15" hidden="1" customHeight="1" x14ac:dyDescent="0.25">
      <c r="B18" s="139"/>
      <c r="C18" s="139">
        <v>1</v>
      </c>
      <c r="D18" s="139" t="str">
        <f t="shared" ref="D18:D23" si="7">F18&amp;"_"&amp;G18&amp;"_"&amp;H18&amp;"_"&amp;I18&amp;"_"&amp;$D$1</f>
        <v>SORTING_EAST_C/U_1_19</v>
      </c>
      <c r="E18" s="139" t="s">
        <v>35</v>
      </c>
      <c r="F18" s="138" t="s">
        <v>45</v>
      </c>
      <c r="G18" s="140" t="s">
        <v>18</v>
      </c>
      <c r="H18" s="140" t="s">
        <v>67</v>
      </c>
      <c r="I18" s="140">
        <v>1</v>
      </c>
      <c r="J18" s="139"/>
      <c r="K18" s="184">
        <f>COUNT(Z18:AX18)</f>
        <v>3</v>
      </c>
      <c r="L18" s="140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101"/>
      <c r="Z18" s="82">
        <v>1</v>
      </c>
      <c r="AA18" s="3">
        <f>Z18+1</f>
        <v>2</v>
      </c>
      <c r="AB18" s="3">
        <f>AA18+1</f>
        <v>3</v>
      </c>
      <c r="AC18" s="4"/>
      <c r="AD18" s="3"/>
      <c r="AE18" s="31"/>
      <c r="AF18" s="86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</row>
    <row r="19" spans="1:88" ht="15" hidden="1" customHeight="1" x14ac:dyDescent="0.25">
      <c r="B19" s="139"/>
      <c r="C19" s="139">
        <v>2</v>
      </c>
      <c r="D19" s="139" t="str">
        <f t="shared" si="7"/>
        <v>TRANSFER_EAST_C/U_1_19</v>
      </c>
      <c r="E19" s="139" t="s">
        <v>21</v>
      </c>
      <c r="F19" s="138" t="s">
        <v>21</v>
      </c>
      <c r="G19" s="140" t="s">
        <v>18</v>
      </c>
      <c r="H19" s="140" t="s">
        <v>67</v>
      </c>
      <c r="I19" s="140">
        <v>1</v>
      </c>
      <c r="J19" s="139"/>
      <c r="K19" s="184">
        <f>COUNT(Z19:AX19)</f>
        <v>4</v>
      </c>
      <c r="L19" s="140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178"/>
      <c r="Z19" s="82">
        <v>1</v>
      </c>
      <c r="AA19" s="3">
        <f>Z19+1</f>
        <v>2</v>
      </c>
      <c r="AB19" s="3">
        <f t="shared" ref="AB19:AB20" si="8">AA19+1</f>
        <v>3</v>
      </c>
      <c r="AC19" s="3">
        <f t="shared" ref="AC19:AC20" si="9">AB19+1</f>
        <v>4</v>
      </c>
      <c r="AD19" s="4"/>
      <c r="AE19" s="21"/>
      <c r="AF19" s="86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</row>
    <row r="20" spans="1:88" ht="15" customHeight="1" x14ac:dyDescent="0.25">
      <c r="B20" s="139"/>
      <c r="C20" s="139">
        <v>3</v>
      </c>
      <c r="D20" s="139" t="str">
        <f t="shared" si="7"/>
        <v>PREPARE_EAST_C/U_1_19</v>
      </c>
      <c r="E20" s="139" t="s">
        <v>0</v>
      </c>
      <c r="F20" s="138" t="s">
        <v>46</v>
      </c>
      <c r="G20" s="140" t="s">
        <v>18</v>
      </c>
      <c r="H20" s="140" t="s">
        <v>67</v>
      </c>
      <c r="I20" s="140">
        <v>1</v>
      </c>
      <c r="J20" s="141"/>
      <c r="K20" s="184">
        <f>COUNT(M20:AX20)</f>
        <v>19</v>
      </c>
      <c r="L20" s="140"/>
      <c r="M20" s="5">
        <v>1</v>
      </c>
      <c r="N20" s="5">
        <f>M20+1</f>
        <v>2</v>
      </c>
      <c r="O20" s="5">
        <f t="shared" ref="O20" si="10">N20+1</f>
        <v>3</v>
      </c>
      <c r="P20" s="5">
        <f t="shared" ref="P20" si="11">O20+1</f>
        <v>4</v>
      </c>
      <c r="Q20" s="5">
        <f t="shared" ref="Q20" si="12">P20+1</f>
        <v>5</v>
      </c>
      <c r="R20" s="5">
        <f t="shared" ref="R20" si="13">Q20+1</f>
        <v>6</v>
      </c>
      <c r="S20" s="5">
        <f t="shared" ref="S20" si="14">R20+1</f>
        <v>7</v>
      </c>
      <c r="T20" s="5">
        <f t="shared" ref="T20" si="15">S20+1</f>
        <v>8</v>
      </c>
      <c r="U20" s="5">
        <f t="shared" ref="U20" si="16">T20+1</f>
        <v>9</v>
      </c>
      <c r="V20" s="5">
        <f t="shared" ref="V20" si="17">U20+1</f>
        <v>10</v>
      </c>
      <c r="W20" s="5">
        <f t="shared" ref="W20" si="18">V20+1</f>
        <v>11</v>
      </c>
      <c r="X20" s="5">
        <f t="shared" ref="X20" si="19">W20+1</f>
        <v>12</v>
      </c>
      <c r="Y20" s="5">
        <f t="shared" ref="Y20" si="20">X20+1</f>
        <v>13</v>
      </c>
      <c r="Z20" s="5">
        <f t="shared" ref="Z20" si="21">Y20+1</f>
        <v>14</v>
      </c>
      <c r="AA20" s="5">
        <f t="shared" ref="AA20" si="22">Z20+1</f>
        <v>15</v>
      </c>
      <c r="AB20" s="5">
        <f t="shared" si="8"/>
        <v>16</v>
      </c>
      <c r="AC20" s="5">
        <f t="shared" si="9"/>
        <v>17</v>
      </c>
      <c r="AD20" s="5">
        <f t="shared" ref="AD20:AE20" si="23">AC20+1</f>
        <v>18</v>
      </c>
      <c r="AE20" s="5">
        <f t="shared" si="23"/>
        <v>19</v>
      </c>
      <c r="AF20" s="93"/>
      <c r="AG20" s="93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</row>
    <row r="21" spans="1:88" ht="15" customHeight="1" x14ac:dyDescent="0.25">
      <c r="B21" s="139"/>
      <c r="C21" s="139">
        <v>4</v>
      </c>
      <c r="D21" s="139" t="str">
        <f t="shared" si="7"/>
        <v>SUPPLY_EAST_C/U_1_19</v>
      </c>
      <c r="E21" s="139" t="s">
        <v>0</v>
      </c>
      <c r="F21" s="142" t="s">
        <v>0</v>
      </c>
      <c r="G21" s="140" t="s">
        <v>18</v>
      </c>
      <c r="H21" s="140" t="s">
        <v>67</v>
      </c>
      <c r="I21" s="140">
        <v>1</v>
      </c>
      <c r="J21" s="143"/>
      <c r="K21" s="184">
        <f>COUNT(AF21:BQ21)</f>
        <v>2</v>
      </c>
      <c r="L21" s="140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101"/>
      <c r="Z21" s="42"/>
      <c r="AA21" s="46"/>
      <c r="AB21" s="46"/>
      <c r="AC21" s="46"/>
      <c r="AD21" s="46"/>
      <c r="AE21" s="57"/>
      <c r="AF21" s="179">
        <v>1</v>
      </c>
      <c r="AG21" s="5">
        <f>AF21+1</f>
        <v>2</v>
      </c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</row>
    <row r="22" spans="1:88" ht="15" customHeight="1" x14ac:dyDescent="0.25">
      <c r="B22" s="139"/>
      <c r="C22" s="140">
        <v>5</v>
      </c>
      <c r="D22" s="139" t="str">
        <f t="shared" si="7"/>
        <v>EMPTY_EAST_C/U_1_19</v>
      </c>
      <c r="E22" s="140" t="s">
        <v>0</v>
      </c>
      <c r="F22" s="142" t="s">
        <v>32</v>
      </c>
      <c r="G22" s="140" t="s">
        <v>18</v>
      </c>
      <c r="H22" s="140" t="s">
        <v>67</v>
      </c>
      <c r="I22" s="140">
        <v>1</v>
      </c>
      <c r="J22" s="139"/>
      <c r="K22" s="184">
        <f>COUNT(AF22:BQ22)</f>
        <v>17</v>
      </c>
      <c r="L22" s="140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101"/>
      <c r="Z22" s="42"/>
      <c r="AA22" s="46"/>
      <c r="AB22" s="46"/>
      <c r="AC22" s="46"/>
      <c r="AD22" s="46"/>
      <c r="AE22" s="57"/>
      <c r="AF22" s="179">
        <v>1</v>
      </c>
      <c r="AG22" s="5">
        <f>AF22+1</f>
        <v>2</v>
      </c>
      <c r="AH22" s="5">
        <f t="shared" ref="AH22" si="24">AG22+1</f>
        <v>3</v>
      </c>
      <c r="AI22" s="5">
        <f t="shared" ref="AI22" si="25">AH22+1</f>
        <v>4</v>
      </c>
      <c r="AJ22" s="5">
        <f t="shared" ref="AJ22" si="26">AI22+1</f>
        <v>5</v>
      </c>
      <c r="AK22" s="5">
        <f t="shared" ref="AK22" si="27">AJ22+1</f>
        <v>6</v>
      </c>
      <c r="AL22" s="5">
        <f t="shared" ref="AL22" si="28">AK22+1</f>
        <v>7</v>
      </c>
      <c r="AM22" s="5">
        <f t="shared" ref="AM22" si="29">AL22+1</f>
        <v>8</v>
      </c>
      <c r="AN22" s="5">
        <f t="shared" ref="AN22" si="30">AM22+1</f>
        <v>9</v>
      </c>
      <c r="AO22" s="5">
        <f t="shared" ref="AO22" si="31">AN22+1</f>
        <v>10</v>
      </c>
      <c r="AP22" s="5">
        <f t="shared" ref="AP22" si="32">AO22+1</f>
        <v>11</v>
      </c>
      <c r="AQ22" s="5">
        <f t="shared" ref="AQ22" si="33">AP22+1</f>
        <v>12</v>
      </c>
      <c r="AR22" s="5">
        <f t="shared" ref="AR22" si="34">AQ22+1</f>
        <v>13</v>
      </c>
      <c r="AS22" s="5">
        <f>AR22+1</f>
        <v>14</v>
      </c>
      <c r="AT22" s="5">
        <f t="shared" ref="AT22" si="35">AS22+1</f>
        <v>15</v>
      </c>
      <c r="AU22" s="5">
        <f t="shared" ref="AU22:AV22" si="36">AT22+1</f>
        <v>16</v>
      </c>
      <c r="AV22" s="5">
        <f t="shared" si="36"/>
        <v>17</v>
      </c>
      <c r="AW22" s="46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</row>
    <row r="23" spans="1:88" ht="15" hidden="1" customHeight="1" x14ac:dyDescent="0.25">
      <c r="B23" s="139"/>
      <c r="C23" s="140">
        <v>6</v>
      </c>
      <c r="D23" s="139" t="str">
        <f t="shared" si="7"/>
        <v>COUNTDOWN_EAST_C/U_1_19</v>
      </c>
      <c r="E23" s="140"/>
      <c r="F23" s="142" t="s">
        <v>33</v>
      </c>
      <c r="G23" s="140" t="s">
        <v>18</v>
      </c>
      <c r="H23" s="140" t="s">
        <v>67</v>
      </c>
      <c r="I23" s="140">
        <v>1</v>
      </c>
      <c r="J23" s="144"/>
      <c r="K23" s="144"/>
      <c r="L23" s="140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178"/>
      <c r="Z23" s="82"/>
      <c r="AA23" s="6"/>
      <c r="AB23" s="6"/>
      <c r="AC23" s="46"/>
      <c r="AD23" s="46"/>
      <c r="AE23" s="59"/>
      <c r="AF23" s="134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</row>
    <row r="24" spans="1:88" ht="15" hidden="1" customHeight="1" x14ac:dyDescent="0.25">
      <c r="A24" t="s">
        <v>6</v>
      </c>
      <c r="B24" s="139">
        <v>3</v>
      </c>
      <c r="C24" s="139">
        <v>1</v>
      </c>
      <c r="D24" s="139" t="str">
        <f t="shared" si="0"/>
        <v>SORTING_EAST_C_2_19</v>
      </c>
      <c r="E24" s="139" t="s">
        <v>35</v>
      </c>
      <c r="F24" s="138" t="s">
        <v>45</v>
      </c>
      <c r="G24" s="140" t="s">
        <v>18</v>
      </c>
      <c r="H24" s="140" t="s">
        <v>4</v>
      </c>
      <c r="I24" s="140">
        <v>2</v>
      </c>
      <c r="J24" s="139"/>
      <c r="K24" s="184">
        <f>COUNT(Z24:AX24)</f>
        <v>4</v>
      </c>
      <c r="L24" s="139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101"/>
      <c r="Z24" s="82">
        <v>1</v>
      </c>
      <c r="AA24" s="3">
        <f t="shared" ref="AA24:AE25" si="37">Z24+1</f>
        <v>2</v>
      </c>
      <c r="AB24" s="3">
        <f t="shared" si="37"/>
        <v>3</v>
      </c>
      <c r="AC24" s="3">
        <f t="shared" si="37"/>
        <v>4</v>
      </c>
      <c r="AD24" s="4"/>
      <c r="AE24" s="21"/>
      <c r="AF24" s="86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</row>
    <row r="25" spans="1:88" ht="15" hidden="1" customHeight="1" x14ac:dyDescent="0.25">
      <c r="A25" t="s">
        <v>6</v>
      </c>
      <c r="B25" s="139">
        <v>3</v>
      </c>
      <c r="C25" s="139">
        <v>2</v>
      </c>
      <c r="D25" s="139" t="str">
        <f t="shared" si="0"/>
        <v>TRANSFER_EAST_C_2_19</v>
      </c>
      <c r="E25" s="139" t="s">
        <v>21</v>
      </c>
      <c r="F25" s="138" t="s">
        <v>21</v>
      </c>
      <c r="G25" s="140" t="s">
        <v>18</v>
      </c>
      <c r="H25" s="140" t="s">
        <v>4</v>
      </c>
      <c r="I25" s="140">
        <v>2</v>
      </c>
      <c r="J25" s="139"/>
      <c r="K25" s="184">
        <f>COUNT(Z25:AX25)</f>
        <v>6</v>
      </c>
      <c r="L25" s="139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178"/>
      <c r="Z25" s="82">
        <v>1</v>
      </c>
      <c r="AA25" s="3">
        <f>Z25+1</f>
        <v>2</v>
      </c>
      <c r="AB25" s="3">
        <f t="shared" si="37"/>
        <v>3</v>
      </c>
      <c r="AC25" s="3">
        <f t="shared" si="37"/>
        <v>4</v>
      </c>
      <c r="AD25" s="3">
        <f t="shared" si="37"/>
        <v>5</v>
      </c>
      <c r="AE25" s="3">
        <f t="shared" si="37"/>
        <v>6</v>
      </c>
      <c r="AF25" s="93"/>
      <c r="AG25" s="4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</row>
    <row r="26" spans="1:88" ht="15" customHeight="1" x14ac:dyDescent="0.25">
      <c r="A26" t="s">
        <v>6</v>
      </c>
      <c r="B26" s="139">
        <v>3</v>
      </c>
      <c r="C26" s="139">
        <v>3</v>
      </c>
      <c r="D26" s="139" t="str">
        <f t="shared" si="0"/>
        <v>PREPARE_EAST_C_2_19</v>
      </c>
      <c r="E26" s="139" t="s">
        <v>0</v>
      </c>
      <c r="F26" s="138" t="s">
        <v>46</v>
      </c>
      <c r="G26" s="140" t="s">
        <v>18</v>
      </c>
      <c r="H26" s="140" t="s">
        <v>4</v>
      </c>
      <c r="I26" s="140">
        <v>2</v>
      </c>
      <c r="J26" s="141"/>
      <c r="K26" s="184">
        <f>COUNT(M26:AX26)</f>
        <v>20</v>
      </c>
      <c r="L26" s="139"/>
      <c r="M26" s="5">
        <v>1</v>
      </c>
      <c r="N26" s="5">
        <f>M26+1</f>
        <v>2</v>
      </c>
      <c r="O26" s="5">
        <f t="shared" ref="O26:AF26" si="38">N26+1</f>
        <v>3</v>
      </c>
      <c r="P26" s="5">
        <f t="shared" si="38"/>
        <v>4</v>
      </c>
      <c r="Q26" s="5">
        <f t="shared" si="38"/>
        <v>5</v>
      </c>
      <c r="R26" s="5">
        <f t="shared" si="38"/>
        <v>6</v>
      </c>
      <c r="S26" s="5">
        <f t="shared" si="38"/>
        <v>7</v>
      </c>
      <c r="T26" s="5">
        <f t="shared" si="38"/>
        <v>8</v>
      </c>
      <c r="U26" s="5">
        <f t="shared" si="38"/>
        <v>9</v>
      </c>
      <c r="V26" s="5">
        <f t="shared" si="38"/>
        <v>10</v>
      </c>
      <c r="W26" s="5">
        <f t="shared" si="38"/>
        <v>11</v>
      </c>
      <c r="X26" s="5">
        <f t="shared" si="38"/>
        <v>12</v>
      </c>
      <c r="Y26" s="5">
        <f t="shared" si="38"/>
        <v>13</v>
      </c>
      <c r="Z26" s="5">
        <f t="shared" si="38"/>
        <v>14</v>
      </c>
      <c r="AA26" s="5">
        <f t="shared" si="38"/>
        <v>15</v>
      </c>
      <c r="AB26" s="5">
        <f t="shared" si="38"/>
        <v>16</v>
      </c>
      <c r="AC26" s="5">
        <f t="shared" si="38"/>
        <v>17</v>
      </c>
      <c r="AD26" s="5">
        <f t="shared" si="38"/>
        <v>18</v>
      </c>
      <c r="AE26" s="5">
        <f t="shared" si="38"/>
        <v>19</v>
      </c>
      <c r="AF26" s="5">
        <f t="shared" si="38"/>
        <v>20</v>
      </c>
      <c r="AG26" s="152"/>
      <c r="AH26" s="152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</row>
    <row r="27" spans="1:88" ht="15" customHeight="1" x14ac:dyDescent="0.25">
      <c r="A27" t="s">
        <v>6</v>
      </c>
      <c r="B27" s="139">
        <v>3</v>
      </c>
      <c r="C27" s="139">
        <v>4</v>
      </c>
      <c r="D27" s="139" t="str">
        <f t="shared" si="0"/>
        <v>SUPPLY_EAST_C_2_19</v>
      </c>
      <c r="E27" s="139" t="s">
        <v>0</v>
      </c>
      <c r="F27" s="142" t="s">
        <v>0</v>
      </c>
      <c r="G27" s="140" t="s">
        <v>18</v>
      </c>
      <c r="H27" s="140" t="s">
        <v>4</v>
      </c>
      <c r="I27" s="140">
        <v>2</v>
      </c>
      <c r="J27" s="143"/>
      <c r="K27" s="184">
        <f>COUNT(AF27:BQ27)</f>
        <v>3</v>
      </c>
      <c r="L27" s="140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101"/>
      <c r="Z27" s="42"/>
      <c r="AA27" s="46"/>
      <c r="AB27" s="46"/>
      <c r="AC27" s="46"/>
      <c r="AD27" s="46"/>
      <c r="AE27" s="57"/>
      <c r="AF27" s="179">
        <v>1</v>
      </c>
      <c r="AG27" s="3">
        <f t="shared" ref="AG27:AV28" si="39">AF27+1</f>
        <v>2</v>
      </c>
      <c r="AH27" s="3">
        <f t="shared" si="39"/>
        <v>3</v>
      </c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</row>
    <row r="28" spans="1:88" ht="15" customHeight="1" x14ac:dyDescent="0.25">
      <c r="A28" t="s">
        <v>6</v>
      </c>
      <c r="B28" s="139">
        <v>3</v>
      </c>
      <c r="C28" s="140">
        <v>5</v>
      </c>
      <c r="D28" s="139" t="str">
        <f t="shared" si="0"/>
        <v>EMPTY_EAST_C_2_19</v>
      </c>
      <c r="E28" s="140" t="s">
        <v>0</v>
      </c>
      <c r="F28" s="142" t="s">
        <v>32</v>
      </c>
      <c r="G28" s="140" t="s">
        <v>18</v>
      </c>
      <c r="H28" s="140" t="s">
        <v>4</v>
      </c>
      <c r="I28" s="140">
        <v>2</v>
      </c>
      <c r="J28" s="139"/>
      <c r="K28" s="184">
        <f>COUNT(AF28:BQ28)</f>
        <v>18</v>
      </c>
      <c r="L28" s="139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101"/>
      <c r="Z28" s="42"/>
      <c r="AA28" s="46"/>
      <c r="AB28" s="46"/>
      <c r="AC28" s="46"/>
      <c r="AD28" s="46"/>
      <c r="AE28" s="57"/>
      <c r="AF28" s="179">
        <v>1</v>
      </c>
      <c r="AG28" s="5">
        <f>AF28+1</f>
        <v>2</v>
      </c>
      <c r="AH28" s="5">
        <f t="shared" si="39"/>
        <v>3</v>
      </c>
      <c r="AI28" s="5">
        <f t="shared" si="39"/>
        <v>4</v>
      </c>
      <c r="AJ28" s="5">
        <f t="shared" si="39"/>
        <v>5</v>
      </c>
      <c r="AK28" s="5">
        <f t="shared" si="39"/>
        <v>6</v>
      </c>
      <c r="AL28" s="5">
        <f t="shared" si="39"/>
        <v>7</v>
      </c>
      <c r="AM28" s="5">
        <f t="shared" si="39"/>
        <v>8</v>
      </c>
      <c r="AN28" s="5">
        <f t="shared" si="39"/>
        <v>9</v>
      </c>
      <c r="AO28" s="5">
        <f t="shared" si="39"/>
        <v>10</v>
      </c>
      <c r="AP28" s="5">
        <f t="shared" si="39"/>
        <v>11</v>
      </c>
      <c r="AQ28" s="5">
        <f t="shared" si="39"/>
        <v>12</v>
      </c>
      <c r="AR28" s="5">
        <f t="shared" si="39"/>
        <v>13</v>
      </c>
      <c r="AS28" s="5">
        <f t="shared" si="39"/>
        <v>14</v>
      </c>
      <c r="AT28" s="5">
        <f t="shared" si="39"/>
        <v>15</v>
      </c>
      <c r="AU28" s="5">
        <f t="shared" si="39"/>
        <v>16</v>
      </c>
      <c r="AV28" s="5">
        <f t="shared" si="39"/>
        <v>17</v>
      </c>
      <c r="AW28" s="5">
        <f t="shared" ref="AW28" si="40">AV28+1</f>
        <v>18</v>
      </c>
      <c r="AX28" s="46"/>
      <c r="AY28" s="4"/>
      <c r="AZ28" s="78"/>
      <c r="BA28" s="78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</row>
    <row r="29" spans="1:88" ht="15" hidden="1" customHeight="1" x14ac:dyDescent="0.25">
      <c r="A29" t="s">
        <v>6</v>
      </c>
      <c r="B29" s="139">
        <v>3</v>
      </c>
      <c r="C29" s="140">
        <v>6</v>
      </c>
      <c r="D29" s="139" t="str">
        <f t="shared" si="0"/>
        <v>COUNTDOWN_EAST_C_2_19</v>
      </c>
      <c r="E29" s="140"/>
      <c r="F29" s="142" t="s">
        <v>33</v>
      </c>
      <c r="G29" s="140" t="s">
        <v>18</v>
      </c>
      <c r="H29" s="140" t="s">
        <v>4</v>
      </c>
      <c r="I29" s="140">
        <v>2</v>
      </c>
      <c r="J29" s="144"/>
      <c r="K29" s="144"/>
      <c r="L29" s="140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178"/>
      <c r="Z29" s="82"/>
      <c r="AA29" s="5"/>
      <c r="AB29" s="5"/>
      <c r="AC29" s="6"/>
      <c r="AD29" s="6"/>
      <c r="AE29" s="57"/>
      <c r="AF29" s="133"/>
      <c r="AG29" s="56"/>
      <c r="AH29" s="56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</row>
    <row r="30" spans="1:88" ht="15" hidden="1" customHeight="1" x14ac:dyDescent="0.25">
      <c r="B30" s="139">
        <v>4</v>
      </c>
      <c r="C30" s="139">
        <v>1</v>
      </c>
      <c r="D30" s="139" t="str">
        <f t="shared" si="0"/>
        <v>SORTING_EAST_I_1_19</v>
      </c>
      <c r="E30" s="139" t="s">
        <v>35</v>
      </c>
      <c r="F30" s="138" t="s">
        <v>45</v>
      </c>
      <c r="G30" s="140" t="s">
        <v>18</v>
      </c>
      <c r="H30" s="140" t="s">
        <v>10</v>
      </c>
      <c r="I30" s="140">
        <v>1</v>
      </c>
      <c r="J30" s="139"/>
      <c r="K30" s="184">
        <f>COUNT(Z30:AX30)</f>
        <v>6</v>
      </c>
      <c r="L30" s="139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101"/>
      <c r="Z30" s="82">
        <v>1</v>
      </c>
      <c r="AA30" s="3">
        <f t="shared" ref="AA30:AG31" si="41">Z30+1</f>
        <v>2</v>
      </c>
      <c r="AB30" s="3">
        <f t="shared" si="41"/>
        <v>3</v>
      </c>
      <c r="AC30" s="3">
        <f t="shared" si="41"/>
        <v>4</v>
      </c>
      <c r="AD30" s="3">
        <f t="shared" si="41"/>
        <v>5</v>
      </c>
      <c r="AE30" s="3">
        <f t="shared" si="41"/>
        <v>6</v>
      </c>
      <c r="AF30" s="93"/>
      <c r="AG30" s="4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</row>
    <row r="31" spans="1:88" ht="15" hidden="1" customHeight="1" x14ac:dyDescent="0.25">
      <c r="B31" s="139">
        <v>4</v>
      </c>
      <c r="C31" s="139">
        <v>2</v>
      </c>
      <c r="D31" s="139" t="str">
        <f t="shared" si="0"/>
        <v>TRANSFER_EAST_I_1_19</v>
      </c>
      <c r="E31" s="139" t="s">
        <v>21</v>
      </c>
      <c r="F31" s="138" t="s">
        <v>21</v>
      </c>
      <c r="G31" s="140" t="s">
        <v>18</v>
      </c>
      <c r="H31" s="140" t="s">
        <v>10</v>
      </c>
      <c r="I31" s="140">
        <v>1</v>
      </c>
      <c r="J31" s="139"/>
      <c r="K31" s="184">
        <f>COUNT(Z31:AX31)</f>
        <v>8</v>
      </c>
      <c r="L31" s="13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178"/>
      <c r="Z31" s="82">
        <v>1</v>
      </c>
      <c r="AA31" s="3">
        <f>Z31+1</f>
        <v>2</v>
      </c>
      <c r="AB31" s="3">
        <f t="shared" si="41"/>
        <v>3</v>
      </c>
      <c r="AC31" s="3">
        <f t="shared" si="41"/>
        <v>4</v>
      </c>
      <c r="AD31" s="3">
        <f t="shared" si="41"/>
        <v>5</v>
      </c>
      <c r="AE31" s="3">
        <f t="shared" si="41"/>
        <v>6</v>
      </c>
      <c r="AF31" s="3">
        <f t="shared" si="41"/>
        <v>7</v>
      </c>
      <c r="AG31" s="3">
        <f t="shared" si="41"/>
        <v>8</v>
      </c>
      <c r="AH31" s="4"/>
      <c r="AI31" s="4"/>
      <c r="AJ31" s="3"/>
      <c r="AK31" s="3"/>
      <c r="AL31" s="3"/>
      <c r="AM31" s="3"/>
      <c r="AN31" s="3"/>
      <c r="AO31" s="3"/>
      <c r="AP31" s="3"/>
      <c r="AQ31" s="3"/>
      <c r="AR31" s="3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</row>
    <row r="32" spans="1:88" ht="15" customHeight="1" x14ac:dyDescent="0.25">
      <c r="B32" s="139">
        <v>4</v>
      </c>
      <c r="C32" s="139">
        <v>3</v>
      </c>
      <c r="D32" s="139" t="str">
        <f t="shared" si="0"/>
        <v>PREPARE_EAST_I_1_19</v>
      </c>
      <c r="E32" s="139" t="s">
        <v>0</v>
      </c>
      <c r="F32" s="138" t="s">
        <v>46</v>
      </c>
      <c r="G32" s="140" t="s">
        <v>18</v>
      </c>
      <c r="H32" s="140" t="s">
        <v>10</v>
      </c>
      <c r="I32" s="140">
        <v>1</v>
      </c>
      <c r="J32" s="141"/>
      <c r="K32" s="184">
        <f>COUNT(M32:AX32)</f>
        <v>22</v>
      </c>
      <c r="L32" s="139"/>
      <c r="M32" s="5">
        <v>1</v>
      </c>
      <c r="N32" s="5">
        <f>M32+1</f>
        <v>2</v>
      </c>
      <c r="O32" s="5">
        <f t="shared" ref="O32:AH34" si="42">N32+1</f>
        <v>3</v>
      </c>
      <c r="P32" s="5">
        <f t="shared" si="42"/>
        <v>4</v>
      </c>
      <c r="Q32" s="5">
        <f t="shared" si="42"/>
        <v>5</v>
      </c>
      <c r="R32" s="5">
        <f t="shared" si="42"/>
        <v>6</v>
      </c>
      <c r="S32" s="5">
        <f t="shared" si="42"/>
        <v>7</v>
      </c>
      <c r="T32" s="5">
        <f t="shared" si="42"/>
        <v>8</v>
      </c>
      <c r="U32" s="5">
        <f t="shared" si="42"/>
        <v>9</v>
      </c>
      <c r="V32" s="5">
        <f t="shared" si="42"/>
        <v>10</v>
      </c>
      <c r="W32" s="5">
        <f t="shared" si="42"/>
        <v>11</v>
      </c>
      <c r="X32" s="5">
        <f t="shared" si="42"/>
        <v>12</v>
      </c>
      <c r="Y32" s="5">
        <f t="shared" si="42"/>
        <v>13</v>
      </c>
      <c r="Z32" s="5">
        <f t="shared" si="42"/>
        <v>14</v>
      </c>
      <c r="AA32" s="5">
        <f t="shared" si="42"/>
        <v>15</v>
      </c>
      <c r="AB32" s="5">
        <f t="shared" si="42"/>
        <v>16</v>
      </c>
      <c r="AC32" s="5">
        <f t="shared" si="42"/>
        <v>17</v>
      </c>
      <c r="AD32" s="5">
        <f t="shared" si="42"/>
        <v>18</v>
      </c>
      <c r="AE32" s="5">
        <f t="shared" si="42"/>
        <v>19</v>
      </c>
      <c r="AF32" s="5">
        <f t="shared" si="42"/>
        <v>20</v>
      </c>
      <c r="AG32" s="5">
        <f t="shared" si="42"/>
        <v>21</v>
      </c>
      <c r="AH32" s="5">
        <f t="shared" si="42"/>
        <v>22</v>
      </c>
      <c r="AI32" s="4"/>
      <c r="AJ32" s="4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</row>
    <row r="33" spans="1:88" ht="15" customHeight="1" x14ac:dyDescent="0.25">
      <c r="B33" s="139">
        <v>4</v>
      </c>
      <c r="C33" s="139">
        <v>4</v>
      </c>
      <c r="D33" s="139" t="str">
        <f t="shared" si="0"/>
        <v>SUPPLY_EAST_I_1_19</v>
      </c>
      <c r="E33" s="139" t="s">
        <v>0</v>
      </c>
      <c r="F33" s="142" t="s">
        <v>0</v>
      </c>
      <c r="G33" s="140" t="s">
        <v>18</v>
      </c>
      <c r="H33" s="140" t="s">
        <v>10</v>
      </c>
      <c r="I33" s="140">
        <v>1</v>
      </c>
      <c r="J33" s="143"/>
      <c r="K33" s="184">
        <f>COUNT(AF33:BQ33)</f>
        <v>5</v>
      </c>
      <c r="L33" s="140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101"/>
      <c r="Z33" s="42"/>
      <c r="AA33" s="46"/>
      <c r="AB33" s="46"/>
      <c r="AC33" s="46"/>
      <c r="AD33" s="46"/>
      <c r="AE33" s="57"/>
      <c r="AF33" s="179">
        <v>1</v>
      </c>
      <c r="AG33" s="3">
        <f t="shared" si="42"/>
        <v>2</v>
      </c>
      <c r="AH33" s="3">
        <f t="shared" si="42"/>
        <v>3</v>
      </c>
      <c r="AI33" s="3">
        <f t="shared" ref="AI33:AX34" si="43">AH33+1</f>
        <v>4</v>
      </c>
      <c r="AJ33" s="3">
        <f t="shared" si="43"/>
        <v>5</v>
      </c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</row>
    <row r="34" spans="1:88" ht="15" customHeight="1" x14ac:dyDescent="0.25">
      <c r="B34" s="139">
        <v>4</v>
      </c>
      <c r="C34" s="140">
        <v>5</v>
      </c>
      <c r="D34" s="139" t="str">
        <f t="shared" si="0"/>
        <v>EMPTY_EAST_I_1_19</v>
      </c>
      <c r="E34" s="140" t="s">
        <v>0</v>
      </c>
      <c r="F34" s="142" t="s">
        <v>32</v>
      </c>
      <c r="G34" s="140" t="s">
        <v>18</v>
      </c>
      <c r="H34" s="140" t="s">
        <v>10</v>
      </c>
      <c r="I34" s="140">
        <v>1</v>
      </c>
      <c r="J34" s="139"/>
      <c r="K34" s="184">
        <f>COUNT(AF34:BQ34)</f>
        <v>20</v>
      </c>
      <c r="L34" s="139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101"/>
      <c r="Z34" s="42"/>
      <c r="AA34" s="46"/>
      <c r="AB34" s="46"/>
      <c r="AC34" s="46"/>
      <c r="AD34" s="46"/>
      <c r="AE34" s="57"/>
      <c r="AF34" s="179">
        <v>1</v>
      </c>
      <c r="AG34" s="5">
        <f>AF34+1</f>
        <v>2</v>
      </c>
      <c r="AH34" s="5">
        <f t="shared" si="42"/>
        <v>3</v>
      </c>
      <c r="AI34" s="5">
        <f t="shared" si="43"/>
        <v>4</v>
      </c>
      <c r="AJ34" s="5">
        <f t="shared" si="43"/>
        <v>5</v>
      </c>
      <c r="AK34" s="5">
        <f t="shared" si="43"/>
        <v>6</v>
      </c>
      <c r="AL34" s="5">
        <f t="shared" si="43"/>
        <v>7</v>
      </c>
      <c r="AM34" s="5">
        <f t="shared" si="43"/>
        <v>8</v>
      </c>
      <c r="AN34" s="5">
        <f t="shared" si="43"/>
        <v>9</v>
      </c>
      <c r="AO34" s="5">
        <f t="shared" si="43"/>
        <v>10</v>
      </c>
      <c r="AP34" s="5">
        <f t="shared" si="43"/>
        <v>11</v>
      </c>
      <c r="AQ34" s="5">
        <f t="shared" si="43"/>
        <v>12</v>
      </c>
      <c r="AR34" s="5">
        <f t="shared" si="43"/>
        <v>13</v>
      </c>
      <c r="AS34" s="5">
        <f t="shared" si="43"/>
        <v>14</v>
      </c>
      <c r="AT34" s="5">
        <f t="shared" si="43"/>
        <v>15</v>
      </c>
      <c r="AU34" s="5">
        <f t="shared" si="43"/>
        <v>16</v>
      </c>
      <c r="AV34" s="5">
        <f t="shared" si="43"/>
        <v>17</v>
      </c>
      <c r="AW34" s="5">
        <f t="shared" si="43"/>
        <v>18</v>
      </c>
      <c r="AX34" s="5">
        <f t="shared" si="43"/>
        <v>19</v>
      </c>
      <c r="AY34" s="5">
        <f t="shared" ref="AY34" si="44">AX34+1</f>
        <v>20</v>
      </c>
      <c r="AZ34" s="46"/>
      <c r="BA34" s="4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</row>
    <row r="35" spans="1:88" ht="15" hidden="1" customHeight="1" x14ac:dyDescent="0.25">
      <c r="B35" s="139">
        <v>4</v>
      </c>
      <c r="C35" s="140">
        <v>6</v>
      </c>
      <c r="D35" s="139" t="str">
        <f t="shared" si="0"/>
        <v>COUNTDOWN_EAST_I_1_19</v>
      </c>
      <c r="E35" s="140"/>
      <c r="F35" s="142" t="s">
        <v>33</v>
      </c>
      <c r="G35" s="140" t="s">
        <v>18</v>
      </c>
      <c r="H35" s="140" t="s">
        <v>10</v>
      </c>
      <c r="I35" s="140">
        <v>1</v>
      </c>
      <c r="J35" s="144"/>
      <c r="K35" s="144"/>
      <c r="L35" s="140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178"/>
      <c r="Z35" s="82"/>
      <c r="AA35" s="5"/>
      <c r="AB35" s="5"/>
      <c r="AC35" s="5"/>
      <c r="AD35" s="5"/>
      <c r="AE35" s="28"/>
      <c r="AF35" s="132"/>
      <c r="AG35" s="46"/>
      <c r="AH35" s="46"/>
      <c r="AI35" s="56"/>
      <c r="AJ35" s="56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</row>
    <row r="36" spans="1:88" ht="15" hidden="1" customHeight="1" x14ac:dyDescent="0.25">
      <c r="A36" t="s">
        <v>15</v>
      </c>
      <c r="B36" s="139">
        <v>5</v>
      </c>
      <c r="C36" s="139">
        <v>1</v>
      </c>
      <c r="D36" s="139" t="str">
        <f t="shared" si="0"/>
        <v>SORTING_EAST_G_2_19</v>
      </c>
      <c r="E36" s="139" t="s">
        <v>35</v>
      </c>
      <c r="F36" s="138" t="s">
        <v>45</v>
      </c>
      <c r="G36" s="140" t="s">
        <v>18</v>
      </c>
      <c r="H36" s="140" t="s">
        <v>8</v>
      </c>
      <c r="I36" s="140">
        <v>2</v>
      </c>
      <c r="J36" s="139"/>
      <c r="K36" s="184">
        <f>COUNT(Z36:AX36)</f>
        <v>8</v>
      </c>
      <c r="L36" s="139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101"/>
      <c r="Z36" s="82">
        <v>1</v>
      </c>
      <c r="AA36" s="3">
        <f t="shared" ref="AA36:AI37" si="45">Z36+1</f>
        <v>2</v>
      </c>
      <c r="AB36" s="3">
        <f t="shared" si="45"/>
        <v>3</v>
      </c>
      <c r="AC36" s="3">
        <f t="shared" si="45"/>
        <v>4</v>
      </c>
      <c r="AD36" s="3">
        <f t="shared" si="45"/>
        <v>5</v>
      </c>
      <c r="AE36" s="3">
        <f t="shared" si="45"/>
        <v>6</v>
      </c>
      <c r="AF36" s="3">
        <f t="shared" si="45"/>
        <v>7</v>
      </c>
      <c r="AG36" s="3">
        <f t="shared" si="45"/>
        <v>8</v>
      </c>
      <c r="AH36" s="4"/>
      <c r="AI36" s="4"/>
      <c r="AJ36" s="3"/>
      <c r="AK36" s="3"/>
      <c r="AL36" s="3"/>
      <c r="AM36" s="3"/>
      <c r="AN36" s="3"/>
      <c r="AO36" s="3"/>
      <c r="AP36" s="3"/>
      <c r="AQ36" s="3"/>
      <c r="AR36" s="3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</row>
    <row r="37" spans="1:88" ht="15" hidden="1" customHeight="1" x14ac:dyDescent="0.25">
      <c r="A37" t="s">
        <v>15</v>
      </c>
      <c r="B37" s="139">
        <v>5</v>
      </c>
      <c r="C37" s="139">
        <v>2</v>
      </c>
      <c r="D37" s="139" t="str">
        <f t="shared" si="0"/>
        <v>TRANSFER_EAST_G_2_19</v>
      </c>
      <c r="E37" s="139" t="s">
        <v>21</v>
      </c>
      <c r="F37" s="138" t="s">
        <v>21</v>
      </c>
      <c r="G37" s="140" t="s">
        <v>18</v>
      </c>
      <c r="H37" s="140" t="s">
        <v>8</v>
      </c>
      <c r="I37" s="140">
        <v>2</v>
      </c>
      <c r="J37" s="139"/>
      <c r="K37" s="184">
        <f>COUNT(Z37:AX37)</f>
        <v>10</v>
      </c>
      <c r="L37" s="13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178"/>
      <c r="Z37" s="82">
        <v>1</v>
      </c>
      <c r="AA37" s="3">
        <f>Z37+1</f>
        <v>2</v>
      </c>
      <c r="AB37" s="3">
        <f t="shared" si="45"/>
        <v>3</v>
      </c>
      <c r="AC37" s="3">
        <f t="shared" si="45"/>
        <v>4</v>
      </c>
      <c r="AD37" s="3">
        <f t="shared" si="45"/>
        <v>5</v>
      </c>
      <c r="AE37" s="3">
        <f t="shared" si="45"/>
        <v>6</v>
      </c>
      <c r="AF37" s="3">
        <f t="shared" si="45"/>
        <v>7</v>
      </c>
      <c r="AG37" s="3">
        <f t="shared" si="45"/>
        <v>8</v>
      </c>
      <c r="AH37" s="3">
        <f t="shared" si="45"/>
        <v>9</v>
      </c>
      <c r="AI37" s="3">
        <f t="shared" si="45"/>
        <v>10</v>
      </c>
      <c r="AJ37" s="4"/>
      <c r="AK37" s="4"/>
      <c r="AL37" s="3"/>
      <c r="AM37" s="3"/>
      <c r="AN37" s="3"/>
      <c r="AO37" s="3"/>
      <c r="AP37" s="3"/>
      <c r="AQ37" s="3"/>
      <c r="AR37" s="3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</row>
    <row r="38" spans="1:88" ht="15" customHeight="1" x14ac:dyDescent="0.25">
      <c r="A38" t="s">
        <v>15</v>
      </c>
      <c r="B38" s="139">
        <v>5</v>
      </c>
      <c r="C38" s="139">
        <v>3</v>
      </c>
      <c r="D38" s="139" t="str">
        <f t="shared" si="0"/>
        <v>PREPARE_EAST_G_2_19</v>
      </c>
      <c r="E38" s="139" t="s">
        <v>0</v>
      </c>
      <c r="F38" s="138" t="s">
        <v>46</v>
      </c>
      <c r="G38" s="140" t="s">
        <v>18</v>
      </c>
      <c r="H38" s="140" t="s">
        <v>8</v>
      </c>
      <c r="I38" s="140">
        <v>2</v>
      </c>
      <c r="J38" s="141"/>
      <c r="K38" s="184">
        <f>COUNT(M38:AX38)</f>
        <v>24</v>
      </c>
      <c r="L38" s="139"/>
      <c r="M38" s="5">
        <v>1</v>
      </c>
      <c r="N38" s="5">
        <f>M38+1</f>
        <v>2</v>
      </c>
      <c r="O38" s="5">
        <f t="shared" ref="O38:AJ40" si="46">N38+1</f>
        <v>3</v>
      </c>
      <c r="P38" s="5">
        <f t="shared" si="46"/>
        <v>4</v>
      </c>
      <c r="Q38" s="5">
        <f t="shared" si="46"/>
        <v>5</v>
      </c>
      <c r="R38" s="5">
        <f t="shared" si="46"/>
        <v>6</v>
      </c>
      <c r="S38" s="5">
        <f t="shared" si="46"/>
        <v>7</v>
      </c>
      <c r="T38" s="5">
        <f t="shared" si="46"/>
        <v>8</v>
      </c>
      <c r="U38" s="5">
        <f t="shared" si="46"/>
        <v>9</v>
      </c>
      <c r="V38" s="5">
        <f t="shared" si="46"/>
        <v>10</v>
      </c>
      <c r="W38" s="5">
        <f t="shared" si="46"/>
        <v>11</v>
      </c>
      <c r="X38" s="5">
        <f t="shared" si="46"/>
        <v>12</v>
      </c>
      <c r="Y38" s="5">
        <f t="shared" si="46"/>
        <v>13</v>
      </c>
      <c r="Z38" s="5">
        <f t="shared" si="46"/>
        <v>14</v>
      </c>
      <c r="AA38" s="5">
        <f t="shared" si="46"/>
        <v>15</v>
      </c>
      <c r="AB38" s="5">
        <f t="shared" si="46"/>
        <v>16</v>
      </c>
      <c r="AC38" s="5">
        <f t="shared" si="46"/>
        <v>17</v>
      </c>
      <c r="AD38" s="5">
        <f t="shared" si="46"/>
        <v>18</v>
      </c>
      <c r="AE38" s="5">
        <f t="shared" si="46"/>
        <v>19</v>
      </c>
      <c r="AF38" s="5">
        <f t="shared" si="46"/>
        <v>20</v>
      </c>
      <c r="AG38" s="5">
        <f t="shared" si="46"/>
        <v>21</v>
      </c>
      <c r="AH38" s="5">
        <f t="shared" si="46"/>
        <v>22</v>
      </c>
      <c r="AI38" s="5">
        <f t="shared" si="46"/>
        <v>23</v>
      </c>
      <c r="AJ38" s="5">
        <f t="shared" si="46"/>
        <v>24</v>
      </c>
      <c r="AK38" s="4"/>
      <c r="AL38" s="152"/>
      <c r="AM38" s="194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</row>
    <row r="39" spans="1:88" ht="15" customHeight="1" x14ac:dyDescent="0.25">
      <c r="A39" t="s">
        <v>15</v>
      </c>
      <c r="B39" s="139">
        <v>5</v>
      </c>
      <c r="C39" s="139">
        <v>4</v>
      </c>
      <c r="D39" s="139" t="str">
        <f t="shared" si="0"/>
        <v>SUPPLY_EAST_G_2_19</v>
      </c>
      <c r="E39" s="139" t="s">
        <v>0</v>
      </c>
      <c r="F39" s="142" t="s">
        <v>0</v>
      </c>
      <c r="G39" s="140" t="s">
        <v>18</v>
      </c>
      <c r="H39" s="140" t="s">
        <v>8</v>
      </c>
      <c r="I39" s="140">
        <v>2</v>
      </c>
      <c r="J39" s="143"/>
      <c r="K39" s="184">
        <f>COUNT(AF39:BQ39)</f>
        <v>7</v>
      </c>
      <c r="L39" s="140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101"/>
      <c r="Z39" s="42"/>
      <c r="AA39" s="46"/>
      <c r="AB39" s="46"/>
      <c r="AC39" s="46"/>
      <c r="AD39" s="46"/>
      <c r="AE39" s="57"/>
      <c r="AF39" s="179">
        <v>1</v>
      </c>
      <c r="AG39" s="3">
        <f t="shared" si="46"/>
        <v>2</v>
      </c>
      <c r="AH39" s="3">
        <f t="shared" si="46"/>
        <v>3</v>
      </c>
      <c r="AI39" s="3">
        <f t="shared" si="46"/>
        <v>4</v>
      </c>
      <c r="AJ39" s="3">
        <f t="shared" si="46"/>
        <v>5</v>
      </c>
      <c r="AK39" s="3">
        <f t="shared" ref="AK39:AZ40" si="47">AJ39+1</f>
        <v>6</v>
      </c>
      <c r="AL39" s="3">
        <f t="shared" si="47"/>
        <v>7</v>
      </c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</row>
    <row r="40" spans="1:88" ht="15" customHeight="1" x14ac:dyDescent="0.25">
      <c r="A40" t="s">
        <v>15</v>
      </c>
      <c r="B40" s="139">
        <v>5</v>
      </c>
      <c r="C40" s="140">
        <v>5</v>
      </c>
      <c r="D40" s="139" t="str">
        <f t="shared" si="0"/>
        <v>EMPTY_EAST_G_2_19</v>
      </c>
      <c r="E40" s="140" t="s">
        <v>0</v>
      </c>
      <c r="F40" s="142" t="s">
        <v>32</v>
      </c>
      <c r="G40" s="140" t="s">
        <v>18</v>
      </c>
      <c r="H40" s="140" t="s">
        <v>8</v>
      </c>
      <c r="I40" s="140">
        <v>2</v>
      </c>
      <c r="J40" s="139"/>
      <c r="K40" s="184">
        <f>COUNT(AF40:BQ40)</f>
        <v>22</v>
      </c>
      <c r="L40" s="139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101"/>
      <c r="Z40" s="42"/>
      <c r="AA40" s="46"/>
      <c r="AB40" s="46"/>
      <c r="AC40" s="46"/>
      <c r="AD40" s="46"/>
      <c r="AE40" s="57"/>
      <c r="AF40" s="179">
        <v>1</v>
      </c>
      <c r="AG40" s="5">
        <f>AF40+1</f>
        <v>2</v>
      </c>
      <c r="AH40" s="5">
        <f t="shared" si="46"/>
        <v>3</v>
      </c>
      <c r="AI40" s="5">
        <f t="shared" si="46"/>
        <v>4</v>
      </c>
      <c r="AJ40" s="5">
        <f t="shared" si="46"/>
        <v>5</v>
      </c>
      <c r="AK40" s="5">
        <f t="shared" si="47"/>
        <v>6</v>
      </c>
      <c r="AL40" s="5">
        <f t="shared" si="47"/>
        <v>7</v>
      </c>
      <c r="AM40" s="5">
        <f t="shared" si="47"/>
        <v>8</v>
      </c>
      <c r="AN40" s="5">
        <f t="shared" si="47"/>
        <v>9</v>
      </c>
      <c r="AO40" s="5">
        <f t="shared" si="47"/>
        <v>10</v>
      </c>
      <c r="AP40" s="5">
        <f t="shared" si="47"/>
        <v>11</v>
      </c>
      <c r="AQ40" s="5">
        <f t="shared" si="47"/>
        <v>12</v>
      </c>
      <c r="AR40" s="5">
        <f t="shared" si="47"/>
        <v>13</v>
      </c>
      <c r="AS40" s="5">
        <f t="shared" si="47"/>
        <v>14</v>
      </c>
      <c r="AT40" s="5">
        <f t="shared" si="47"/>
        <v>15</v>
      </c>
      <c r="AU40" s="5">
        <f t="shared" si="47"/>
        <v>16</v>
      </c>
      <c r="AV40" s="5">
        <f t="shared" si="47"/>
        <v>17</v>
      </c>
      <c r="AW40" s="5">
        <f t="shared" si="47"/>
        <v>18</v>
      </c>
      <c r="AX40" s="5">
        <f t="shared" si="47"/>
        <v>19</v>
      </c>
      <c r="AY40" s="5">
        <f t="shared" si="47"/>
        <v>20</v>
      </c>
      <c r="AZ40" s="5">
        <f t="shared" si="47"/>
        <v>21</v>
      </c>
      <c r="BA40" s="5">
        <f t="shared" ref="BA40" si="48">AZ40+1</f>
        <v>22</v>
      </c>
      <c r="BB40" s="46"/>
      <c r="BC40" s="4"/>
      <c r="BD40" s="3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</row>
    <row r="41" spans="1:88" ht="15" hidden="1" customHeight="1" x14ac:dyDescent="0.25">
      <c r="A41" t="s">
        <v>15</v>
      </c>
      <c r="B41" s="139">
        <v>5</v>
      </c>
      <c r="C41" s="140">
        <v>6</v>
      </c>
      <c r="D41" s="139" t="str">
        <f t="shared" si="0"/>
        <v>COUNTDOWN_EAST_G_2_19</v>
      </c>
      <c r="E41" s="140"/>
      <c r="F41" s="142" t="s">
        <v>33</v>
      </c>
      <c r="G41" s="140" t="s">
        <v>18</v>
      </c>
      <c r="H41" s="140" t="s">
        <v>8</v>
      </c>
      <c r="I41" s="140">
        <v>2</v>
      </c>
      <c r="J41" s="144"/>
      <c r="K41" s="144"/>
      <c r="L41" s="140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178"/>
      <c r="Z41" s="82"/>
      <c r="AA41" s="5"/>
      <c r="AB41" s="5"/>
      <c r="AC41" s="5"/>
      <c r="AD41" s="5"/>
      <c r="AE41" s="64"/>
      <c r="AF41" s="179"/>
      <c r="AG41" s="6"/>
      <c r="AH41" s="6"/>
      <c r="AI41" s="46"/>
      <c r="AJ41" s="46"/>
      <c r="AK41" s="56"/>
      <c r="AL41" s="56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</row>
    <row r="42" spans="1:88" ht="15" hidden="1" customHeight="1" x14ac:dyDescent="0.25">
      <c r="B42" s="139">
        <v>6</v>
      </c>
      <c r="C42" s="139">
        <v>1</v>
      </c>
      <c r="D42" s="139" t="str">
        <f t="shared" si="0"/>
        <v>SORTING_EAST_B_1_19</v>
      </c>
      <c r="E42" s="139" t="s">
        <v>35</v>
      </c>
      <c r="F42" s="138" t="s">
        <v>45</v>
      </c>
      <c r="G42" s="140" t="s">
        <v>18</v>
      </c>
      <c r="H42" s="140" t="s">
        <v>3</v>
      </c>
      <c r="I42" s="140">
        <v>1</v>
      </c>
      <c r="J42" s="139"/>
      <c r="K42" s="184">
        <f>COUNT(Z42:AX42)</f>
        <v>10</v>
      </c>
      <c r="L42" s="139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101"/>
      <c r="Z42" s="82">
        <v>1</v>
      </c>
      <c r="AA42" s="3">
        <f t="shared" ref="AA42:AK43" si="49">Z42+1</f>
        <v>2</v>
      </c>
      <c r="AB42" s="3">
        <f t="shared" si="49"/>
        <v>3</v>
      </c>
      <c r="AC42" s="3">
        <f t="shared" si="49"/>
        <v>4</v>
      </c>
      <c r="AD42" s="3">
        <f t="shared" si="49"/>
        <v>5</v>
      </c>
      <c r="AE42" s="3">
        <f t="shared" si="49"/>
        <v>6</v>
      </c>
      <c r="AF42" s="3">
        <f t="shared" si="49"/>
        <v>7</v>
      </c>
      <c r="AG42" s="3">
        <f t="shared" si="49"/>
        <v>8</v>
      </c>
      <c r="AH42" s="3">
        <f t="shared" si="49"/>
        <v>9</v>
      </c>
      <c r="AI42" s="3">
        <f t="shared" si="49"/>
        <v>10</v>
      </c>
      <c r="AJ42" s="4"/>
      <c r="AK42" s="4"/>
      <c r="AL42" s="3"/>
      <c r="AM42" s="3"/>
      <c r="AN42" s="3"/>
      <c r="AO42" s="3"/>
      <c r="AP42" s="3"/>
      <c r="AQ42" s="3"/>
      <c r="AR42" s="3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</row>
    <row r="43" spans="1:88" ht="15" hidden="1" customHeight="1" x14ac:dyDescent="0.25">
      <c r="B43" s="139">
        <v>6</v>
      </c>
      <c r="C43" s="139">
        <v>2</v>
      </c>
      <c r="D43" s="139" t="str">
        <f t="shared" si="0"/>
        <v>TRANSFER_EAST_B_1_19</v>
      </c>
      <c r="E43" s="139" t="s">
        <v>21</v>
      </c>
      <c r="F43" s="138" t="s">
        <v>21</v>
      </c>
      <c r="G43" s="140" t="s">
        <v>18</v>
      </c>
      <c r="H43" s="140" t="s">
        <v>3</v>
      </c>
      <c r="I43" s="140">
        <v>1</v>
      </c>
      <c r="J43" s="139"/>
      <c r="K43" s="184">
        <f>COUNT(Z43:AX43)</f>
        <v>12</v>
      </c>
      <c r="L43" s="139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178"/>
      <c r="Z43" s="82">
        <v>1</v>
      </c>
      <c r="AA43" s="3">
        <f>Z43+1</f>
        <v>2</v>
      </c>
      <c r="AB43" s="3">
        <f t="shared" si="49"/>
        <v>3</v>
      </c>
      <c r="AC43" s="3">
        <f t="shared" si="49"/>
        <v>4</v>
      </c>
      <c r="AD43" s="3">
        <f t="shared" si="49"/>
        <v>5</v>
      </c>
      <c r="AE43" s="3">
        <f t="shared" si="49"/>
        <v>6</v>
      </c>
      <c r="AF43" s="3">
        <f t="shared" si="49"/>
        <v>7</v>
      </c>
      <c r="AG43" s="3">
        <f t="shared" si="49"/>
        <v>8</v>
      </c>
      <c r="AH43" s="3">
        <f t="shared" si="49"/>
        <v>9</v>
      </c>
      <c r="AI43" s="3">
        <f t="shared" si="49"/>
        <v>10</v>
      </c>
      <c r="AJ43" s="3">
        <f t="shared" si="49"/>
        <v>11</v>
      </c>
      <c r="AK43" s="3">
        <f t="shared" si="49"/>
        <v>12</v>
      </c>
      <c r="AL43" s="4"/>
      <c r="AM43" s="4"/>
      <c r="AN43" s="3"/>
      <c r="AO43" s="3"/>
      <c r="AP43" s="3"/>
      <c r="AQ43" s="3"/>
      <c r="AR43" s="3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</row>
    <row r="44" spans="1:88" ht="15" customHeight="1" x14ac:dyDescent="0.25">
      <c r="B44" s="139">
        <v>6</v>
      </c>
      <c r="C44" s="139">
        <v>3</v>
      </c>
      <c r="D44" s="139" t="str">
        <f t="shared" si="0"/>
        <v>PREPARE_EAST_B_1_19</v>
      </c>
      <c r="E44" s="139" t="s">
        <v>0</v>
      </c>
      <c r="F44" s="138" t="s">
        <v>46</v>
      </c>
      <c r="G44" s="140" t="s">
        <v>18</v>
      </c>
      <c r="H44" s="140" t="s">
        <v>3</v>
      </c>
      <c r="I44" s="140">
        <v>1</v>
      </c>
      <c r="J44" s="141"/>
      <c r="K44" s="184">
        <f>COUNT(M44:AX44)</f>
        <v>27</v>
      </c>
      <c r="L44" s="139"/>
      <c r="M44" s="5">
        <v>1</v>
      </c>
      <c r="N44" s="5">
        <f>M44+1</f>
        <v>2</v>
      </c>
      <c r="O44" s="5">
        <f t="shared" ref="O44:AM46" si="50">N44+1</f>
        <v>3</v>
      </c>
      <c r="P44" s="5">
        <f t="shared" si="50"/>
        <v>4</v>
      </c>
      <c r="Q44" s="5">
        <f t="shared" si="50"/>
        <v>5</v>
      </c>
      <c r="R44" s="5">
        <f t="shared" si="50"/>
        <v>6</v>
      </c>
      <c r="S44" s="5">
        <f t="shared" si="50"/>
        <v>7</v>
      </c>
      <c r="T44" s="5">
        <f t="shared" si="50"/>
        <v>8</v>
      </c>
      <c r="U44" s="5">
        <f t="shared" si="50"/>
        <v>9</v>
      </c>
      <c r="V44" s="5">
        <f t="shared" si="50"/>
        <v>10</v>
      </c>
      <c r="W44" s="5">
        <f t="shared" si="50"/>
        <v>11</v>
      </c>
      <c r="X44" s="5">
        <f t="shared" si="50"/>
        <v>12</v>
      </c>
      <c r="Y44" s="5">
        <f t="shared" si="50"/>
        <v>13</v>
      </c>
      <c r="Z44" s="5">
        <f t="shared" si="50"/>
        <v>14</v>
      </c>
      <c r="AA44" s="5">
        <f t="shared" si="50"/>
        <v>15</v>
      </c>
      <c r="AB44" s="5">
        <f t="shared" si="50"/>
        <v>16</v>
      </c>
      <c r="AC44" s="5">
        <f t="shared" si="50"/>
        <v>17</v>
      </c>
      <c r="AD44" s="5">
        <f t="shared" si="50"/>
        <v>18</v>
      </c>
      <c r="AE44" s="5">
        <f t="shared" si="50"/>
        <v>19</v>
      </c>
      <c r="AF44" s="5">
        <f t="shared" si="50"/>
        <v>20</v>
      </c>
      <c r="AG44" s="5">
        <f t="shared" si="50"/>
        <v>21</v>
      </c>
      <c r="AH44" s="5">
        <f t="shared" si="50"/>
        <v>22</v>
      </c>
      <c r="AI44" s="5">
        <f t="shared" si="50"/>
        <v>23</v>
      </c>
      <c r="AJ44" s="5">
        <f t="shared" si="50"/>
        <v>24</v>
      </c>
      <c r="AK44" s="5">
        <f t="shared" si="50"/>
        <v>25</v>
      </c>
      <c r="AL44" s="5">
        <f t="shared" si="50"/>
        <v>26</v>
      </c>
      <c r="AM44" s="5">
        <f t="shared" si="50"/>
        <v>27</v>
      </c>
      <c r="AN44" s="152"/>
      <c r="AO44" s="4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</row>
    <row r="45" spans="1:88" ht="15" customHeight="1" x14ac:dyDescent="0.25">
      <c r="B45" s="139">
        <v>6</v>
      </c>
      <c r="C45" s="139">
        <v>4</v>
      </c>
      <c r="D45" s="139" t="str">
        <f t="shared" si="0"/>
        <v>SUPPLY_EAST_B_1_19</v>
      </c>
      <c r="E45" s="139" t="s">
        <v>0</v>
      </c>
      <c r="F45" s="142" t="s">
        <v>0</v>
      </c>
      <c r="G45" s="140" t="s">
        <v>18</v>
      </c>
      <c r="H45" s="140" t="s">
        <v>3</v>
      </c>
      <c r="I45" s="140">
        <v>1</v>
      </c>
      <c r="J45" s="143"/>
      <c r="K45" s="184">
        <f>COUNT(AF45:BQ45)</f>
        <v>10</v>
      </c>
      <c r="L45" s="140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101"/>
      <c r="Z45" s="42"/>
      <c r="AA45" s="46"/>
      <c r="AB45" s="46"/>
      <c r="AC45" s="46"/>
      <c r="AD45" s="46"/>
      <c r="AE45" s="57"/>
      <c r="AF45" s="179">
        <v>1</v>
      </c>
      <c r="AG45" s="3">
        <f t="shared" si="50"/>
        <v>2</v>
      </c>
      <c r="AH45" s="3">
        <f t="shared" si="50"/>
        <v>3</v>
      </c>
      <c r="AI45" s="3">
        <f t="shared" si="50"/>
        <v>4</v>
      </c>
      <c r="AJ45" s="3">
        <f t="shared" si="50"/>
        <v>5</v>
      </c>
      <c r="AK45" s="3">
        <f t="shared" si="50"/>
        <v>6</v>
      </c>
      <c r="AL45" s="3">
        <f t="shared" si="50"/>
        <v>7</v>
      </c>
      <c r="AM45" s="3">
        <f t="shared" ref="AM45:BB46" si="51">AL45+1</f>
        <v>8</v>
      </c>
      <c r="AN45" s="3">
        <f t="shared" si="51"/>
        <v>9</v>
      </c>
      <c r="AO45" s="3">
        <f t="shared" si="51"/>
        <v>10</v>
      </c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52"/>
      <c r="BC45" s="152"/>
      <c r="BD45" s="152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</row>
    <row r="46" spans="1:88" ht="15" customHeight="1" x14ac:dyDescent="0.25">
      <c r="B46" s="139">
        <v>6</v>
      </c>
      <c r="C46" s="140">
        <v>5</v>
      </c>
      <c r="D46" s="139" t="str">
        <f t="shared" si="0"/>
        <v>EMPTY_EAST_B_1_19</v>
      </c>
      <c r="E46" s="140" t="s">
        <v>0</v>
      </c>
      <c r="F46" s="142" t="s">
        <v>32</v>
      </c>
      <c r="G46" s="140" t="s">
        <v>18</v>
      </c>
      <c r="H46" s="140" t="s">
        <v>3</v>
      </c>
      <c r="I46" s="140">
        <v>1</v>
      </c>
      <c r="J46" s="139"/>
      <c r="K46" s="184">
        <f>COUNT(AF46:BQ46)</f>
        <v>25</v>
      </c>
      <c r="L46" s="139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101"/>
      <c r="Z46" s="42"/>
      <c r="AA46" s="46"/>
      <c r="AB46" s="46"/>
      <c r="AC46" s="46"/>
      <c r="AD46" s="46"/>
      <c r="AE46" s="57"/>
      <c r="AF46" s="179">
        <v>1</v>
      </c>
      <c r="AG46" s="5">
        <f>AF46+1</f>
        <v>2</v>
      </c>
      <c r="AH46" s="5">
        <f t="shared" si="50"/>
        <v>3</v>
      </c>
      <c r="AI46" s="5">
        <f t="shared" si="50"/>
        <v>4</v>
      </c>
      <c r="AJ46" s="5">
        <f t="shared" si="50"/>
        <v>5</v>
      </c>
      <c r="AK46" s="5">
        <f t="shared" si="50"/>
        <v>6</v>
      </c>
      <c r="AL46" s="5">
        <f t="shared" si="50"/>
        <v>7</v>
      </c>
      <c r="AM46" s="5">
        <f t="shared" si="51"/>
        <v>8</v>
      </c>
      <c r="AN46" s="5">
        <f t="shared" si="51"/>
        <v>9</v>
      </c>
      <c r="AO46" s="5">
        <f t="shared" si="51"/>
        <v>10</v>
      </c>
      <c r="AP46" s="5">
        <f t="shared" si="51"/>
        <v>11</v>
      </c>
      <c r="AQ46" s="5">
        <f t="shared" si="51"/>
        <v>12</v>
      </c>
      <c r="AR46" s="5">
        <f t="shared" si="51"/>
        <v>13</v>
      </c>
      <c r="AS46" s="5">
        <f t="shared" si="51"/>
        <v>14</v>
      </c>
      <c r="AT46" s="5">
        <f t="shared" si="51"/>
        <v>15</v>
      </c>
      <c r="AU46" s="5">
        <f t="shared" si="51"/>
        <v>16</v>
      </c>
      <c r="AV46" s="5">
        <f t="shared" si="51"/>
        <v>17</v>
      </c>
      <c r="AW46" s="5">
        <f t="shared" si="51"/>
        <v>18</v>
      </c>
      <c r="AX46" s="5">
        <f t="shared" si="51"/>
        <v>19</v>
      </c>
      <c r="AY46" s="5">
        <f t="shared" si="51"/>
        <v>20</v>
      </c>
      <c r="AZ46" s="5">
        <f t="shared" si="51"/>
        <v>21</v>
      </c>
      <c r="BA46" s="5">
        <f t="shared" si="51"/>
        <v>22</v>
      </c>
      <c r="BB46" s="5">
        <f t="shared" si="51"/>
        <v>23</v>
      </c>
      <c r="BC46" s="5">
        <f t="shared" ref="BC46:BD46" si="52">BB46+1</f>
        <v>24</v>
      </c>
      <c r="BD46" s="5">
        <f t="shared" si="52"/>
        <v>25</v>
      </c>
      <c r="BE46" s="46"/>
      <c r="BF46" s="152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</row>
    <row r="47" spans="1:88" ht="15" hidden="1" customHeight="1" x14ac:dyDescent="0.25">
      <c r="B47" s="139">
        <v>6</v>
      </c>
      <c r="C47" s="140">
        <v>6</v>
      </c>
      <c r="D47" s="139" t="str">
        <f t="shared" si="0"/>
        <v>COUNTDOWN_EAST_B_1_19</v>
      </c>
      <c r="E47" s="140"/>
      <c r="F47" s="142" t="s">
        <v>33</v>
      </c>
      <c r="G47" s="140" t="s">
        <v>18</v>
      </c>
      <c r="H47" s="140" t="s">
        <v>3</v>
      </c>
      <c r="I47" s="140">
        <v>1</v>
      </c>
      <c r="J47" s="144"/>
      <c r="K47" s="144"/>
      <c r="L47" s="140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178"/>
      <c r="Z47" s="82"/>
      <c r="AA47" s="5"/>
      <c r="AB47" s="5"/>
      <c r="AC47" s="5"/>
      <c r="AD47" s="5"/>
      <c r="AE47" s="64"/>
      <c r="AF47" s="179"/>
      <c r="AG47" s="5"/>
      <c r="AH47" s="5"/>
      <c r="AI47" s="6"/>
      <c r="AJ47" s="6"/>
      <c r="AK47" s="46"/>
      <c r="AL47" s="46"/>
      <c r="AM47" s="56"/>
      <c r="AN47" s="56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</row>
    <row r="48" spans="1:88" ht="15" hidden="1" customHeight="1" x14ac:dyDescent="0.25">
      <c r="B48" s="139">
        <v>7</v>
      </c>
      <c r="C48" s="139">
        <v>1</v>
      </c>
      <c r="D48" s="139" t="str">
        <f t="shared" si="0"/>
        <v>SORTING_EAST_E_2_19</v>
      </c>
      <c r="E48" s="139" t="s">
        <v>35</v>
      </c>
      <c r="F48" s="138" t="s">
        <v>45</v>
      </c>
      <c r="G48" s="140" t="s">
        <v>18</v>
      </c>
      <c r="H48" s="140" t="s">
        <v>6</v>
      </c>
      <c r="I48" s="140">
        <v>2</v>
      </c>
      <c r="J48" s="139"/>
      <c r="K48" s="184">
        <f>COUNT(Z48:AX48)</f>
        <v>12</v>
      </c>
      <c r="L48" s="139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101"/>
      <c r="Z48" s="82">
        <v>1</v>
      </c>
      <c r="AA48" s="3">
        <f t="shared" ref="AA48:AM49" si="53">Z48+1</f>
        <v>2</v>
      </c>
      <c r="AB48" s="3">
        <f t="shared" si="53"/>
        <v>3</v>
      </c>
      <c r="AC48" s="3">
        <f t="shared" si="53"/>
        <v>4</v>
      </c>
      <c r="AD48" s="3">
        <f t="shared" si="53"/>
        <v>5</v>
      </c>
      <c r="AE48" s="3">
        <f t="shared" si="53"/>
        <v>6</v>
      </c>
      <c r="AF48" s="3">
        <f t="shared" si="53"/>
        <v>7</v>
      </c>
      <c r="AG48" s="3">
        <f t="shared" si="53"/>
        <v>8</v>
      </c>
      <c r="AH48" s="3">
        <f t="shared" si="53"/>
        <v>9</v>
      </c>
      <c r="AI48" s="3">
        <f t="shared" si="53"/>
        <v>10</v>
      </c>
      <c r="AJ48" s="3">
        <f t="shared" si="53"/>
        <v>11</v>
      </c>
      <c r="AK48" s="3">
        <f t="shared" si="53"/>
        <v>12</v>
      </c>
      <c r="AL48" s="4"/>
      <c r="AM48" s="4"/>
      <c r="AN48" s="3"/>
      <c r="AO48" s="3"/>
      <c r="AP48" s="3"/>
      <c r="AQ48" s="3"/>
      <c r="AR48" s="3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</row>
    <row r="49" spans="2:88" ht="15" hidden="1" customHeight="1" x14ac:dyDescent="0.25">
      <c r="B49" s="139">
        <v>7</v>
      </c>
      <c r="C49" s="139">
        <v>2</v>
      </c>
      <c r="D49" s="139" t="str">
        <f t="shared" si="0"/>
        <v>TRANSFER_EAST_E_2_19</v>
      </c>
      <c r="E49" s="139" t="s">
        <v>21</v>
      </c>
      <c r="F49" s="138" t="s">
        <v>21</v>
      </c>
      <c r="G49" s="140" t="s">
        <v>18</v>
      </c>
      <c r="H49" s="140" t="s">
        <v>6</v>
      </c>
      <c r="I49" s="140">
        <v>2</v>
      </c>
      <c r="J49" s="139"/>
      <c r="K49" s="184">
        <f>COUNT(Z49:AX49)</f>
        <v>14</v>
      </c>
      <c r="L49" s="139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178"/>
      <c r="Z49" s="82">
        <v>1</v>
      </c>
      <c r="AA49" s="3">
        <f>Z49+1</f>
        <v>2</v>
      </c>
      <c r="AB49" s="3">
        <f t="shared" si="53"/>
        <v>3</v>
      </c>
      <c r="AC49" s="3">
        <f t="shared" si="53"/>
        <v>4</v>
      </c>
      <c r="AD49" s="3">
        <f t="shared" si="53"/>
        <v>5</v>
      </c>
      <c r="AE49" s="3">
        <f t="shared" si="53"/>
        <v>6</v>
      </c>
      <c r="AF49" s="3">
        <f t="shared" si="53"/>
        <v>7</v>
      </c>
      <c r="AG49" s="3">
        <f t="shared" si="53"/>
        <v>8</v>
      </c>
      <c r="AH49" s="3">
        <f t="shared" si="53"/>
        <v>9</v>
      </c>
      <c r="AI49" s="3">
        <f t="shared" si="53"/>
        <v>10</v>
      </c>
      <c r="AJ49" s="3">
        <f t="shared" si="53"/>
        <v>11</v>
      </c>
      <c r="AK49" s="3">
        <f t="shared" si="53"/>
        <v>12</v>
      </c>
      <c r="AL49" s="3">
        <f t="shared" si="53"/>
        <v>13</v>
      </c>
      <c r="AM49" s="3">
        <f t="shared" si="53"/>
        <v>14</v>
      </c>
      <c r="AN49" s="4"/>
      <c r="AO49" s="4"/>
      <c r="AP49" s="3"/>
      <c r="AQ49" s="3"/>
      <c r="AR49" s="3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</row>
    <row r="50" spans="2:88" ht="15" customHeight="1" x14ac:dyDescent="0.25">
      <c r="B50" s="139">
        <v>7</v>
      </c>
      <c r="C50" s="139">
        <v>3</v>
      </c>
      <c r="D50" s="139" t="str">
        <f t="shared" si="0"/>
        <v>PREPARE_EAST_E_2_19</v>
      </c>
      <c r="E50" s="139" t="s">
        <v>0</v>
      </c>
      <c r="F50" s="138" t="s">
        <v>46</v>
      </c>
      <c r="G50" s="140" t="s">
        <v>18</v>
      </c>
      <c r="H50" s="140" t="s">
        <v>6</v>
      </c>
      <c r="I50" s="140">
        <v>2</v>
      </c>
      <c r="J50" s="141"/>
      <c r="K50" s="184">
        <f>COUNT(M50:AX50)</f>
        <v>29</v>
      </c>
      <c r="L50" s="139"/>
      <c r="M50" s="5">
        <v>1</v>
      </c>
      <c r="N50" s="5">
        <f>M50+1</f>
        <v>2</v>
      </c>
      <c r="O50" s="5">
        <f t="shared" ref="O50:AO52" si="54">N50+1</f>
        <v>3</v>
      </c>
      <c r="P50" s="5">
        <f t="shared" si="54"/>
        <v>4</v>
      </c>
      <c r="Q50" s="5">
        <f t="shared" si="54"/>
        <v>5</v>
      </c>
      <c r="R50" s="5">
        <f t="shared" si="54"/>
        <v>6</v>
      </c>
      <c r="S50" s="5">
        <f t="shared" si="54"/>
        <v>7</v>
      </c>
      <c r="T50" s="5">
        <f t="shared" si="54"/>
        <v>8</v>
      </c>
      <c r="U50" s="5">
        <f t="shared" si="54"/>
        <v>9</v>
      </c>
      <c r="V50" s="5">
        <f t="shared" si="54"/>
        <v>10</v>
      </c>
      <c r="W50" s="5">
        <f t="shared" si="54"/>
        <v>11</v>
      </c>
      <c r="X50" s="5">
        <f t="shared" si="54"/>
        <v>12</v>
      </c>
      <c r="Y50" s="5">
        <f t="shared" si="54"/>
        <v>13</v>
      </c>
      <c r="Z50" s="5">
        <f t="shared" si="54"/>
        <v>14</v>
      </c>
      <c r="AA50" s="5">
        <f t="shared" si="54"/>
        <v>15</v>
      </c>
      <c r="AB50" s="5">
        <f t="shared" si="54"/>
        <v>16</v>
      </c>
      <c r="AC50" s="5">
        <f t="shared" si="54"/>
        <v>17</v>
      </c>
      <c r="AD50" s="5">
        <f t="shared" si="54"/>
        <v>18</v>
      </c>
      <c r="AE50" s="5">
        <f t="shared" si="54"/>
        <v>19</v>
      </c>
      <c r="AF50" s="5">
        <f t="shared" si="54"/>
        <v>20</v>
      </c>
      <c r="AG50" s="5">
        <f t="shared" si="54"/>
        <v>21</v>
      </c>
      <c r="AH50" s="5">
        <f t="shared" si="54"/>
        <v>22</v>
      </c>
      <c r="AI50" s="5">
        <f t="shared" si="54"/>
        <v>23</v>
      </c>
      <c r="AJ50" s="5">
        <f t="shared" si="54"/>
        <v>24</v>
      </c>
      <c r="AK50" s="5">
        <f t="shared" si="54"/>
        <v>25</v>
      </c>
      <c r="AL50" s="5">
        <f t="shared" si="54"/>
        <v>26</v>
      </c>
      <c r="AM50" s="5">
        <f t="shared" si="54"/>
        <v>27</v>
      </c>
      <c r="AN50" s="5">
        <f t="shared" si="54"/>
        <v>28</v>
      </c>
      <c r="AO50" s="5">
        <f t="shared" si="54"/>
        <v>29</v>
      </c>
      <c r="AP50" s="152"/>
      <c r="AQ50" s="4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</row>
    <row r="51" spans="2:88" ht="15" customHeight="1" x14ac:dyDescent="0.25">
      <c r="B51" s="139">
        <v>7</v>
      </c>
      <c r="C51" s="139">
        <v>4</v>
      </c>
      <c r="D51" s="139" t="str">
        <f t="shared" si="0"/>
        <v>SUPPLY_EAST_E_2_19</v>
      </c>
      <c r="E51" s="139" t="s">
        <v>0</v>
      </c>
      <c r="F51" s="142" t="s">
        <v>0</v>
      </c>
      <c r="G51" s="140" t="s">
        <v>18</v>
      </c>
      <c r="H51" s="140" t="s">
        <v>6</v>
      </c>
      <c r="I51" s="140">
        <v>2</v>
      </c>
      <c r="J51" s="143"/>
      <c r="K51" s="184">
        <f>COUNT(AF51:BQ51)</f>
        <v>12</v>
      </c>
      <c r="L51" s="140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101"/>
      <c r="Z51" s="42"/>
      <c r="AA51" s="46"/>
      <c r="AB51" s="46"/>
      <c r="AC51" s="46"/>
      <c r="AD51" s="46"/>
      <c r="AE51" s="57"/>
      <c r="AF51" s="179">
        <v>1</v>
      </c>
      <c r="AG51" s="3">
        <f t="shared" si="54"/>
        <v>2</v>
      </c>
      <c r="AH51" s="3">
        <f t="shared" si="54"/>
        <v>3</v>
      </c>
      <c r="AI51" s="3">
        <f t="shared" si="54"/>
        <v>4</v>
      </c>
      <c r="AJ51" s="3">
        <f t="shared" si="54"/>
        <v>5</v>
      </c>
      <c r="AK51" s="3">
        <f t="shared" si="54"/>
        <v>6</v>
      </c>
      <c r="AL51" s="3">
        <f t="shared" si="54"/>
        <v>7</v>
      </c>
      <c r="AM51" s="3">
        <f t="shared" si="54"/>
        <v>8</v>
      </c>
      <c r="AN51" s="3">
        <f t="shared" si="54"/>
        <v>9</v>
      </c>
      <c r="AO51" s="3">
        <f t="shared" si="54"/>
        <v>10</v>
      </c>
      <c r="AP51" s="3">
        <f t="shared" ref="AP51:BE52" si="55">AO51+1</f>
        <v>11</v>
      </c>
      <c r="AQ51" s="3">
        <f t="shared" si="55"/>
        <v>12</v>
      </c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4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</row>
    <row r="52" spans="2:88" ht="15" customHeight="1" x14ac:dyDescent="0.25">
      <c r="B52" s="139">
        <v>7</v>
      </c>
      <c r="C52" s="140">
        <v>5</v>
      </c>
      <c r="D52" s="139" t="str">
        <f t="shared" si="0"/>
        <v>EMPTY_EAST_E_2_19</v>
      </c>
      <c r="E52" s="140" t="s">
        <v>0</v>
      </c>
      <c r="F52" s="142" t="s">
        <v>32</v>
      </c>
      <c r="G52" s="140" t="s">
        <v>18</v>
      </c>
      <c r="H52" s="140" t="s">
        <v>6</v>
      </c>
      <c r="I52" s="140">
        <v>2</v>
      </c>
      <c r="J52" s="139"/>
      <c r="K52" s="184">
        <f>COUNT(AF52:BQ52)</f>
        <v>27</v>
      </c>
      <c r="L52" s="139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101"/>
      <c r="Z52" s="42"/>
      <c r="AA52" s="46"/>
      <c r="AB52" s="46"/>
      <c r="AC52" s="46"/>
      <c r="AD52" s="46"/>
      <c r="AE52" s="57"/>
      <c r="AF52" s="179">
        <v>1</v>
      </c>
      <c r="AG52" s="5">
        <f>AF52+1</f>
        <v>2</v>
      </c>
      <c r="AH52" s="5">
        <f t="shared" si="54"/>
        <v>3</v>
      </c>
      <c r="AI52" s="5">
        <f t="shared" si="54"/>
        <v>4</v>
      </c>
      <c r="AJ52" s="5">
        <f t="shared" si="54"/>
        <v>5</v>
      </c>
      <c r="AK52" s="5">
        <f t="shared" si="54"/>
        <v>6</v>
      </c>
      <c r="AL52" s="5">
        <f t="shared" si="54"/>
        <v>7</v>
      </c>
      <c r="AM52" s="5">
        <f t="shared" si="54"/>
        <v>8</v>
      </c>
      <c r="AN52" s="5">
        <f t="shared" si="54"/>
        <v>9</v>
      </c>
      <c r="AO52" s="5">
        <f t="shared" si="54"/>
        <v>10</v>
      </c>
      <c r="AP52" s="5">
        <f t="shared" si="55"/>
        <v>11</v>
      </c>
      <c r="AQ52" s="5">
        <f t="shared" si="55"/>
        <v>12</v>
      </c>
      <c r="AR52" s="5">
        <f t="shared" si="55"/>
        <v>13</v>
      </c>
      <c r="AS52" s="5">
        <f t="shared" si="55"/>
        <v>14</v>
      </c>
      <c r="AT52" s="5">
        <f t="shared" si="55"/>
        <v>15</v>
      </c>
      <c r="AU52" s="5">
        <f t="shared" si="55"/>
        <v>16</v>
      </c>
      <c r="AV52" s="5">
        <f t="shared" si="55"/>
        <v>17</v>
      </c>
      <c r="AW52" s="5">
        <f t="shared" si="55"/>
        <v>18</v>
      </c>
      <c r="AX52" s="5">
        <f t="shared" si="55"/>
        <v>19</v>
      </c>
      <c r="AY52" s="5">
        <f t="shared" si="55"/>
        <v>20</v>
      </c>
      <c r="AZ52" s="5">
        <f t="shared" si="55"/>
        <v>21</v>
      </c>
      <c r="BA52" s="5">
        <f t="shared" si="55"/>
        <v>22</v>
      </c>
      <c r="BB52" s="5">
        <f t="shared" si="55"/>
        <v>23</v>
      </c>
      <c r="BC52" s="5">
        <f t="shared" si="55"/>
        <v>24</v>
      </c>
      <c r="BD52" s="5">
        <f t="shared" si="55"/>
        <v>25</v>
      </c>
      <c r="BE52" s="5">
        <f t="shared" si="55"/>
        <v>26</v>
      </c>
      <c r="BF52" s="5">
        <f t="shared" ref="BF52" si="56">BE52+1</f>
        <v>27</v>
      </c>
      <c r="BG52" s="46"/>
      <c r="BH52" s="4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</row>
    <row r="53" spans="2:88" ht="15" hidden="1" customHeight="1" x14ac:dyDescent="0.25">
      <c r="B53" s="139">
        <v>7</v>
      </c>
      <c r="C53" s="140">
        <v>6</v>
      </c>
      <c r="D53" s="139" t="str">
        <f t="shared" si="0"/>
        <v>COUNTDOWN_EAST_E_2_19</v>
      </c>
      <c r="E53" s="140"/>
      <c r="F53" s="142" t="s">
        <v>33</v>
      </c>
      <c r="G53" s="140" t="s">
        <v>18</v>
      </c>
      <c r="H53" s="140" t="s">
        <v>6</v>
      </c>
      <c r="I53" s="140">
        <v>2</v>
      </c>
      <c r="J53" s="144"/>
      <c r="K53" s="144"/>
      <c r="L53" s="140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178"/>
      <c r="Z53" s="82"/>
      <c r="AA53" s="5"/>
      <c r="AB53" s="5"/>
      <c r="AC53" s="5"/>
      <c r="AD53" s="5"/>
      <c r="AE53" s="64"/>
      <c r="AF53" s="179"/>
      <c r="AG53" s="5"/>
      <c r="AH53" s="5"/>
      <c r="AI53" s="5"/>
      <c r="AJ53" s="5"/>
      <c r="AK53" s="6"/>
      <c r="AL53" s="6"/>
      <c r="AM53" s="46"/>
      <c r="AN53" s="46"/>
      <c r="AO53" s="56"/>
      <c r="AP53" s="56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</row>
    <row r="54" spans="2:88" ht="15" hidden="1" customHeight="1" x14ac:dyDescent="0.25">
      <c r="B54" s="139">
        <v>8</v>
      </c>
      <c r="C54" s="139">
        <v>1</v>
      </c>
      <c r="D54" s="139" t="str">
        <f t="shared" si="0"/>
        <v>SORTING_EAST_D_1_19</v>
      </c>
      <c r="E54" s="139" t="s">
        <v>35</v>
      </c>
      <c r="F54" s="138" t="s">
        <v>45</v>
      </c>
      <c r="G54" s="140" t="s">
        <v>18</v>
      </c>
      <c r="H54" s="140" t="s">
        <v>47</v>
      </c>
      <c r="I54" s="140">
        <v>1</v>
      </c>
      <c r="J54" s="139"/>
      <c r="K54" s="184">
        <f>COUNT(Z54:AX54)</f>
        <v>14</v>
      </c>
      <c r="L54" s="139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101"/>
      <c r="Z54" s="82">
        <v>1</v>
      </c>
      <c r="AA54" s="3">
        <f t="shared" ref="AA54:AO55" si="57">Z54+1</f>
        <v>2</v>
      </c>
      <c r="AB54" s="3">
        <f t="shared" si="57"/>
        <v>3</v>
      </c>
      <c r="AC54" s="3">
        <f t="shared" si="57"/>
        <v>4</v>
      </c>
      <c r="AD54" s="3">
        <f t="shared" si="57"/>
        <v>5</v>
      </c>
      <c r="AE54" s="3">
        <f t="shared" si="57"/>
        <v>6</v>
      </c>
      <c r="AF54" s="3">
        <f t="shared" si="57"/>
        <v>7</v>
      </c>
      <c r="AG54" s="3">
        <f t="shared" si="57"/>
        <v>8</v>
      </c>
      <c r="AH54" s="3">
        <f t="shared" si="57"/>
        <v>9</v>
      </c>
      <c r="AI54" s="3">
        <f t="shared" si="57"/>
        <v>10</v>
      </c>
      <c r="AJ54" s="3">
        <f t="shared" si="57"/>
        <v>11</v>
      </c>
      <c r="AK54" s="3">
        <f t="shared" si="57"/>
        <v>12</v>
      </c>
      <c r="AL54" s="3">
        <f t="shared" si="57"/>
        <v>13</v>
      </c>
      <c r="AM54" s="3">
        <f t="shared" si="57"/>
        <v>14</v>
      </c>
      <c r="AN54" s="4"/>
      <c r="AO54" s="4"/>
      <c r="AP54" s="3"/>
      <c r="AQ54" s="3"/>
      <c r="AR54" s="3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</row>
    <row r="55" spans="2:88" ht="15" hidden="1" customHeight="1" x14ac:dyDescent="0.25">
      <c r="B55" s="139">
        <v>8</v>
      </c>
      <c r="C55" s="139">
        <v>2</v>
      </c>
      <c r="D55" s="139" t="str">
        <f t="shared" si="0"/>
        <v>TRANSFER_EAST_D_1_19</v>
      </c>
      <c r="E55" s="139" t="s">
        <v>21</v>
      </c>
      <c r="F55" s="138" t="s">
        <v>21</v>
      </c>
      <c r="G55" s="140" t="s">
        <v>18</v>
      </c>
      <c r="H55" s="140" t="s">
        <v>47</v>
      </c>
      <c r="I55" s="140">
        <v>1</v>
      </c>
      <c r="J55" s="139"/>
      <c r="K55" s="184">
        <f>COUNT(Z55:AX55)</f>
        <v>16</v>
      </c>
      <c r="L55" s="139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178"/>
      <c r="Z55" s="82">
        <v>1</v>
      </c>
      <c r="AA55" s="3">
        <f>Z55+1</f>
        <v>2</v>
      </c>
      <c r="AB55" s="3">
        <f t="shared" si="57"/>
        <v>3</v>
      </c>
      <c r="AC55" s="3">
        <f t="shared" si="57"/>
        <v>4</v>
      </c>
      <c r="AD55" s="3">
        <f t="shared" si="57"/>
        <v>5</v>
      </c>
      <c r="AE55" s="3">
        <f t="shared" si="57"/>
        <v>6</v>
      </c>
      <c r="AF55" s="3">
        <f t="shared" si="57"/>
        <v>7</v>
      </c>
      <c r="AG55" s="3">
        <f t="shared" si="57"/>
        <v>8</v>
      </c>
      <c r="AH55" s="3">
        <f t="shared" si="57"/>
        <v>9</v>
      </c>
      <c r="AI55" s="3">
        <f t="shared" si="57"/>
        <v>10</v>
      </c>
      <c r="AJ55" s="3">
        <f t="shared" si="57"/>
        <v>11</v>
      </c>
      <c r="AK55" s="3">
        <f t="shared" si="57"/>
        <v>12</v>
      </c>
      <c r="AL55" s="3">
        <f t="shared" si="57"/>
        <v>13</v>
      </c>
      <c r="AM55" s="3">
        <f t="shared" si="57"/>
        <v>14</v>
      </c>
      <c r="AN55" s="3">
        <f t="shared" si="57"/>
        <v>15</v>
      </c>
      <c r="AO55" s="3">
        <f t="shared" si="57"/>
        <v>16</v>
      </c>
      <c r="AP55" s="4"/>
      <c r="AQ55" s="4"/>
      <c r="AR55" s="4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</row>
    <row r="56" spans="2:88" ht="15" customHeight="1" x14ac:dyDescent="0.25">
      <c r="B56" s="139">
        <v>8</v>
      </c>
      <c r="C56" s="139">
        <v>3</v>
      </c>
      <c r="D56" s="139" t="str">
        <f t="shared" si="0"/>
        <v>PREPARE_EAST_D_1_19</v>
      </c>
      <c r="E56" s="139" t="s">
        <v>0</v>
      </c>
      <c r="F56" s="138" t="s">
        <v>46</v>
      </c>
      <c r="G56" s="140" t="s">
        <v>18</v>
      </c>
      <c r="H56" s="140" t="s">
        <v>47</v>
      </c>
      <c r="I56" s="140">
        <v>1</v>
      </c>
      <c r="J56" s="141"/>
      <c r="K56" s="184">
        <f>COUNT(M56:AX56)</f>
        <v>31</v>
      </c>
      <c r="L56" s="139"/>
      <c r="M56" s="5">
        <v>1</v>
      </c>
      <c r="N56" s="5">
        <f>M56+1</f>
        <v>2</v>
      </c>
      <c r="O56" s="5">
        <f t="shared" ref="O56:AQ58" si="58">N56+1</f>
        <v>3</v>
      </c>
      <c r="P56" s="5">
        <f t="shared" si="58"/>
        <v>4</v>
      </c>
      <c r="Q56" s="5">
        <f t="shared" si="58"/>
        <v>5</v>
      </c>
      <c r="R56" s="5">
        <f t="shared" si="58"/>
        <v>6</v>
      </c>
      <c r="S56" s="5">
        <f t="shared" si="58"/>
        <v>7</v>
      </c>
      <c r="T56" s="5">
        <f t="shared" si="58"/>
        <v>8</v>
      </c>
      <c r="U56" s="5">
        <f t="shared" si="58"/>
        <v>9</v>
      </c>
      <c r="V56" s="5">
        <f t="shared" si="58"/>
        <v>10</v>
      </c>
      <c r="W56" s="5">
        <f t="shared" si="58"/>
        <v>11</v>
      </c>
      <c r="X56" s="5">
        <f t="shared" si="58"/>
        <v>12</v>
      </c>
      <c r="Y56" s="5">
        <f t="shared" si="58"/>
        <v>13</v>
      </c>
      <c r="Z56" s="5">
        <f t="shared" si="58"/>
        <v>14</v>
      </c>
      <c r="AA56" s="5">
        <f t="shared" si="58"/>
        <v>15</v>
      </c>
      <c r="AB56" s="5">
        <f t="shared" si="58"/>
        <v>16</v>
      </c>
      <c r="AC56" s="5">
        <f t="shared" si="58"/>
        <v>17</v>
      </c>
      <c r="AD56" s="5">
        <f t="shared" si="58"/>
        <v>18</v>
      </c>
      <c r="AE56" s="5">
        <f t="shared" si="58"/>
        <v>19</v>
      </c>
      <c r="AF56" s="5">
        <f t="shared" si="58"/>
        <v>20</v>
      </c>
      <c r="AG56" s="5">
        <f t="shared" si="58"/>
        <v>21</v>
      </c>
      <c r="AH56" s="5">
        <f t="shared" si="58"/>
        <v>22</v>
      </c>
      <c r="AI56" s="5">
        <f t="shared" si="58"/>
        <v>23</v>
      </c>
      <c r="AJ56" s="5">
        <f t="shared" si="58"/>
        <v>24</v>
      </c>
      <c r="AK56" s="5">
        <f t="shared" si="58"/>
        <v>25</v>
      </c>
      <c r="AL56" s="5">
        <f t="shared" si="58"/>
        <v>26</v>
      </c>
      <c r="AM56" s="5">
        <f t="shared" si="58"/>
        <v>27</v>
      </c>
      <c r="AN56" s="5">
        <f t="shared" si="58"/>
        <v>28</v>
      </c>
      <c r="AO56" s="5">
        <f t="shared" si="58"/>
        <v>29</v>
      </c>
      <c r="AP56" s="5">
        <f t="shared" si="58"/>
        <v>30</v>
      </c>
      <c r="AQ56" s="5">
        <f t="shared" si="58"/>
        <v>31</v>
      </c>
      <c r="AR56" s="65"/>
      <c r="AS56" s="65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</row>
    <row r="57" spans="2:88" ht="15" customHeight="1" x14ac:dyDescent="0.25">
      <c r="B57" s="139">
        <v>8</v>
      </c>
      <c r="C57" s="139">
        <v>4</v>
      </c>
      <c r="D57" s="139" t="str">
        <f t="shared" si="0"/>
        <v>SUPPLY_EAST_D_1_19</v>
      </c>
      <c r="E57" s="139" t="s">
        <v>0</v>
      </c>
      <c r="F57" s="142" t="s">
        <v>0</v>
      </c>
      <c r="G57" s="140" t="s">
        <v>18</v>
      </c>
      <c r="H57" s="140" t="s">
        <v>47</v>
      </c>
      <c r="I57" s="140">
        <v>1</v>
      </c>
      <c r="J57" s="143"/>
      <c r="K57" s="184">
        <f>COUNT(AF57:BQ57)</f>
        <v>14</v>
      </c>
      <c r="L57" s="140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101"/>
      <c r="Z57" s="42"/>
      <c r="AA57" s="46"/>
      <c r="AB57" s="46"/>
      <c r="AC57" s="46"/>
      <c r="AD57" s="46"/>
      <c r="AE57" s="57"/>
      <c r="AF57" s="179">
        <v>1</v>
      </c>
      <c r="AG57" s="3">
        <f t="shared" si="58"/>
        <v>2</v>
      </c>
      <c r="AH57" s="3">
        <f t="shared" si="58"/>
        <v>3</v>
      </c>
      <c r="AI57" s="3">
        <f t="shared" si="58"/>
        <v>4</v>
      </c>
      <c r="AJ57" s="3">
        <f t="shared" si="58"/>
        <v>5</v>
      </c>
      <c r="AK57" s="3">
        <f t="shared" si="58"/>
        <v>6</v>
      </c>
      <c r="AL57" s="3">
        <f t="shared" si="58"/>
        <v>7</v>
      </c>
      <c r="AM57" s="3">
        <f t="shared" si="58"/>
        <v>8</v>
      </c>
      <c r="AN57" s="3">
        <f t="shared" si="58"/>
        <v>9</v>
      </c>
      <c r="AO57" s="3">
        <f t="shared" si="58"/>
        <v>10</v>
      </c>
      <c r="AP57" s="3">
        <f t="shared" si="58"/>
        <v>11</v>
      </c>
      <c r="AQ57" s="3">
        <f t="shared" si="58"/>
        <v>12</v>
      </c>
      <c r="AR57" s="3">
        <f t="shared" ref="AR57:BG58" si="59">AQ57+1</f>
        <v>13</v>
      </c>
      <c r="AS57" s="3">
        <f t="shared" si="59"/>
        <v>14</v>
      </c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</row>
    <row r="58" spans="2:88" ht="15" customHeight="1" x14ac:dyDescent="0.25">
      <c r="B58" s="139">
        <v>8</v>
      </c>
      <c r="C58" s="140">
        <v>5</v>
      </c>
      <c r="D58" s="139" t="str">
        <f t="shared" si="0"/>
        <v>EMPTY_EAST_D_1_19</v>
      </c>
      <c r="E58" s="140" t="s">
        <v>0</v>
      </c>
      <c r="F58" s="142" t="s">
        <v>32</v>
      </c>
      <c r="G58" s="140" t="s">
        <v>18</v>
      </c>
      <c r="H58" s="140" t="s">
        <v>47</v>
      </c>
      <c r="I58" s="140">
        <v>1</v>
      </c>
      <c r="J58" s="139"/>
      <c r="K58" s="184">
        <f>COUNT(AF58:BQ58)</f>
        <v>29</v>
      </c>
      <c r="L58" s="139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101"/>
      <c r="Z58" s="42"/>
      <c r="AA58" s="46"/>
      <c r="AB58" s="46"/>
      <c r="AC58" s="46"/>
      <c r="AD58" s="46"/>
      <c r="AE58" s="57"/>
      <c r="AF58" s="179">
        <v>1</v>
      </c>
      <c r="AG58" s="5">
        <f>AF58+1</f>
        <v>2</v>
      </c>
      <c r="AH58" s="5">
        <f t="shared" si="58"/>
        <v>3</v>
      </c>
      <c r="AI58" s="5">
        <f t="shared" si="58"/>
        <v>4</v>
      </c>
      <c r="AJ58" s="5">
        <f t="shared" si="58"/>
        <v>5</v>
      </c>
      <c r="AK58" s="5">
        <f t="shared" si="58"/>
        <v>6</v>
      </c>
      <c r="AL58" s="5">
        <f t="shared" si="58"/>
        <v>7</v>
      </c>
      <c r="AM58" s="5">
        <f t="shared" si="58"/>
        <v>8</v>
      </c>
      <c r="AN58" s="5">
        <f t="shared" si="58"/>
        <v>9</v>
      </c>
      <c r="AO58" s="5">
        <f t="shared" si="58"/>
        <v>10</v>
      </c>
      <c r="AP58" s="5">
        <f t="shared" si="58"/>
        <v>11</v>
      </c>
      <c r="AQ58" s="5">
        <f t="shared" si="58"/>
        <v>12</v>
      </c>
      <c r="AR58" s="5">
        <f t="shared" si="59"/>
        <v>13</v>
      </c>
      <c r="AS58" s="5">
        <f t="shared" si="59"/>
        <v>14</v>
      </c>
      <c r="AT58" s="5">
        <f t="shared" si="59"/>
        <v>15</v>
      </c>
      <c r="AU58" s="5">
        <f t="shared" si="59"/>
        <v>16</v>
      </c>
      <c r="AV58" s="5">
        <f t="shared" si="59"/>
        <v>17</v>
      </c>
      <c r="AW58" s="5">
        <f t="shared" si="59"/>
        <v>18</v>
      </c>
      <c r="AX58" s="5">
        <f t="shared" si="59"/>
        <v>19</v>
      </c>
      <c r="AY58" s="5">
        <f t="shared" si="59"/>
        <v>20</v>
      </c>
      <c r="AZ58" s="5">
        <f t="shared" si="59"/>
        <v>21</v>
      </c>
      <c r="BA58" s="5">
        <f t="shared" si="59"/>
        <v>22</v>
      </c>
      <c r="BB58" s="5">
        <f t="shared" si="59"/>
        <v>23</v>
      </c>
      <c r="BC58" s="5">
        <f t="shared" si="59"/>
        <v>24</v>
      </c>
      <c r="BD58" s="5">
        <f t="shared" si="59"/>
        <v>25</v>
      </c>
      <c r="BE58" s="5">
        <f t="shared" si="59"/>
        <v>26</v>
      </c>
      <c r="BF58" s="5">
        <f t="shared" si="59"/>
        <v>27</v>
      </c>
      <c r="BG58" s="5">
        <f t="shared" si="59"/>
        <v>28</v>
      </c>
      <c r="BH58" s="5">
        <f t="shared" ref="BH58" si="60">BG58+1</f>
        <v>29</v>
      </c>
      <c r="BI58" s="46"/>
      <c r="BJ58" s="4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</row>
    <row r="59" spans="2:88" ht="15" hidden="1" customHeight="1" x14ac:dyDescent="0.25">
      <c r="B59" s="139">
        <v>8</v>
      </c>
      <c r="C59" s="140">
        <v>6</v>
      </c>
      <c r="D59" s="139" t="str">
        <f t="shared" si="0"/>
        <v>COUNTDOWN_EAST_D_1_19</v>
      </c>
      <c r="E59" s="140"/>
      <c r="F59" s="142" t="s">
        <v>33</v>
      </c>
      <c r="G59" s="140" t="s">
        <v>18</v>
      </c>
      <c r="H59" s="140" t="s">
        <v>47</v>
      </c>
      <c r="I59" s="140">
        <v>1</v>
      </c>
      <c r="J59" s="144"/>
      <c r="K59" s="144"/>
      <c r="L59" s="14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178"/>
      <c r="Z59" s="82"/>
      <c r="AA59" s="5"/>
      <c r="AB59" s="5"/>
      <c r="AC59" s="5"/>
      <c r="AD59" s="5"/>
      <c r="AE59" s="64"/>
      <c r="AF59" s="179"/>
      <c r="AG59" s="5"/>
      <c r="AH59" s="5"/>
      <c r="AI59" s="5"/>
      <c r="AJ59" s="5"/>
      <c r="AK59" s="5"/>
      <c r="AL59" s="5"/>
      <c r="AM59" s="6"/>
      <c r="AN59" s="6"/>
      <c r="AO59" s="46"/>
      <c r="AP59" s="46"/>
      <c r="AQ59" s="56"/>
      <c r="AR59" s="56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</row>
    <row r="60" spans="2:88" ht="15" hidden="1" customHeight="1" x14ac:dyDescent="0.25">
      <c r="B60" s="139">
        <v>10</v>
      </c>
      <c r="C60" s="139">
        <v>1</v>
      </c>
      <c r="D60" s="139" t="str">
        <f t="shared" si="0"/>
        <v>SORTING_EAST_K_2_19</v>
      </c>
      <c r="E60" s="139" t="s">
        <v>35</v>
      </c>
      <c r="F60" s="138" t="s">
        <v>45</v>
      </c>
      <c r="G60" s="140" t="s">
        <v>18</v>
      </c>
      <c r="H60" s="140" t="s">
        <v>12</v>
      </c>
      <c r="I60" s="140">
        <v>2</v>
      </c>
      <c r="J60" s="139"/>
      <c r="K60" s="184">
        <f>COUNT(Z60:AX60)</f>
        <v>16</v>
      </c>
      <c r="L60" s="139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101"/>
      <c r="Z60" s="82">
        <v>1</v>
      </c>
      <c r="AA60" s="3">
        <f t="shared" ref="AA60:AP61" si="61">Z60+1</f>
        <v>2</v>
      </c>
      <c r="AB60" s="3">
        <f t="shared" si="61"/>
        <v>3</v>
      </c>
      <c r="AC60" s="3">
        <f t="shared" si="61"/>
        <v>4</v>
      </c>
      <c r="AD60" s="3">
        <f t="shared" si="61"/>
        <v>5</v>
      </c>
      <c r="AE60" s="3">
        <f t="shared" si="61"/>
        <v>6</v>
      </c>
      <c r="AF60" s="3">
        <f t="shared" si="61"/>
        <v>7</v>
      </c>
      <c r="AG60" s="3">
        <f t="shared" si="61"/>
        <v>8</v>
      </c>
      <c r="AH60" s="3">
        <f t="shared" si="61"/>
        <v>9</v>
      </c>
      <c r="AI60" s="3">
        <f t="shared" si="61"/>
        <v>10</v>
      </c>
      <c r="AJ60" s="3">
        <f t="shared" si="61"/>
        <v>11</v>
      </c>
      <c r="AK60" s="3">
        <f t="shared" si="61"/>
        <v>12</v>
      </c>
      <c r="AL60" s="3">
        <f t="shared" si="61"/>
        <v>13</v>
      </c>
      <c r="AM60" s="3">
        <f t="shared" si="61"/>
        <v>14</v>
      </c>
      <c r="AN60" s="3">
        <f t="shared" si="61"/>
        <v>15</v>
      </c>
      <c r="AO60" s="3">
        <f t="shared" si="61"/>
        <v>16</v>
      </c>
      <c r="AP60" s="4"/>
      <c r="AQ60" s="4"/>
      <c r="AR60" s="4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</row>
    <row r="61" spans="2:88" ht="15" hidden="1" customHeight="1" x14ac:dyDescent="0.25">
      <c r="B61" s="139">
        <v>10</v>
      </c>
      <c r="C61" s="139">
        <v>2</v>
      </c>
      <c r="D61" s="139" t="str">
        <f t="shared" si="0"/>
        <v>TRANSFER_EAST_K_2_19</v>
      </c>
      <c r="E61" s="139" t="s">
        <v>21</v>
      </c>
      <c r="F61" s="138" t="s">
        <v>21</v>
      </c>
      <c r="G61" s="140" t="s">
        <v>18</v>
      </c>
      <c r="H61" s="140" t="s">
        <v>12</v>
      </c>
      <c r="I61" s="140">
        <v>2</v>
      </c>
      <c r="J61" s="139"/>
      <c r="K61" s="184">
        <f>COUNT(Z61:AX61)</f>
        <v>19</v>
      </c>
      <c r="L61" s="139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178"/>
      <c r="Z61" s="82">
        <v>1</v>
      </c>
      <c r="AA61" s="3">
        <f>Z61+1</f>
        <v>2</v>
      </c>
      <c r="AB61" s="3">
        <f t="shared" si="61"/>
        <v>3</v>
      </c>
      <c r="AC61" s="3">
        <f t="shared" si="61"/>
        <v>4</v>
      </c>
      <c r="AD61" s="3">
        <f t="shared" si="61"/>
        <v>5</v>
      </c>
      <c r="AE61" s="3">
        <f t="shared" si="61"/>
        <v>6</v>
      </c>
      <c r="AF61" s="3">
        <f t="shared" si="61"/>
        <v>7</v>
      </c>
      <c r="AG61" s="3">
        <f t="shared" si="61"/>
        <v>8</v>
      </c>
      <c r="AH61" s="3">
        <f t="shared" si="61"/>
        <v>9</v>
      </c>
      <c r="AI61" s="3">
        <f t="shared" si="61"/>
        <v>10</v>
      </c>
      <c r="AJ61" s="3">
        <f t="shared" si="61"/>
        <v>11</v>
      </c>
      <c r="AK61" s="3">
        <f t="shared" si="61"/>
        <v>12</v>
      </c>
      <c r="AL61" s="3">
        <f t="shared" si="61"/>
        <v>13</v>
      </c>
      <c r="AM61" s="3">
        <f t="shared" si="61"/>
        <v>14</v>
      </c>
      <c r="AN61" s="3">
        <f t="shared" si="61"/>
        <v>15</v>
      </c>
      <c r="AO61" s="3">
        <f t="shared" si="61"/>
        <v>16</v>
      </c>
      <c r="AP61" s="3">
        <f t="shared" si="61"/>
        <v>17</v>
      </c>
      <c r="AQ61" s="3">
        <f t="shared" ref="AQ61:AR61" si="62">AP61+1</f>
        <v>18</v>
      </c>
      <c r="AR61" s="3">
        <f t="shared" si="62"/>
        <v>19</v>
      </c>
      <c r="AS61" s="152"/>
      <c r="AT61" s="152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</row>
    <row r="62" spans="2:88" ht="15" customHeight="1" x14ac:dyDescent="0.25">
      <c r="B62" s="139">
        <v>10</v>
      </c>
      <c r="C62" s="139">
        <v>3</v>
      </c>
      <c r="D62" s="139" t="str">
        <f t="shared" si="0"/>
        <v>PREPARE_EAST_K_2_19</v>
      </c>
      <c r="E62" s="139" t="s">
        <v>0</v>
      </c>
      <c r="F62" s="138" t="s">
        <v>46</v>
      </c>
      <c r="G62" s="140" t="s">
        <v>18</v>
      </c>
      <c r="H62" s="140" t="s">
        <v>12</v>
      </c>
      <c r="I62" s="140">
        <v>2</v>
      </c>
      <c r="J62" s="141"/>
      <c r="K62" s="184">
        <f>COUNT(M62:AX62)</f>
        <v>33</v>
      </c>
      <c r="L62" s="139"/>
      <c r="M62" s="5">
        <v>1</v>
      </c>
      <c r="N62" s="5">
        <f>M62+1</f>
        <v>2</v>
      </c>
      <c r="O62" s="5">
        <f t="shared" ref="O62:AS64" si="63">N62+1</f>
        <v>3</v>
      </c>
      <c r="P62" s="5">
        <f t="shared" si="63"/>
        <v>4</v>
      </c>
      <c r="Q62" s="5">
        <f t="shared" si="63"/>
        <v>5</v>
      </c>
      <c r="R62" s="5">
        <f t="shared" si="63"/>
        <v>6</v>
      </c>
      <c r="S62" s="5">
        <f t="shared" si="63"/>
        <v>7</v>
      </c>
      <c r="T62" s="5">
        <f t="shared" si="63"/>
        <v>8</v>
      </c>
      <c r="U62" s="5">
        <f t="shared" si="63"/>
        <v>9</v>
      </c>
      <c r="V62" s="5">
        <f t="shared" si="63"/>
        <v>10</v>
      </c>
      <c r="W62" s="5">
        <f t="shared" si="63"/>
        <v>11</v>
      </c>
      <c r="X62" s="5">
        <f t="shared" si="63"/>
        <v>12</v>
      </c>
      <c r="Y62" s="5">
        <f t="shared" si="63"/>
        <v>13</v>
      </c>
      <c r="Z62" s="5">
        <f t="shared" si="63"/>
        <v>14</v>
      </c>
      <c r="AA62" s="5">
        <f t="shared" si="63"/>
        <v>15</v>
      </c>
      <c r="AB62" s="5">
        <f t="shared" si="63"/>
        <v>16</v>
      </c>
      <c r="AC62" s="5">
        <f t="shared" si="63"/>
        <v>17</v>
      </c>
      <c r="AD62" s="5">
        <f t="shared" si="63"/>
        <v>18</v>
      </c>
      <c r="AE62" s="5">
        <f t="shared" si="63"/>
        <v>19</v>
      </c>
      <c r="AF62" s="5">
        <f t="shared" si="63"/>
        <v>20</v>
      </c>
      <c r="AG62" s="5">
        <f t="shared" si="63"/>
        <v>21</v>
      </c>
      <c r="AH62" s="5">
        <f t="shared" si="63"/>
        <v>22</v>
      </c>
      <c r="AI62" s="5">
        <f t="shared" si="63"/>
        <v>23</v>
      </c>
      <c r="AJ62" s="5">
        <f t="shared" si="63"/>
        <v>24</v>
      </c>
      <c r="AK62" s="5">
        <f t="shared" si="63"/>
        <v>25</v>
      </c>
      <c r="AL62" s="5">
        <f t="shared" si="63"/>
        <v>26</v>
      </c>
      <c r="AM62" s="5">
        <f t="shared" si="63"/>
        <v>27</v>
      </c>
      <c r="AN62" s="5">
        <f t="shared" si="63"/>
        <v>28</v>
      </c>
      <c r="AO62" s="5">
        <f t="shared" si="63"/>
        <v>29</v>
      </c>
      <c r="AP62" s="5">
        <f t="shared" si="63"/>
        <v>30</v>
      </c>
      <c r="AQ62" s="5">
        <f t="shared" si="63"/>
        <v>31</v>
      </c>
      <c r="AR62" s="5">
        <f t="shared" si="63"/>
        <v>32</v>
      </c>
      <c r="AS62" s="5">
        <f t="shared" si="63"/>
        <v>33</v>
      </c>
      <c r="AT62" s="152"/>
      <c r="AU62" s="152"/>
      <c r="AV62" s="152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</row>
    <row r="63" spans="2:88" ht="15" customHeight="1" x14ac:dyDescent="0.25">
      <c r="B63" s="139">
        <v>10</v>
      </c>
      <c r="C63" s="139">
        <v>4</v>
      </c>
      <c r="D63" s="139" t="str">
        <f t="shared" si="0"/>
        <v>SUPPLY_EAST_K_2_19</v>
      </c>
      <c r="E63" s="139" t="s">
        <v>0</v>
      </c>
      <c r="F63" s="142" t="s">
        <v>0</v>
      </c>
      <c r="G63" s="140" t="s">
        <v>18</v>
      </c>
      <c r="H63" s="140" t="s">
        <v>12</v>
      </c>
      <c r="I63" s="140">
        <v>2</v>
      </c>
      <c r="J63" s="143"/>
      <c r="K63" s="184">
        <f>COUNT(AF63:BQ63)</f>
        <v>17</v>
      </c>
      <c r="L63" s="140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101"/>
      <c r="Z63" s="42"/>
      <c r="AA63" s="46"/>
      <c r="AB63" s="46"/>
      <c r="AC63" s="46"/>
      <c r="AD63" s="46"/>
      <c r="AE63" s="57"/>
      <c r="AF63" s="179">
        <v>1</v>
      </c>
      <c r="AG63" s="3">
        <f t="shared" si="63"/>
        <v>2</v>
      </c>
      <c r="AH63" s="3">
        <f t="shared" si="63"/>
        <v>3</v>
      </c>
      <c r="AI63" s="3">
        <f t="shared" si="63"/>
        <v>4</v>
      </c>
      <c r="AJ63" s="3">
        <f t="shared" si="63"/>
        <v>5</v>
      </c>
      <c r="AK63" s="3">
        <f t="shared" si="63"/>
        <v>6</v>
      </c>
      <c r="AL63" s="3">
        <f t="shared" si="63"/>
        <v>7</v>
      </c>
      <c r="AM63" s="3">
        <f t="shared" si="63"/>
        <v>8</v>
      </c>
      <c r="AN63" s="3">
        <f t="shared" si="63"/>
        <v>9</v>
      </c>
      <c r="AO63" s="3">
        <f t="shared" si="63"/>
        <v>10</v>
      </c>
      <c r="AP63" s="3">
        <f t="shared" si="63"/>
        <v>11</v>
      </c>
      <c r="AQ63" s="3">
        <f t="shared" si="63"/>
        <v>12</v>
      </c>
      <c r="AR63" s="3">
        <f t="shared" si="63"/>
        <v>13</v>
      </c>
      <c r="AS63" s="3">
        <f t="shared" si="63"/>
        <v>14</v>
      </c>
      <c r="AT63" s="3">
        <f t="shared" ref="AT63:BI64" si="64">AS63+1</f>
        <v>15</v>
      </c>
      <c r="AU63" s="3">
        <f t="shared" si="64"/>
        <v>16</v>
      </c>
      <c r="AV63" s="3">
        <f t="shared" si="64"/>
        <v>17</v>
      </c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</row>
    <row r="64" spans="2:88" ht="15" customHeight="1" x14ac:dyDescent="0.25">
      <c r="B64" s="139">
        <v>10</v>
      </c>
      <c r="C64" s="140">
        <v>5</v>
      </c>
      <c r="D64" s="139" t="str">
        <f t="shared" si="0"/>
        <v>EMPTY_EAST_K_2_19</v>
      </c>
      <c r="E64" s="140" t="s">
        <v>0</v>
      </c>
      <c r="F64" s="142" t="s">
        <v>32</v>
      </c>
      <c r="G64" s="140" t="s">
        <v>18</v>
      </c>
      <c r="H64" s="140" t="s">
        <v>12</v>
      </c>
      <c r="I64" s="140">
        <v>2</v>
      </c>
      <c r="J64" s="139"/>
      <c r="K64" s="184">
        <f>COUNT(AF64:BQ64)</f>
        <v>31</v>
      </c>
      <c r="L64" s="139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101"/>
      <c r="Z64" s="42"/>
      <c r="AA64" s="46"/>
      <c r="AB64" s="46"/>
      <c r="AC64" s="46"/>
      <c r="AD64" s="46"/>
      <c r="AE64" s="57"/>
      <c r="AF64" s="179">
        <v>1</v>
      </c>
      <c r="AG64" s="5">
        <f>AF64+1</f>
        <v>2</v>
      </c>
      <c r="AH64" s="5">
        <f t="shared" si="63"/>
        <v>3</v>
      </c>
      <c r="AI64" s="5">
        <f t="shared" si="63"/>
        <v>4</v>
      </c>
      <c r="AJ64" s="5">
        <f t="shared" si="63"/>
        <v>5</v>
      </c>
      <c r="AK64" s="5">
        <f t="shared" si="63"/>
        <v>6</v>
      </c>
      <c r="AL64" s="5">
        <f t="shared" si="63"/>
        <v>7</v>
      </c>
      <c r="AM64" s="5">
        <f t="shared" si="63"/>
        <v>8</v>
      </c>
      <c r="AN64" s="5">
        <f t="shared" si="63"/>
        <v>9</v>
      </c>
      <c r="AO64" s="5">
        <f t="shared" si="63"/>
        <v>10</v>
      </c>
      <c r="AP64" s="5">
        <f t="shared" si="63"/>
        <v>11</v>
      </c>
      <c r="AQ64" s="5">
        <f t="shared" si="63"/>
        <v>12</v>
      </c>
      <c r="AR64" s="5">
        <f t="shared" si="63"/>
        <v>13</v>
      </c>
      <c r="AS64" s="5">
        <f t="shared" si="63"/>
        <v>14</v>
      </c>
      <c r="AT64" s="5">
        <f t="shared" si="64"/>
        <v>15</v>
      </c>
      <c r="AU64" s="5">
        <f t="shared" si="64"/>
        <v>16</v>
      </c>
      <c r="AV64" s="5">
        <f t="shared" si="64"/>
        <v>17</v>
      </c>
      <c r="AW64" s="5">
        <f t="shared" si="64"/>
        <v>18</v>
      </c>
      <c r="AX64" s="5">
        <f t="shared" si="64"/>
        <v>19</v>
      </c>
      <c r="AY64" s="5">
        <f t="shared" si="64"/>
        <v>20</v>
      </c>
      <c r="AZ64" s="5">
        <f t="shared" si="64"/>
        <v>21</v>
      </c>
      <c r="BA64" s="5">
        <f t="shared" si="64"/>
        <v>22</v>
      </c>
      <c r="BB64" s="5">
        <f t="shared" si="64"/>
        <v>23</v>
      </c>
      <c r="BC64" s="5">
        <f t="shared" si="64"/>
        <v>24</v>
      </c>
      <c r="BD64" s="5">
        <f t="shared" si="64"/>
        <v>25</v>
      </c>
      <c r="BE64" s="5">
        <f t="shared" si="64"/>
        <v>26</v>
      </c>
      <c r="BF64" s="5">
        <f t="shared" si="64"/>
        <v>27</v>
      </c>
      <c r="BG64" s="5">
        <f t="shared" si="64"/>
        <v>28</v>
      </c>
      <c r="BH64" s="5">
        <f t="shared" si="64"/>
        <v>29</v>
      </c>
      <c r="BI64" s="5">
        <f t="shared" si="64"/>
        <v>30</v>
      </c>
      <c r="BJ64" s="5">
        <f t="shared" ref="BJ64" si="65">BI64+1</f>
        <v>31</v>
      </c>
      <c r="BK64" s="46"/>
      <c r="BL64" s="4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</row>
    <row r="65" spans="1:88" ht="15" hidden="1" customHeight="1" x14ac:dyDescent="0.25">
      <c r="B65" s="139">
        <v>10</v>
      </c>
      <c r="C65" s="140">
        <v>6</v>
      </c>
      <c r="D65" s="139" t="str">
        <f t="shared" si="0"/>
        <v>COUNTDOWN_EAST_K_2_19</v>
      </c>
      <c r="E65" s="140"/>
      <c r="F65" s="142" t="s">
        <v>33</v>
      </c>
      <c r="G65" s="140" t="s">
        <v>18</v>
      </c>
      <c r="H65" s="140" t="s">
        <v>12</v>
      </c>
      <c r="I65" s="140">
        <v>2</v>
      </c>
      <c r="J65" s="144"/>
      <c r="K65" s="144"/>
      <c r="L65" s="140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178"/>
      <c r="Z65" s="82"/>
      <c r="AA65" s="5"/>
      <c r="AB65" s="5"/>
      <c r="AC65" s="5"/>
      <c r="AD65" s="5"/>
      <c r="AE65" s="64"/>
      <c r="AF65" s="179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6"/>
      <c r="AR65" s="6"/>
      <c r="AS65" s="46"/>
      <c r="AT65" s="46"/>
      <c r="AU65" s="56"/>
      <c r="AV65" s="56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</row>
    <row r="66" spans="1:88" hidden="1" x14ac:dyDescent="0.25">
      <c r="B66" s="139">
        <v>11</v>
      </c>
      <c r="C66" s="139">
        <v>1</v>
      </c>
      <c r="D66" s="139" t="str">
        <f t="shared" si="0"/>
        <v>SORTING_WEST_H_1_19</v>
      </c>
      <c r="E66" s="139" t="s">
        <v>35</v>
      </c>
      <c r="F66" s="138" t="s">
        <v>45</v>
      </c>
      <c r="G66" s="140" t="s">
        <v>19</v>
      </c>
      <c r="H66" s="140" t="s">
        <v>9</v>
      </c>
      <c r="I66" s="140">
        <v>1</v>
      </c>
      <c r="J66" s="139"/>
      <c r="K66" s="184">
        <f>COUNT(Z66:AX66)</f>
        <v>0</v>
      </c>
      <c r="L66" s="139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101"/>
      <c r="Z66" s="9"/>
      <c r="AA66" s="4"/>
      <c r="AB66" s="5"/>
      <c r="AC66" s="5"/>
      <c r="AD66" s="5"/>
      <c r="AE66" s="64"/>
      <c r="AF66" s="179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</row>
    <row r="67" spans="1:88" hidden="1" x14ac:dyDescent="0.25">
      <c r="B67" s="139">
        <v>11</v>
      </c>
      <c r="C67" s="139">
        <v>2</v>
      </c>
      <c r="D67" s="139" t="str">
        <f t="shared" si="0"/>
        <v>TRANSFER_WEST_H_1_19</v>
      </c>
      <c r="E67" s="139" t="s">
        <v>21</v>
      </c>
      <c r="F67" s="138" t="s">
        <v>21</v>
      </c>
      <c r="G67" s="140" t="s">
        <v>19</v>
      </c>
      <c r="H67" s="140" t="s">
        <v>9</v>
      </c>
      <c r="I67" s="140">
        <v>1</v>
      </c>
      <c r="J67" s="139"/>
      <c r="K67" s="184">
        <f>COUNT(Z67:AX67)</f>
        <v>2</v>
      </c>
      <c r="L67" s="139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101"/>
      <c r="Z67" s="82">
        <v>1</v>
      </c>
      <c r="AA67" s="3">
        <f>Z67+1</f>
        <v>2</v>
      </c>
      <c r="AB67" s="4"/>
      <c r="AC67" s="4"/>
      <c r="AD67" s="3"/>
      <c r="AE67" s="31"/>
      <c r="AF67" s="86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</row>
    <row r="68" spans="1:88" ht="15" customHeight="1" x14ac:dyDescent="0.25">
      <c r="B68" s="139">
        <v>11</v>
      </c>
      <c r="C68" s="139">
        <v>3</v>
      </c>
      <c r="D68" s="139" t="str">
        <f t="shared" si="0"/>
        <v>PREPARE_WEST_H_1_19</v>
      </c>
      <c r="E68" s="139" t="s">
        <v>0</v>
      </c>
      <c r="F68" s="138" t="s">
        <v>46</v>
      </c>
      <c r="G68" s="140" t="s">
        <v>19</v>
      </c>
      <c r="H68" s="140" t="s">
        <v>9</v>
      </c>
      <c r="I68" s="140">
        <v>1</v>
      </c>
      <c r="J68" s="141"/>
      <c r="K68" s="184">
        <f>COUNT(M68:AX68)</f>
        <v>17</v>
      </c>
      <c r="L68" s="139"/>
      <c r="M68" s="5">
        <v>1</v>
      </c>
      <c r="N68" s="5">
        <f>M68+1</f>
        <v>2</v>
      </c>
      <c r="O68" s="5">
        <f t="shared" ref="O68:AC68" si="66">N68+1</f>
        <v>3</v>
      </c>
      <c r="P68" s="5">
        <f t="shared" si="66"/>
        <v>4</v>
      </c>
      <c r="Q68" s="5">
        <f t="shared" si="66"/>
        <v>5</v>
      </c>
      <c r="R68" s="5">
        <f t="shared" si="66"/>
        <v>6</v>
      </c>
      <c r="S68" s="5">
        <f t="shared" si="66"/>
        <v>7</v>
      </c>
      <c r="T68" s="5">
        <f t="shared" si="66"/>
        <v>8</v>
      </c>
      <c r="U68" s="5">
        <f t="shared" si="66"/>
        <v>9</v>
      </c>
      <c r="V68" s="5">
        <f t="shared" si="66"/>
        <v>10</v>
      </c>
      <c r="W68" s="5">
        <f t="shared" si="66"/>
        <v>11</v>
      </c>
      <c r="X68" s="5">
        <f t="shared" si="66"/>
        <v>12</v>
      </c>
      <c r="Y68" s="5">
        <f t="shared" si="66"/>
        <v>13</v>
      </c>
      <c r="Z68" s="5">
        <f t="shared" si="66"/>
        <v>14</v>
      </c>
      <c r="AA68" s="5">
        <f t="shared" si="66"/>
        <v>15</v>
      </c>
      <c r="AB68" s="5">
        <f t="shared" si="66"/>
        <v>16</v>
      </c>
      <c r="AC68" s="5">
        <f t="shared" si="66"/>
        <v>17</v>
      </c>
      <c r="AD68" s="4"/>
      <c r="AE68" s="21"/>
      <c r="AF68" s="179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</row>
    <row r="69" spans="1:88" ht="15" customHeight="1" x14ac:dyDescent="0.25">
      <c r="B69" s="139">
        <v>11</v>
      </c>
      <c r="C69" s="139">
        <v>4</v>
      </c>
      <c r="D69" s="139" t="str">
        <f t="shared" si="0"/>
        <v>SUPPLY_WEST_H_1_19</v>
      </c>
      <c r="E69" s="139" t="s">
        <v>0</v>
      </c>
      <c r="F69" s="142" t="s">
        <v>0</v>
      </c>
      <c r="G69" s="140" t="s">
        <v>19</v>
      </c>
      <c r="H69" s="140" t="s">
        <v>9</v>
      </c>
      <c r="I69" s="140">
        <v>1</v>
      </c>
      <c r="J69" s="143"/>
      <c r="K69" s="184">
        <f>COUNT(AF69:BQ69)</f>
        <v>0</v>
      </c>
      <c r="L69" s="140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101"/>
      <c r="Z69" s="42"/>
      <c r="AA69" s="46"/>
      <c r="AB69" s="46"/>
      <c r="AC69" s="46"/>
      <c r="AD69" s="46"/>
      <c r="AE69" s="57"/>
      <c r="AF69" s="93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</row>
    <row r="70" spans="1:88" ht="15" customHeight="1" x14ac:dyDescent="0.25">
      <c r="B70" s="139">
        <v>11</v>
      </c>
      <c r="C70" s="140">
        <v>5</v>
      </c>
      <c r="D70" s="139" t="str">
        <f t="shared" si="0"/>
        <v>EMPTY_WEST_H_1_19</v>
      </c>
      <c r="E70" s="140" t="s">
        <v>0</v>
      </c>
      <c r="F70" s="142" t="s">
        <v>32</v>
      </c>
      <c r="G70" s="140" t="s">
        <v>19</v>
      </c>
      <c r="H70" s="140" t="s">
        <v>9</v>
      </c>
      <c r="I70" s="140">
        <v>1</v>
      </c>
      <c r="J70" s="139"/>
      <c r="K70" s="184">
        <f>COUNT(AF70:BQ70)</f>
        <v>15</v>
      </c>
      <c r="L70" s="139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101"/>
      <c r="Z70" s="42"/>
      <c r="AA70" s="46"/>
      <c r="AB70" s="46"/>
      <c r="AC70" s="46"/>
      <c r="AD70" s="46"/>
      <c r="AE70" s="57"/>
      <c r="AF70" s="179">
        <v>1</v>
      </c>
      <c r="AG70" s="5">
        <f>AF70+1</f>
        <v>2</v>
      </c>
      <c r="AH70" s="5">
        <f t="shared" ref="AH70:AR70" si="67">AG70+1</f>
        <v>3</v>
      </c>
      <c r="AI70" s="5">
        <f t="shared" si="67"/>
        <v>4</v>
      </c>
      <c r="AJ70" s="5">
        <f t="shared" si="67"/>
        <v>5</v>
      </c>
      <c r="AK70" s="5">
        <f t="shared" si="67"/>
        <v>6</v>
      </c>
      <c r="AL70" s="5">
        <f t="shared" si="67"/>
        <v>7</v>
      </c>
      <c r="AM70" s="5">
        <f t="shared" si="67"/>
        <v>8</v>
      </c>
      <c r="AN70" s="5">
        <f t="shared" si="67"/>
        <v>9</v>
      </c>
      <c r="AO70" s="5">
        <f t="shared" si="67"/>
        <v>10</v>
      </c>
      <c r="AP70" s="5">
        <f t="shared" si="67"/>
        <v>11</v>
      </c>
      <c r="AQ70" s="5">
        <f t="shared" si="67"/>
        <v>12</v>
      </c>
      <c r="AR70" s="5">
        <f t="shared" si="67"/>
        <v>13</v>
      </c>
      <c r="AS70" s="5">
        <f>AR70+1</f>
        <v>14</v>
      </c>
      <c r="AT70" s="5">
        <f>AS70+1</f>
        <v>15</v>
      </c>
      <c r="AU70" s="46"/>
      <c r="AV70" s="4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</row>
    <row r="71" spans="1:88" ht="15" hidden="1" customHeight="1" x14ac:dyDescent="0.25">
      <c r="B71" s="139">
        <v>11</v>
      </c>
      <c r="C71" s="140">
        <v>6</v>
      </c>
      <c r="D71" s="139" t="str">
        <f t="shared" si="0"/>
        <v>COUNTDOWN_WEST_H_1_19</v>
      </c>
      <c r="E71" s="140"/>
      <c r="F71" s="142" t="s">
        <v>33</v>
      </c>
      <c r="G71" s="140" t="s">
        <v>19</v>
      </c>
      <c r="H71" s="140" t="s">
        <v>9</v>
      </c>
      <c r="I71" s="140">
        <v>1</v>
      </c>
      <c r="J71" s="144"/>
      <c r="K71" s="144"/>
      <c r="L71" s="140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178"/>
      <c r="Z71" s="29"/>
      <c r="AA71" s="6"/>
      <c r="AB71" s="46"/>
      <c r="AC71" s="46"/>
      <c r="AD71" s="56"/>
      <c r="AE71" s="59"/>
      <c r="AF71" s="93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0"/>
      <c r="AV71" s="40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</row>
    <row r="72" spans="1:88" hidden="1" x14ac:dyDescent="0.25">
      <c r="B72" s="139">
        <v>12</v>
      </c>
      <c r="C72" s="139">
        <v>1</v>
      </c>
      <c r="D72" s="139" t="str">
        <f t="shared" si="0"/>
        <v>SORTING_WEST_P_2_19</v>
      </c>
      <c r="E72" s="139" t="s">
        <v>35</v>
      </c>
      <c r="F72" s="138" t="s">
        <v>45</v>
      </c>
      <c r="G72" s="140" t="s">
        <v>19</v>
      </c>
      <c r="H72" s="140" t="s">
        <v>41</v>
      </c>
      <c r="I72" s="140">
        <v>2</v>
      </c>
      <c r="J72" s="139"/>
      <c r="K72" s="184">
        <f>COUNT(Z72:AX72)</f>
        <v>2</v>
      </c>
      <c r="L72" s="139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101"/>
      <c r="Z72" s="82">
        <v>1</v>
      </c>
      <c r="AA72" s="3">
        <f>Z72+1</f>
        <v>2</v>
      </c>
      <c r="AB72" s="4"/>
      <c r="AC72" s="4"/>
      <c r="AD72" s="3"/>
      <c r="AE72" s="31"/>
      <c r="AF72" s="86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</row>
    <row r="73" spans="1:88" hidden="1" x14ac:dyDescent="0.25">
      <c r="B73" s="139">
        <v>12</v>
      </c>
      <c r="C73" s="139">
        <v>2</v>
      </c>
      <c r="D73" s="139" t="str">
        <f t="shared" si="0"/>
        <v>TRANSFER_WEST_P_2_19</v>
      </c>
      <c r="E73" s="139" t="s">
        <v>21</v>
      </c>
      <c r="F73" s="138" t="s">
        <v>21</v>
      </c>
      <c r="G73" s="140" t="s">
        <v>19</v>
      </c>
      <c r="H73" s="140" t="s">
        <v>41</v>
      </c>
      <c r="I73" s="140">
        <v>2</v>
      </c>
      <c r="J73" s="139"/>
      <c r="K73" s="184">
        <f>COUNT(Z73:AX73)</f>
        <v>4</v>
      </c>
      <c r="L73" s="139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101"/>
      <c r="Z73" s="82">
        <v>1</v>
      </c>
      <c r="AA73" s="3">
        <f>Z73+1</f>
        <v>2</v>
      </c>
      <c r="AB73" s="3">
        <f t="shared" ref="AB73:AC73" si="68">AA73+1</f>
        <v>3</v>
      </c>
      <c r="AC73" s="3">
        <f t="shared" si="68"/>
        <v>4</v>
      </c>
      <c r="AD73" s="4"/>
      <c r="AE73" s="21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</row>
    <row r="74" spans="1:88" ht="15" customHeight="1" x14ac:dyDescent="0.25">
      <c r="B74" s="139">
        <v>12</v>
      </c>
      <c r="C74" s="139">
        <v>3</v>
      </c>
      <c r="D74" s="139" t="str">
        <f t="shared" si="0"/>
        <v>PREPARE_WEST_P_2_19</v>
      </c>
      <c r="E74" s="139" t="s">
        <v>0</v>
      </c>
      <c r="F74" s="138" t="s">
        <v>46</v>
      </c>
      <c r="G74" s="140" t="s">
        <v>19</v>
      </c>
      <c r="H74" s="140" t="s">
        <v>41</v>
      </c>
      <c r="I74" s="140">
        <v>2</v>
      </c>
      <c r="J74" s="141"/>
      <c r="K74" s="184">
        <f>COUNT(M74:AX74)</f>
        <v>19</v>
      </c>
      <c r="L74" s="139"/>
      <c r="M74" s="5">
        <v>1</v>
      </c>
      <c r="N74" s="5">
        <f>M74+1</f>
        <v>2</v>
      </c>
      <c r="O74" s="5">
        <f t="shared" ref="O74:AE74" si="69">N74+1</f>
        <v>3</v>
      </c>
      <c r="P74" s="5">
        <f t="shared" si="69"/>
        <v>4</v>
      </c>
      <c r="Q74" s="5">
        <f t="shared" si="69"/>
        <v>5</v>
      </c>
      <c r="R74" s="5">
        <f t="shared" si="69"/>
        <v>6</v>
      </c>
      <c r="S74" s="5">
        <f t="shared" si="69"/>
        <v>7</v>
      </c>
      <c r="T74" s="5">
        <f t="shared" si="69"/>
        <v>8</v>
      </c>
      <c r="U74" s="5">
        <f t="shared" si="69"/>
        <v>9</v>
      </c>
      <c r="V74" s="5">
        <f t="shared" si="69"/>
        <v>10</v>
      </c>
      <c r="W74" s="5">
        <f t="shared" si="69"/>
        <v>11</v>
      </c>
      <c r="X74" s="5">
        <f t="shared" si="69"/>
        <v>12</v>
      </c>
      <c r="Y74" s="5">
        <f t="shared" si="69"/>
        <v>13</v>
      </c>
      <c r="Z74" s="5">
        <f t="shared" si="69"/>
        <v>14</v>
      </c>
      <c r="AA74" s="5">
        <f t="shared" si="69"/>
        <v>15</v>
      </c>
      <c r="AB74" s="5">
        <f t="shared" si="69"/>
        <v>16</v>
      </c>
      <c r="AC74" s="5">
        <f t="shared" si="69"/>
        <v>17</v>
      </c>
      <c r="AD74" s="5">
        <f t="shared" si="69"/>
        <v>18</v>
      </c>
      <c r="AE74" s="5">
        <f t="shared" si="69"/>
        <v>19</v>
      </c>
      <c r="AF74" s="93"/>
      <c r="AG74" s="4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</row>
    <row r="75" spans="1:88" ht="15" customHeight="1" x14ac:dyDescent="0.25">
      <c r="B75" s="139">
        <v>12</v>
      </c>
      <c r="C75" s="139">
        <v>4</v>
      </c>
      <c r="D75" s="139" t="str">
        <f t="shared" si="0"/>
        <v>SUPPLY_WEST_P_2_19</v>
      </c>
      <c r="E75" s="139" t="s">
        <v>0</v>
      </c>
      <c r="F75" s="142" t="s">
        <v>0</v>
      </c>
      <c r="G75" s="140" t="s">
        <v>19</v>
      </c>
      <c r="H75" s="140" t="s">
        <v>41</v>
      </c>
      <c r="I75" s="140">
        <v>2</v>
      </c>
      <c r="J75" s="143"/>
      <c r="K75" s="184">
        <f>COUNT(AF75:BQ75)</f>
        <v>2</v>
      </c>
      <c r="L75" s="140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101"/>
      <c r="Z75" s="42"/>
      <c r="AA75" s="46"/>
      <c r="AB75" s="46"/>
      <c r="AC75" s="46"/>
      <c r="AD75" s="46"/>
      <c r="AE75" s="57"/>
      <c r="AF75" s="179">
        <v>1</v>
      </c>
      <c r="AG75" s="3">
        <f>AF75+1</f>
        <v>2</v>
      </c>
      <c r="AH75" s="93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</row>
    <row r="76" spans="1:88" ht="15" customHeight="1" x14ac:dyDescent="0.25">
      <c r="B76" s="139">
        <v>12</v>
      </c>
      <c r="C76" s="140">
        <v>5</v>
      </c>
      <c r="D76" s="139" t="str">
        <f t="shared" si="0"/>
        <v>EMPTY_WEST_P_2_19</v>
      </c>
      <c r="E76" s="140" t="s">
        <v>0</v>
      </c>
      <c r="F76" s="142" t="s">
        <v>32</v>
      </c>
      <c r="G76" s="140" t="s">
        <v>19</v>
      </c>
      <c r="H76" s="140" t="s">
        <v>41</v>
      </c>
      <c r="I76" s="140">
        <v>2</v>
      </c>
      <c r="J76" s="139"/>
      <c r="K76" s="184">
        <f>COUNT(AF76:BQ76)</f>
        <v>17</v>
      </c>
      <c r="L76" s="139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101"/>
      <c r="Z76" s="42"/>
      <c r="AA76" s="46"/>
      <c r="AB76" s="46"/>
      <c r="AC76" s="46"/>
      <c r="AD76" s="46"/>
      <c r="AE76" s="57"/>
      <c r="AF76" s="179">
        <v>1</v>
      </c>
      <c r="AG76" s="5">
        <f>AF76+1</f>
        <v>2</v>
      </c>
      <c r="AH76" s="5">
        <f t="shared" ref="AH76:AS76" si="70">AG76+1</f>
        <v>3</v>
      </c>
      <c r="AI76" s="5">
        <f t="shared" si="70"/>
        <v>4</v>
      </c>
      <c r="AJ76" s="5">
        <f t="shared" si="70"/>
        <v>5</v>
      </c>
      <c r="AK76" s="5">
        <f t="shared" si="70"/>
        <v>6</v>
      </c>
      <c r="AL76" s="5">
        <f t="shared" si="70"/>
        <v>7</v>
      </c>
      <c r="AM76" s="5">
        <f t="shared" si="70"/>
        <v>8</v>
      </c>
      <c r="AN76" s="5">
        <f t="shared" si="70"/>
        <v>9</v>
      </c>
      <c r="AO76" s="5">
        <f t="shared" si="70"/>
        <v>10</v>
      </c>
      <c r="AP76" s="5">
        <f t="shared" si="70"/>
        <v>11</v>
      </c>
      <c r="AQ76" s="5">
        <f t="shared" si="70"/>
        <v>12</v>
      </c>
      <c r="AR76" s="5">
        <f t="shared" si="70"/>
        <v>13</v>
      </c>
      <c r="AS76" s="5">
        <f t="shared" si="70"/>
        <v>14</v>
      </c>
      <c r="AT76" s="5">
        <f>AS76+1</f>
        <v>15</v>
      </c>
      <c r="AU76" s="5">
        <f t="shared" ref="AU76:AV76" si="71">AT76+1</f>
        <v>16</v>
      </c>
      <c r="AV76" s="5">
        <f t="shared" si="71"/>
        <v>17</v>
      </c>
      <c r="AW76" s="46"/>
      <c r="AX76" s="4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</row>
    <row r="77" spans="1:88" ht="15" hidden="1" customHeight="1" x14ac:dyDescent="0.25">
      <c r="B77" s="139">
        <v>12</v>
      </c>
      <c r="C77" s="140">
        <v>6</v>
      </c>
      <c r="D77" s="139" t="str">
        <f t="shared" ref="D77:D119" si="72">F77&amp;"_"&amp;G77&amp;"_"&amp;H77&amp;"_"&amp;I77&amp;"_"&amp;$D$1</f>
        <v>COUNTDOWN_WEST_P_2_19</v>
      </c>
      <c r="E77" s="140"/>
      <c r="F77" s="142" t="s">
        <v>33</v>
      </c>
      <c r="G77" s="140" t="s">
        <v>19</v>
      </c>
      <c r="H77" s="140" t="s">
        <v>41</v>
      </c>
      <c r="I77" s="140">
        <v>2</v>
      </c>
      <c r="J77" s="144"/>
      <c r="K77" s="144"/>
      <c r="L77" s="140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178"/>
      <c r="Z77" s="82"/>
      <c r="AA77" s="5"/>
      <c r="AB77" s="6"/>
      <c r="AC77" s="6"/>
      <c r="AD77" s="46"/>
      <c r="AE77" s="57"/>
      <c r="AF77" s="134"/>
      <c r="AG77" s="56"/>
      <c r="AH77" s="93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0"/>
      <c r="AX77" s="40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</row>
    <row r="78" spans="1:88" hidden="1" x14ac:dyDescent="0.25">
      <c r="A78" t="s">
        <v>8</v>
      </c>
      <c r="B78" s="139">
        <v>13</v>
      </c>
      <c r="C78" s="139">
        <v>1</v>
      </c>
      <c r="D78" s="139" t="str">
        <f t="shared" si="72"/>
        <v>SORTING_WEST_O_1_19</v>
      </c>
      <c r="E78" s="139" t="s">
        <v>35</v>
      </c>
      <c r="F78" s="138" t="s">
        <v>45</v>
      </c>
      <c r="G78" s="140" t="s">
        <v>19</v>
      </c>
      <c r="H78" s="140" t="s">
        <v>40</v>
      </c>
      <c r="I78" s="140">
        <v>1</v>
      </c>
      <c r="J78" s="139"/>
      <c r="K78" s="184">
        <f>COUNT(Z78:AX78)</f>
        <v>4</v>
      </c>
      <c r="L78" s="139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101"/>
      <c r="Z78" s="82">
        <v>1</v>
      </c>
      <c r="AA78" s="3">
        <f>Z78+1</f>
        <v>2</v>
      </c>
      <c r="AB78" s="3">
        <f t="shared" ref="AB78:AE79" si="73">AA78+1</f>
        <v>3</v>
      </c>
      <c r="AC78" s="3">
        <f t="shared" si="73"/>
        <v>4</v>
      </c>
      <c r="AD78" s="4"/>
      <c r="AE78" s="21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</row>
    <row r="79" spans="1:88" hidden="1" x14ac:dyDescent="0.25">
      <c r="A79" t="s">
        <v>8</v>
      </c>
      <c r="B79" s="139">
        <v>13</v>
      </c>
      <c r="C79" s="139">
        <v>2</v>
      </c>
      <c r="D79" s="139" t="str">
        <f t="shared" si="72"/>
        <v>TRANSFER_WEST_O_1_19</v>
      </c>
      <c r="E79" s="139" t="s">
        <v>21</v>
      </c>
      <c r="F79" s="138" t="s">
        <v>21</v>
      </c>
      <c r="G79" s="140" t="s">
        <v>19</v>
      </c>
      <c r="H79" s="140" t="s">
        <v>40</v>
      </c>
      <c r="I79" s="140">
        <v>1</v>
      </c>
      <c r="J79" s="139"/>
      <c r="K79" s="184">
        <f>COUNT(Z79:AX79)</f>
        <v>6</v>
      </c>
      <c r="L79" s="139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101"/>
      <c r="Z79" s="82">
        <v>1</v>
      </c>
      <c r="AA79" s="3">
        <f>Z79+1</f>
        <v>2</v>
      </c>
      <c r="AB79" s="3">
        <f t="shared" si="73"/>
        <v>3</v>
      </c>
      <c r="AC79" s="3">
        <f t="shared" si="73"/>
        <v>4</v>
      </c>
      <c r="AD79" s="3">
        <f t="shared" si="73"/>
        <v>5</v>
      </c>
      <c r="AE79" s="3">
        <f t="shared" si="73"/>
        <v>6</v>
      </c>
      <c r="AF79" s="4"/>
      <c r="AG79" s="4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</row>
    <row r="80" spans="1:88" ht="15" customHeight="1" x14ac:dyDescent="0.25">
      <c r="A80" t="s">
        <v>8</v>
      </c>
      <c r="B80" s="139">
        <v>13</v>
      </c>
      <c r="C80" s="139">
        <v>3</v>
      </c>
      <c r="D80" s="139" t="str">
        <f t="shared" si="72"/>
        <v>PREPARE_WEST_O_1_19</v>
      </c>
      <c r="E80" s="139" t="s">
        <v>0</v>
      </c>
      <c r="F80" s="138" t="s">
        <v>46</v>
      </c>
      <c r="G80" s="140" t="s">
        <v>19</v>
      </c>
      <c r="H80" s="140" t="s">
        <v>40</v>
      </c>
      <c r="I80" s="140">
        <v>1</v>
      </c>
      <c r="J80" s="141"/>
      <c r="K80" s="184">
        <f>COUNT(M80:AX80)</f>
        <v>21</v>
      </c>
      <c r="L80" s="139"/>
      <c r="M80" s="5">
        <v>1</v>
      </c>
      <c r="N80" s="5">
        <f>M80+1</f>
        <v>2</v>
      </c>
      <c r="O80" s="5">
        <f t="shared" ref="O80:AG81" si="74">N80+1</f>
        <v>3</v>
      </c>
      <c r="P80" s="5">
        <f t="shared" si="74"/>
        <v>4</v>
      </c>
      <c r="Q80" s="5">
        <f t="shared" si="74"/>
        <v>5</v>
      </c>
      <c r="R80" s="5">
        <f t="shared" si="74"/>
        <v>6</v>
      </c>
      <c r="S80" s="5">
        <f t="shared" si="74"/>
        <v>7</v>
      </c>
      <c r="T80" s="5">
        <f t="shared" si="74"/>
        <v>8</v>
      </c>
      <c r="U80" s="5">
        <f t="shared" si="74"/>
        <v>9</v>
      </c>
      <c r="V80" s="5">
        <f t="shared" si="74"/>
        <v>10</v>
      </c>
      <c r="W80" s="5">
        <f t="shared" si="74"/>
        <v>11</v>
      </c>
      <c r="X80" s="5">
        <f t="shared" si="74"/>
        <v>12</v>
      </c>
      <c r="Y80" s="5">
        <f t="shared" si="74"/>
        <v>13</v>
      </c>
      <c r="Z80" s="5">
        <f t="shared" si="74"/>
        <v>14</v>
      </c>
      <c r="AA80" s="5">
        <f t="shared" si="74"/>
        <v>15</v>
      </c>
      <c r="AB80" s="5">
        <f t="shared" si="74"/>
        <v>16</v>
      </c>
      <c r="AC80" s="5">
        <f t="shared" si="74"/>
        <v>17</v>
      </c>
      <c r="AD80" s="5">
        <f t="shared" si="74"/>
        <v>18</v>
      </c>
      <c r="AE80" s="5">
        <f t="shared" si="74"/>
        <v>19</v>
      </c>
      <c r="AF80" s="5">
        <f t="shared" si="74"/>
        <v>20</v>
      </c>
      <c r="AG80" s="5">
        <f t="shared" si="74"/>
        <v>21</v>
      </c>
      <c r="AH80" s="4"/>
      <c r="AI80" s="4"/>
      <c r="AJ80" s="4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</row>
    <row r="81" spans="1:88" ht="15" customHeight="1" x14ac:dyDescent="0.25">
      <c r="A81" t="s">
        <v>8</v>
      </c>
      <c r="B81" s="139">
        <v>13</v>
      </c>
      <c r="C81" s="139">
        <v>4</v>
      </c>
      <c r="D81" s="139" t="str">
        <f t="shared" si="72"/>
        <v>SUPPLY_WEST_O_1_19</v>
      </c>
      <c r="E81" s="139" t="s">
        <v>0</v>
      </c>
      <c r="F81" s="142" t="s">
        <v>0</v>
      </c>
      <c r="G81" s="140" t="s">
        <v>19</v>
      </c>
      <c r="H81" s="140" t="s">
        <v>40</v>
      </c>
      <c r="I81" s="140">
        <v>1</v>
      </c>
      <c r="J81" s="143"/>
      <c r="K81" s="184">
        <f>COUNT(AF81:BQ81)</f>
        <v>5</v>
      </c>
      <c r="L81" s="140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101"/>
      <c r="Z81" s="42"/>
      <c r="AA81" s="46"/>
      <c r="AB81" s="46"/>
      <c r="AC81" s="46"/>
      <c r="AD81" s="46"/>
      <c r="AE81" s="57"/>
      <c r="AF81" s="179">
        <v>1</v>
      </c>
      <c r="AG81" s="3">
        <f t="shared" si="74"/>
        <v>2</v>
      </c>
      <c r="AH81" s="3">
        <f t="shared" ref="AH81:AS82" si="75">AG81+1</f>
        <v>3</v>
      </c>
      <c r="AI81" s="3">
        <f t="shared" si="75"/>
        <v>4</v>
      </c>
      <c r="AJ81" s="3">
        <f t="shared" si="75"/>
        <v>5</v>
      </c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</row>
    <row r="82" spans="1:88" ht="15" customHeight="1" x14ac:dyDescent="0.25">
      <c r="A82" t="s">
        <v>8</v>
      </c>
      <c r="B82" s="139">
        <v>13</v>
      </c>
      <c r="C82" s="140">
        <v>5</v>
      </c>
      <c r="D82" s="139" t="str">
        <f t="shared" si="72"/>
        <v>EMPTY_WEST_O_1_19</v>
      </c>
      <c r="E82" s="140" t="s">
        <v>0</v>
      </c>
      <c r="F82" s="142" t="s">
        <v>32</v>
      </c>
      <c r="G82" s="140" t="s">
        <v>19</v>
      </c>
      <c r="H82" s="140" t="s">
        <v>40</v>
      </c>
      <c r="I82" s="140">
        <v>1</v>
      </c>
      <c r="J82" s="139"/>
      <c r="K82" s="184">
        <f>COUNT(AF82:BQ82)</f>
        <v>19</v>
      </c>
      <c r="L82" s="139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101"/>
      <c r="Z82" s="42"/>
      <c r="AA82" s="46"/>
      <c r="AB82" s="46"/>
      <c r="AC82" s="46"/>
      <c r="AD82" s="46"/>
      <c r="AE82" s="57"/>
      <c r="AF82" s="179">
        <v>1</v>
      </c>
      <c r="AG82" s="5">
        <f>AF82+1</f>
        <v>2</v>
      </c>
      <c r="AH82" s="5">
        <f t="shared" si="75"/>
        <v>3</v>
      </c>
      <c r="AI82" s="5">
        <f t="shared" si="75"/>
        <v>4</v>
      </c>
      <c r="AJ82" s="5">
        <f t="shared" si="75"/>
        <v>5</v>
      </c>
      <c r="AK82" s="5">
        <f t="shared" si="75"/>
        <v>6</v>
      </c>
      <c r="AL82" s="5">
        <f t="shared" si="75"/>
        <v>7</v>
      </c>
      <c r="AM82" s="5">
        <f t="shared" si="75"/>
        <v>8</v>
      </c>
      <c r="AN82" s="5">
        <f t="shared" si="75"/>
        <v>9</v>
      </c>
      <c r="AO82" s="5">
        <f t="shared" si="75"/>
        <v>10</v>
      </c>
      <c r="AP82" s="5">
        <f t="shared" si="75"/>
        <v>11</v>
      </c>
      <c r="AQ82" s="5">
        <f t="shared" si="75"/>
        <v>12</v>
      </c>
      <c r="AR82" s="5">
        <f t="shared" si="75"/>
        <v>13</v>
      </c>
      <c r="AS82" s="5">
        <f t="shared" si="75"/>
        <v>14</v>
      </c>
      <c r="AT82" s="5">
        <f>AS82+1</f>
        <v>15</v>
      </c>
      <c r="AU82" s="5">
        <f t="shared" ref="AU82:AX82" si="76">AT82+1</f>
        <v>16</v>
      </c>
      <c r="AV82" s="5">
        <f t="shared" si="76"/>
        <v>17</v>
      </c>
      <c r="AW82" s="5">
        <f t="shared" si="76"/>
        <v>18</v>
      </c>
      <c r="AX82" s="5">
        <f t="shared" si="76"/>
        <v>19</v>
      </c>
      <c r="AY82" s="46"/>
      <c r="AZ82" s="4"/>
      <c r="BA82" s="3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</row>
    <row r="83" spans="1:88" ht="15" hidden="1" customHeight="1" x14ac:dyDescent="0.25">
      <c r="A83" t="s">
        <v>8</v>
      </c>
      <c r="B83" s="139">
        <v>13</v>
      </c>
      <c r="C83" s="140">
        <v>6</v>
      </c>
      <c r="D83" s="139" t="str">
        <f t="shared" si="72"/>
        <v>COUNTDOWN_WEST_O_1_19</v>
      </c>
      <c r="E83" s="140"/>
      <c r="F83" s="142" t="s">
        <v>33</v>
      </c>
      <c r="G83" s="140" t="s">
        <v>19</v>
      </c>
      <c r="H83" s="140" t="s">
        <v>40</v>
      </c>
      <c r="I83" s="140">
        <v>1</v>
      </c>
      <c r="J83" s="144"/>
      <c r="K83" s="144"/>
      <c r="L83" s="140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178"/>
      <c r="Z83" s="82"/>
      <c r="AA83" s="5"/>
      <c r="AB83" s="5"/>
      <c r="AC83" s="5"/>
      <c r="AD83" s="6"/>
      <c r="AE83" s="28"/>
      <c r="AF83" s="133"/>
      <c r="AG83" s="46"/>
      <c r="AH83" s="56"/>
      <c r="AI83" s="56"/>
      <c r="AJ83" s="93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0"/>
      <c r="AZ83" s="40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</row>
    <row r="84" spans="1:88" hidden="1" x14ac:dyDescent="0.25">
      <c r="B84" s="139">
        <v>14</v>
      </c>
      <c r="C84" s="139">
        <v>1</v>
      </c>
      <c r="D84" s="139" t="str">
        <f t="shared" si="72"/>
        <v>SORTING_WEST_L_2_19</v>
      </c>
      <c r="E84" s="139" t="s">
        <v>35</v>
      </c>
      <c r="F84" s="138" t="s">
        <v>45</v>
      </c>
      <c r="G84" s="140" t="s">
        <v>19</v>
      </c>
      <c r="H84" s="140" t="s">
        <v>13</v>
      </c>
      <c r="I84" s="140">
        <v>2</v>
      </c>
      <c r="J84" s="139"/>
      <c r="K84" s="184">
        <f>COUNT(Z84:AX84)</f>
        <v>6</v>
      </c>
      <c r="L84" s="139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101"/>
      <c r="Z84" s="82">
        <v>1</v>
      </c>
      <c r="AA84" s="3">
        <f>Z84+1</f>
        <v>2</v>
      </c>
      <c r="AB84" s="3">
        <f t="shared" ref="AB84:AG85" si="77">AA84+1</f>
        <v>3</v>
      </c>
      <c r="AC84" s="3">
        <f t="shared" si="77"/>
        <v>4</v>
      </c>
      <c r="AD84" s="3">
        <f t="shared" si="77"/>
        <v>5</v>
      </c>
      <c r="AE84" s="3">
        <f t="shared" si="77"/>
        <v>6</v>
      </c>
      <c r="AF84" s="4"/>
      <c r="AG84" s="4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</row>
    <row r="85" spans="1:88" hidden="1" x14ac:dyDescent="0.25">
      <c r="B85" s="139">
        <v>14</v>
      </c>
      <c r="C85" s="139">
        <v>2</v>
      </c>
      <c r="D85" s="139" t="str">
        <f t="shared" si="72"/>
        <v>TRANSFER_WEST_L_2_19</v>
      </c>
      <c r="E85" s="139" t="s">
        <v>21</v>
      </c>
      <c r="F85" s="138" t="s">
        <v>21</v>
      </c>
      <c r="G85" s="140" t="s">
        <v>19</v>
      </c>
      <c r="H85" s="140" t="s">
        <v>13</v>
      </c>
      <c r="I85" s="140">
        <v>2</v>
      </c>
      <c r="J85" s="139"/>
      <c r="K85" s="184">
        <f>COUNT(Z85:AX85)</f>
        <v>8</v>
      </c>
      <c r="L85" s="139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101"/>
      <c r="Z85" s="82">
        <v>1</v>
      </c>
      <c r="AA85" s="3">
        <f>Z85+1</f>
        <v>2</v>
      </c>
      <c r="AB85" s="3">
        <f t="shared" si="77"/>
        <v>3</v>
      </c>
      <c r="AC85" s="3">
        <f t="shared" si="77"/>
        <v>4</v>
      </c>
      <c r="AD85" s="3">
        <f t="shared" si="77"/>
        <v>5</v>
      </c>
      <c r="AE85" s="3">
        <f t="shared" si="77"/>
        <v>6</v>
      </c>
      <c r="AF85" s="3">
        <f t="shared" si="77"/>
        <v>7</v>
      </c>
      <c r="AG85" s="3">
        <f t="shared" si="77"/>
        <v>8</v>
      </c>
      <c r="AH85" s="4"/>
      <c r="AI85" s="4"/>
      <c r="AJ85" s="3"/>
      <c r="AK85" s="3"/>
      <c r="AL85" s="3"/>
      <c r="AM85" s="3"/>
      <c r="AN85" s="3"/>
      <c r="AO85" s="3"/>
      <c r="AP85" s="3"/>
      <c r="AQ85" s="3"/>
      <c r="AR85" s="3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</row>
    <row r="86" spans="1:88" ht="15" customHeight="1" x14ac:dyDescent="0.25">
      <c r="B86" s="139">
        <v>14</v>
      </c>
      <c r="C86" s="139">
        <v>3</v>
      </c>
      <c r="D86" s="139" t="str">
        <f t="shared" si="72"/>
        <v>PREPARE_WEST_L_2_19</v>
      </c>
      <c r="E86" s="139" t="s">
        <v>0</v>
      </c>
      <c r="F86" s="138" t="s">
        <v>46</v>
      </c>
      <c r="G86" s="140" t="s">
        <v>19</v>
      </c>
      <c r="H86" s="140" t="s">
        <v>13</v>
      </c>
      <c r="I86" s="140">
        <v>2</v>
      </c>
      <c r="J86" s="141"/>
      <c r="K86" s="184">
        <f>COUNT(M86:AX86)</f>
        <v>24</v>
      </c>
      <c r="L86" s="139"/>
      <c r="M86" s="5">
        <v>1</v>
      </c>
      <c r="N86" s="5">
        <f>M86+1</f>
        <v>2</v>
      </c>
      <c r="O86" s="5">
        <f t="shared" ref="O86:AJ88" si="78">N86+1</f>
        <v>3</v>
      </c>
      <c r="P86" s="5">
        <f t="shared" si="78"/>
        <v>4</v>
      </c>
      <c r="Q86" s="5">
        <f t="shared" si="78"/>
        <v>5</v>
      </c>
      <c r="R86" s="5">
        <f t="shared" si="78"/>
        <v>6</v>
      </c>
      <c r="S86" s="5">
        <f t="shared" si="78"/>
        <v>7</v>
      </c>
      <c r="T86" s="5">
        <f t="shared" si="78"/>
        <v>8</v>
      </c>
      <c r="U86" s="5">
        <f t="shared" si="78"/>
        <v>9</v>
      </c>
      <c r="V86" s="5">
        <f t="shared" si="78"/>
        <v>10</v>
      </c>
      <c r="W86" s="5">
        <f t="shared" si="78"/>
        <v>11</v>
      </c>
      <c r="X86" s="5">
        <f t="shared" si="78"/>
        <v>12</v>
      </c>
      <c r="Y86" s="5">
        <f t="shared" si="78"/>
        <v>13</v>
      </c>
      <c r="Z86" s="5">
        <f t="shared" si="78"/>
        <v>14</v>
      </c>
      <c r="AA86" s="5">
        <f t="shared" si="78"/>
        <v>15</v>
      </c>
      <c r="AB86" s="5">
        <f t="shared" si="78"/>
        <v>16</v>
      </c>
      <c r="AC86" s="5">
        <f t="shared" si="78"/>
        <v>17</v>
      </c>
      <c r="AD86" s="5">
        <f t="shared" si="78"/>
        <v>18</v>
      </c>
      <c r="AE86" s="5">
        <f t="shared" si="78"/>
        <v>19</v>
      </c>
      <c r="AF86" s="5">
        <f t="shared" si="78"/>
        <v>20</v>
      </c>
      <c r="AG86" s="5">
        <f t="shared" si="78"/>
        <v>21</v>
      </c>
      <c r="AH86" s="5">
        <f t="shared" si="78"/>
        <v>22</v>
      </c>
      <c r="AI86" s="5">
        <f t="shared" si="78"/>
        <v>23</v>
      </c>
      <c r="AJ86" s="5">
        <f t="shared" si="78"/>
        <v>24</v>
      </c>
      <c r="AK86" s="4"/>
      <c r="AL86" s="4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</row>
    <row r="87" spans="1:88" ht="15" customHeight="1" x14ac:dyDescent="0.25">
      <c r="B87" s="139">
        <v>14</v>
      </c>
      <c r="C87" s="139">
        <v>4</v>
      </c>
      <c r="D87" s="139" t="str">
        <f t="shared" si="72"/>
        <v>SUPPLY_WEST_L_2_19</v>
      </c>
      <c r="E87" s="139" t="s">
        <v>0</v>
      </c>
      <c r="F87" s="142" t="s">
        <v>0</v>
      </c>
      <c r="G87" s="140" t="s">
        <v>19</v>
      </c>
      <c r="H87" s="140" t="s">
        <v>13</v>
      </c>
      <c r="I87" s="140">
        <v>2</v>
      </c>
      <c r="J87" s="143"/>
      <c r="K87" s="184">
        <f>COUNT(AF87:BQ87)</f>
        <v>7</v>
      </c>
      <c r="L87" s="140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101"/>
      <c r="Z87" s="42"/>
      <c r="AA87" s="46"/>
      <c r="AB87" s="46"/>
      <c r="AC87" s="46"/>
      <c r="AD87" s="46"/>
      <c r="AE87" s="57"/>
      <c r="AF87" s="179">
        <v>1</v>
      </c>
      <c r="AG87" s="3">
        <f t="shared" si="78"/>
        <v>2</v>
      </c>
      <c r="AH87" s="3">
        <f t="shared" si="78"/>
        <v>3</v>
      </c>
      <c r="AI87" s="3">
        <f t="shared" si="78"/>
        <v>4</v>
      </c>
      <c r="AJ87" s="3">
        <f t="shared" si="78"/>
        <v>5</v>
      </c>
      <c r="AK87" s="3">
        <f t="shared" ref="AK87:AS88" si="79">AJ87+1</f>
        <v>6</v>
      </c>
      <c r="AL87" s="3">
        <f t="shared" si="79"/>
        <v>7</v>
      </c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</row>
    <row r="88" spans="1:88" ht="15" customHeight="1" x14ac:dyDescent="0.25">
      <c r="B88" s="139">
        <v>14</v>
      </c>
      <c r="C88" s="140">
        <v>5</v>
      </c>
      <c r="D88" s="139" t="str">
        <f t="shared" si="72"/>
        <v>EMPTY_WEST_L_2_19</v>
      </c>
      <c r="E88" s="140" t="s">
        <v>0</v>
      </c>
      <c r="F88" s="142" t="s">
        <v>32</v>
      </c>
      <c r="G88" s="140" t="s">
        <v>19</v>
      </c>
      <c r="H88" s="140" t="s">
        <v>13</v>
      </c>
      <c r="I88" s="140">
        <v>2</v>
      </c>
      <c r="J88" s="139"/>
      <c r="K88" s="184">
        <f>COUNT(AF88:BQ88)</f>
        <v>21</v>
      </c>
      <c r="L88" s="139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101"/>
      <c r="Z88" s="42"/>
      <c r="AA88" s="46"/>
      <c r="AB88" s="46"/>
      <c r="AC88" s="46"/>
      <c r="AD88" s="46"/>
      <c r="AE88" s="57"/>
      <c r="AF88" s="179">
        <v>1</v>
      </c>
      <c r="AG88" s="5">
        <f>AF88+1</f>
        <v>2</v>
      </c>
      <c r="AH88" s="5">
        <f t="shared" si="78"/>
        <v>3</v>
      </c>
      <c r="AI88" s="5">
        <f t="shared" si="78"/>
        <v>4</v>
      </c>
      <c r="AJ88" s="5">
        <f t="shared" si="78"/>
        <v>5</v>
      </c>
      <c r="AK88" s="5">
        <f t="shared" si="79"/>
        <v>6</v>
      </c>
      <c r="AL88" s="5">
        <f t="shared" si="79"/>
        <v>7</v>
      </c>
      <c r="AM88" s="5">
        <f t="shared" si="79"/>
        <v>8</v>
      </c>
      <c r="AN88" s="5">
        <f t="shared" si="79"/>
        <v>9</v>
      </c>
      <c r="AO88" s="5">
        <f t="shared" si="79"/>
        <v>10</v>
      </c>
      <c r="AP88" s="5">
        <f t="shared" si="79"/>
        <v>11</v>
      </c>
      <c r="AQ88" s="5">
        <f t="shared" si="79"/>
        <v>12</v>
      </c>
      <c r="AR88" s="5">
        <f t="shared" si="79"/>
        <v>13</v>
      </c>
      <c r="AS88" s="5">
        <f t="shared" si="79"/>
        <v>14</v>
      </c>
      <c r="AT88" s="5">
        <f>AS88+1</f>
        <v>15</v>
      </c>
      <c r="AU88" s="5">
        <f t="shared" ref="AU88:AZ88" si="80">AT88+1</f>
        <v>16</v>
      </c>
      <c r="AV88" s="5">
        <f t="shared" si="80"/>
        <v>17</v>
      </c>
      <c r="AW88" s="5">
        <f t="shared" si="80"/>
        <v>18</v>
      </c>
      <c r="AX88" s="5">
        <f t="shared" si="80"/>
        <v>19</v>
      </c>
      <c r="AY88" s="5">
        <f t="shared" si="80"/>
        <v>20</v>
      </c>
      <c r="AZ88" s="5">
        <f t="shared" si="80"/>
        <v>21</v>
      </c>
      <c r="BA88" s="46"/>
      <c r="BB88" s="4"/>
      <c r="BC88" s="4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</row>
    <row r="89" spans="1:88" ht="15" hidden="1" customHeight="1" x14ac:dyDescent="0.25">
      <c r="B89" s="139">
        <v>14</v>
      </c>
      <c r="C89" s="140">
        <v>6</v>
      </c>
      <c r="D89" s="139" t="str">
        <f t="shared" si="72"/>
        <v>COUNTDOWN_WEST_L_2_19</v>
      </c>
      <c r="E89" s="140"/>
      <c r="F89" s="142" t="s">
        <v>33</v>
      </c>
      <c r="G89" s="140" t="s">
        <v>19</v>
      </c>
      <c r="H89" s="140" t="s">
        <v>13</v>
      </c>
      <c r="I89" s="140">
        <v>2</v>
      </c>
      <c r="J89" s="144"/>
      <c r="K89" s="144"/>
      <c r="L89" s="140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178"/>
      <c r="Z89" s="82"/>
      <c r="AA89" s="5"/>
      <c r="AB89" s="5"/>
      <c r="AC89" s="5"/>
      <c r="AD89" s="5"/>
      <c r="AE89" s="64"/>
      <c r="AF89" s="132"/>
      <c r="AG89" s="6"/>
      <c r="AH89" s="46"/>
      <c r="AI89" s="46"/>
      <c r="AJ89" s="56"/>
      <c r="AK89" s="56"/>
      <c r="AL89" s="93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0"/>
      <c r="BB89" s="40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</row>
    <row r="90" spans="1:88" hidden="1" x14ac:dyDescent="0.25">
      <c r="B90" s="139">
        <v>16</v>
      </c>
      <c r="C90" s="139">
        <v>1</v>
      </c>
      <c r="D90" s="139" t="str">
        <f t="shared" si="72"/>
        <v>SORTING_WEST_N_1_19</v>
      </c>
      <c r="E90" s="139" t="s">
        <v>35</v>
      </c>
      <c r="F90" s="138" t="s">
        <v>45</v>
      </c>
      <c r="G90" s="140" t="s">
        <v>19</v>
      </c>
      <c r="H90" s="140" t="s">
        <v>15</v>
      </c>
      <c r="I90" s="140">
        <v>1</v>
      </c>
      <c r="J90" s="139"/>
      <c r="K90" s="184">
        <f>COUNT(Z90:AX90)</f>
        <v>8</v>
      </c>
      <c r="L90" s="139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101"/>
      <c r="Z90" s="82">
        <v>1</v>
      </c>
      <c r="AA90" s="3">
        <f>Z90+1</f>
        <v>2</v>
      </c>
      <c r="AB90" s="3">
        <f t="shared" ref="AB90:AI91" si="81">AA90+1</f>
        <v>3</v>
      </c>
      <c r="AC90" s="3">
        <f t="shared" si="81"/>
        <v>4</v>
      </c>
      <c r="AD90" s="3">
        <f t="shared" si="81"/>
        <v>5</v>
      </c>
      <c r="AE90" s="3">
        <f t="shared" si="81"/>
        <v>6</v>
      </c>
      <c r="AF90" s="3">
        <f t="shared" si="81"/>
        <v>7</v>
      </c>
      <c r="AG90" s="3">
        <f t="shared" si="81"/>
        <v>8</v>
      </c>
      <c r="AH90" s="4"/>
      <c r="AI90" s="4"/>
      <c r="AJ90" s="3"/>
      <c r="AK90" s="3"/>
      <c r="AL90" s="3"/>
      <c r="AM90" s="3"/>
      <c r="AN90" s="3"/>
      <c r="AO90" s="3"/>
      <c r="AP90" s="3"/>
      <c r="AQ90" s="3"/>
      <c r="AR90" s="3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</row>
    <row r="91" spans="1:88" hidden="1" x14ac:dyDescent="0.25">
      <c r="B91" s="139">
        <v>16</v>
      </c>
      <c r="C91" s="139">
        <v>2</v>
      </c>
      <c r="D91" s="139" t="str">
        <f t="shared" si="72"/>
        <v>TRANSFER_WEST_N_1_19</v>
      </c>
      <c r="E91" s="139" t="s">
        <v>21</v>
      </c>
      <c r="F91" s="138" t="s">
        <v>21</v>
      </c>
      <c r="G91" s="140" t="s">
        <v>19</v>
      </c>
      <c r="H91" s="140" t="s">
        <v>15</v>
      </c>
      <c r="I91" s="140">
        <v>1</v>
      </c>
      <c r="J91" s="139"/>
      <c r="K91" s="184">
        <f>COUNT(Z91:AX91)</f>
        <v>10</v>
      </c>
      <c r="L91" s="139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101"/>
      <c r="Z91" s="82">
        <v>1</v>
      </c>
      <c r="AA91" s="3">
        <f>Z91+1</f>
        <v>2</v>
      </c>
      <c r="AB91" s="3">
        <f t="shared" si="81"/>
        <v>3</v>
      </c>
      <c r="AC91" s="3">
        <f t="shared" si="81"/>
        <v>4</v>
      </c>
      <c r="AD91" s="3">
        <f t="shared" si="81"/>
        <v>5</v>
      </c>
      <c r="AE91" s="3">
        <f t="shared" si="81"/>
        <v>6</v>
      </c>
      <c r="AF91" s="3">
        <f t="shared" si="81"/>
        <v>7</v>
      </c>
      <c r="AG91" s="3">
        <f t="shared" si="81"/>
        <v>8</v>
      </c>
      <c r="AH91" s="3">
        <f t="shared" si="81"/>
        <v>9</v>
      </c>
      <c r="AI91" s="3">
        <f t="shared" si="81"/>
        <v>10</v>
      </c>
      <c r="AJ91" s="4"/>
      <c r="AK91" s="4"/>
      <c r="AL91" s="3"/>
      <c r="AM91" s="3"/>
      <c r="AN91" s="3"/>
      <c r="AO91" s="3"/>
      <c r="AP91" s="3"/>
      <c r="AQ91" s="3"/>
      <c r="AR91" s="3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</row>
    <row r="92" spans="1:88" ht="15" customHeight="1" x14ac:dyDescent="0.25">
      <c r="B92" s="139">
        <v>16</v>
      </c>
      <c r="C92" s="139">
        <v>3</v>
      </c>
      <c r="D92" s="139" t="str">
        <f t="shared" si="72"/>
        <v>PREPARE_WEST_N_1_19</v>
      </c>
      <c r="E92" s="139" t="s">
        <v>0</v>
      </c>
      <c r="F92" s="138" t="s">
        <v>46</v>
      </c>
      <c r="G92" s="140" t="s">
        <v>19</v>
      </c>
      <c r="H92" s="140" t="s">
        <v>15</v>
      </c>
      <c r="I92" s="140">
        <v>1</v>
      </c>
      <c r="J92" s="141"/>
      <c r="K92" s="184">
        <f>COUNT(M92:AX92)</f>
        <v>26</v>
      </c>
      <c r="L92" s="139"/>
      <c r="M92" s="5">
        <v>1</v>
      </c>
      <c r="N92" s="5">
        <f>M92+1</f>
        <v>2</v>
      </c>
      <c r="O92" s="5">
        <f t="shared" ref="O92:AL94" si="82">N92+1</f>
        <v>3</v>
      </c>
      <c r="P92" s="5">
        <f t="shared" si="82"/>
        <v>4</v>
      </c>
      <c r="Q92" s="5">
        <f t="shared" si="82"/>
        <v>5</v>
      </c>
      <c r="R92" s="5">
        <f t="shared" si="82"/>
        <v>6</v>
      </c>
      <c r="S92" s="5">
        <f t="shared" si="82"/>
        <v>7</v>
      </c>
      <c r="T92" s="5">
        <f t="shared" si="82"/>
        <v>8</v>
      </c>
      <c r="U92" s="5">
        <f t="shared" si="82"/>
        <v>9</v>
      </c>
      <c r="V92" s="5">
        <f t="shared" si="82"/>
        <v>10</v>
      </c>
      <c r="W92" s="5">
        <f t="shared" si="82"/>
        <v>11</v>
      </c>
      <c r="X92" s="5">
        <f t="shared" si="82"/>
        <v>12</v>
      </c>
      <c r="Y92" s="5">
        <f t="shared" si="82"/>
        <v>13</v>
      </c>
      <c r="Z92" s="5">
        <f t="shared" si="82"/>
        <v>14</v>
      </c>
      <c r="AA92" s="5">
        <f t="shared" si="82"/>
        <v>15</v>
      </c>
      <c r="AB92" s="5">
        <f t="shared" si="82"/>
        <v>16</v>
      </c>
      <c r="AC92" s="5">
        <f t="shared" si="82"/>
        <v>17</v>
      </c>
      <c r="AD92" s="5">
        <f t="shared" si="82"/>
        <v>18</v>
      </c>
      <c r="AE92" s="5">
        <f t="shared" si="82"/>
        <v>19</v>
      </c>
      <c r="AF92" s="5">
        <f t="shared" si="82"/>
        <v>20</v>
      </c>
      <c r="AG92" s="5">
        <f t="shared" si="82"/>
        <v>21</v>
      </c>
      <c r="AH92" s="5">
        <f t="shared" si="82"/>
        <v>22</v>
      </c>
      <c r="AI92" s="5">
        <f t="shared" si="82"/>
        <v>23</v>
      </c>
      <c r="AJ92" s="5">
        <f t="shared" si="82"/>
        <v>24</v>
      </c>
      <c r="AK92" s="5">
        <f t="shared" si="82"/>
        <v>25</v>
      </c>
      <c r="AL92" s="5">
        <f t="shared" si="82"/>
        <v>26</v>
      </c>
      <c r="AM92" s="4"/>
      <c r="AN92" s="4"/>
      <c r="AO92" s="4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</row>
    <row r="93" spans="1:88" ht="15" customHeight="1" x14ac:dyDescent="0.25">
      <c r="B93" s="139">
        <v>16</v>
      </c>
      <c r="C93" s="139">
        <v>4</v>
      </c>
      <c r="D93" s="139" t="str">
        <f t="shared" si="72"/>
        <v>SUPPLY_WEST_N_1_19</v>
      </c>
      <c r="E93" s="139" t="s">
        <v>0</v>
      </c>
      <c r="F93" s="142" t="s">
        <v>0</v>
      </c>
      <c r="G93" s="140" t="s">
        <v>19</v>
      </c>
      <c r="H93" s="140" t="s">
        <v>15</v>
      </c>
      <c r="I93" s="140">
        <v>1</v>
      </c>
      <c r="J93" s="143"/>
      <c r="K93" s="184">
        <f>COUNT(AF93:BQ93)</f>
        <v>10</v>
      </c>
      <c r="L93" s="140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101"/>
      <c r="Z93" s="42"/>
      <c r="AA93" s="46"/>
      <c r="AB93" s="46"/>
      <c r="AC93" s="46"/>
      <c r="AD93" s="46"/>
      <c r="AE93" s="57"/>
      <c r="AF93" s="179">
        <v>1</v>
      </c>
      <c r="AG93" s="3">
        <f t="shared" si="82"/>
        <v>2</v>
      </c>
      <c r="AH93" s="3">
        <f t="shared" si="82"/>
        <v>3</v>
      </c>
      <c r="AI93" s="3">
        <f t="shared" si="82"/>
        <v>4</v>
      </c>
      <c r="AJ93" s="3">
        <f t="shared" si="82"/>
        <v>5</v>
      </c>
      <c r="AK93" s="3">
        <f t="shared" si="82"/>
        <v>6</v>
      </c>
      <c r="AL93" s="3">
        <f t="shared" si="82"/>
        <v>7</v>
      </c>
      <c r="AM93" s="3">
        <f t="shared" ref="AM93:AS94" si="83">AL93+1</f>
        <v>8</v>
      </c>
      <c r="AN93" s="3">
        <f t="shared" si="83"/>
        <v>9</v>
      </c>
      <c r="AO93" s="3">
        <f t="shared" si="83"/>
        <v>10</v>
      </c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</row>
    <row r="94" spans="1:88" ht="15" customHeight="1" x14ac:dyDescent="0.25">
      <c r="B94" s="139">
        <v>16</v>
      </c>
      <c r="C94" s="140">
        <v>5</v>
      </c>
      <c r="D94" s="139" t="str">
        <f t="shared" si="72"/>
        <v>EMPTY_WEST_N_1_19</v>
      </c>
      <c r="E94" s="140" t="s">
        <v>0</v>
      </c>
      <c r="F94" s="142" t="s">
        <v>32</v>
      </c>
      <c r="G94" s="140" t="s">
        <v>19</v>
      </c>
      <c r="H94" s="140" t="s">
        <v>15</v>
      </c>
      <c r="I94" s="140">
        <v>1</v>
      </c>
      <c r="J94" s="139"/>
      <c r="K94" s="184">
        <f>COUNT(AF94:BQ94)</f>
        <v>24</v>
      </c>
      <c r="L94" s="139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101"/>
      <c r="Z94" s="42"/>
      <c r="AA94" s="46"/>
      <c r="AB94" s="46"/>
      <c r="AC94" s="46"/>
      <c r="AD94" s="46"/>
      <c r="AE94" s="57"/>
      <c r="AF94" s="179">
        <v>1</v>
      </c>
      <c r="AG94" s="5">
        <f>AF94+1</f>
        <v>2</v>
      </c>
      <c r="AH94" s="5">
        <f t="shared" si="82"/>
        <v>3</v>
      </c>
      <c r="AI94" s="5">
        <f t="shared" si="82"/>
        <v>4</v>
      </c>
      <c r="AJ94" s="5">
        <f t="shared" si="82"/>
        <v>5</v>
      </c>
      <c r="AK94" s="5">
        <f t="shared" si="82"/>
        <v>6</v>
      </c>
      <c r="AL94" s="5">
        <f t="shared" si="82"/>
        <v>7</v>
      </c>
      <c r="AM94" s="5">
        <f t="shared" si="83"/>
        <v>8</v>
      </c>
      <c r="AN94" s="5">
        <f t="shared" si="83"/>
        <v>9</v>
      </c>
      <c r="AO94" s="5">
        <f t="shared" si="83"/>
        <v>10</v>
      </c>
      <c r="AP94" s="5">
        <f t="shared" si="83"/>
        <v>11</v>
      </c>
      <c r="AQ94" s="5">
        <f t="shared" si="83"/>
        <v>12</v>
      </c>
      <c r="AR94" s="5">
        <f t="shared" si="83"/>
        <v>13</v>
      </c>
      <c r="AS94" s="5">
        <f t="shared" si="83"/>
        <v>14</v>
      </c>
      <c r="AT94" s="5">
        <f>AS94+1</f>
        <v>15</v>
      </c>
      <c r="AU94" s="5">
        <f t="shared" ref="AU94:BC94" si="84">AT94+1</f>
        <v>16</v>
      </c>
      <c r="AV94" s="5">
        <f t="shared" si="84"/>
        <v>17</v>
      </c>
      <c r="AW94" s="5">
        <f t="shared" si="84"/>
        <v>18</v>
      </c>
      <c r="AX94" s="5">
        <f t="shared" si="84"/>
        <v>19</v>
      </c>
      <c r="AY94" s="5">
        <f t="shared" si="84"/>
        <v>20</v>
      </c>
      <c r="AZ94" s="5">
        <f t="shared" si="84"/>
        <v>21</v>
      </c>
      <c r="BA94" s="5">
        <f t="shared" si="84"/>
        <v>22</v>
      </c>
      <c r="BB94" s="5">
        <f t="shared" si="84"/>
        <v>23</v>
      </c>
      <c r="BC94" s="5">
        <f t="shared" si="84"/>
        <v>24</v>
      </c>
      <c r="BD94" s="46"/>
      <c r="BE94" s="4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</row>
    <row r="95" spans="1:88" ht="15" hidden="1" customHeight="1" x14ac:dyDescent="0.25">
      <c r="B95" s="139">
        <v>16</v>
      </c>
      <c r="C95" s="140">
        <v>6</v>
      </c>
      <c r="D95" s="139" t="str">
        <f t="shared" si="72"/>
        <v>COUNTDOWN_WEST_N_1_19</v>
      </c>
      <c r="E95" s="140"/>
      <c r="F95" s="142" t="s">
        <v>33</v>
      </c>
      <c r="G95" s="140" t="s">
        <v>19</v>
      </c>
      <c r="H95" s="140" t="s">
        <v>15</v>
      </c>
      <c r="I95" s="140">
        <v>1</v>
      </c>
      <c r="J95" s="144"/>
      <c r="K95" s="144"/>
      <c r="L95" s="140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178"/>
      <c r="Z95" s="82"/>
      <c r="AA95" s="5"/>
      <c r="AB95" s="5"/>
      <c r="AC95" s="5"/>
      <c r="AD95" s="5"/>
      <c r="AE95" s="64"/>
      <c r="AF95" s="179"/>
      <c r="AG95" s="5"/>
      <c r="AH95" s="5"/>
      <c r="AI95" s="5"/>
      <c r="AJ95" s="6"/>
      <c r="AK95" s="6"/>
      <c r="AL95" s="46"/>
      <c r="AM95" s="46"/>
      <c r="AN95" s="56"/>
      <c r="AO95" s="56"/>
      <c r="AP95" s="93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0"/>
      <c r="BF95" s="40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</row>
    <row r="96" spans="1:88" hidden="1" x14ac:dyDescent="0.25">
      <c r="B96" s="139">
        <v>17</v>
      </c>
      <c r="C96" s="139">
        <v>1</v>
      </c>
      <c r="D96" s="139" t="str">
        <f t="shared" si="72"/>
        <v>SORTING_WEST_J_2_19</v>
      </c>
      <c r="E96" s="139" t="s">
        <v>35</v>
      </c>
      <c r="F96" s="138" t="s">
        <v>45</v>
      </c>
      <c r="G96" s="140" t="s">
        <v>19</v>
      </c>
      <c r="H96" s="140" t="s">
        <v>11</v>
      </c>
      <c r="I96" s="140">
        <v>2</v>
      </c>
      <c r="J96" s="139"/>
      <c r="K96" s="184">
        <f>COUNT(Z96:AX96)</f>
        <v>10</v>
      </c>
      <c r="L96" s="139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101"/>
      <c r="Z96" s="82">
        <v>1</v>
      </c>
      <c r="AA96" s="3">
        <f>Z96+1</f>
        <v>2</v>
      </c>
      <c r="AB96" s="3">
        <f t="shared" ref="AB96:AK97" si="85">AA96+1</f>
        <v>3</v>
      </c>
      <c r="AC96" s="3">
        <f t="shared" si="85"/>
        <v>4</v>
      </c>
      <c r="AD96" s="3">
        <f t="shared" si="85"/>
        <v>5</v>
      </c>
      <c r="AE96" s="3">
        <f t="shared" si="85"/>
        <v>6</v>
      </c>
      <c r="AF96" s="3">
        <f t="shared" si="85"/>
        <v>7</v>
      </c>
      <c r="AG96" s="3">
        <f t="shared" si="85"/>
        <v>8</v>
      </c>
      <c r="AH96" s="3">
        <f t="shared" si="85"/>
        <v>9</v>
      </c>
      <c r="AI96" s="3">
        <f t="shared" si="85"/>
        <v>10</v>
      </c>
      <c r="AJ96" s="4"/>
      <c r="AK96" s="4"/>
      <c r="AL96" s="3"/>
      <c r="AM96" s="3"/>
      <c r="AN96" s="3"/>
      <c r="AO96" s="3"/>
      <c r="AP96" s="3"/>
      <c r="AQ96" s="3"/>
      <c r="AR96" s="3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</row>
    <row r="97" spans="1:88" hidden="1" x14ac:dyDescent="0.25">
      <c r="B97" s="139">
        <v>17</v>
      </c>
      <c r="C97" s="139">
        <v>2</v>
      </c>
      <c r="D97" s="139" t="str">
        <f t="shared" si="72"/>
        <v>TRANSFER_WEST_J_2_19</v>
      </c>
      <c r="E97" s="139" t="s">
        <v>21</v>
      </c>
      <c r="F97" s="138" t="s">
        <v>21</v>
      </c>
      <c r="G97" s="140" t="s">
        <v>19</v>
      </c>
      <c r="H97" s="140" t="s">
        <v>11</v>
      </c>
      <c r="I97" s="140">
        <v>2</v>
      </c>
      <c r="J97" s="139"/>
      <c r="K97" s="184">
        <f>COUNT(Z97:AX97)</f>
        <v>12</v>
      </c>
      <c r="L97" s="139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101"/>
      <c r="Z97" s="82">
        <v>1</v>
      </c>
      <c r="AA97" s="3">
        <f>Z97+1</f>
        <v>2</v>
      </c>
      <c r="AB97" s="3">
        <f t="shared" si="85"/>
        <v>3</v>
      </c>
      <c r="AC97" s="3">
        <f t="shared" si="85"/>
        <v>4</v>
      </c>
      <c r="AD97" s="3">
        <f t="shared" si="85"/>
        <v>5</v>
      </c>
      <c r="AE97" s="3">
        <f t="shared" si="85"/>
        <v>6</v>
      </c>
      <c r="AF97" s="3">
        <f t="shared" si="85"/>
        <v>7</v>
      </c>
      <c r="AG97" s="3">
        <f t="shared" si="85"/>
        <v>8</v>
      </c>
      <c r="AH97" s="3">
        <f t="shared" si="85"/>
        <v>9</v>
      </c>
      <c r="AI97" s="3">
        <f t="shared" si="85"/>
        <v>10</v>
      </c>
      <c r="AJ97" s="3">
        <f t="shared" si="85"/>
        <v>11</v>
      </c>
      <c r="AK97" s="3">
        <f t="shared" si="85"/>
        <v>12</v>
      </c>
      <c r="AL97" s="4"/>
      <c r="AM97" s="4"/>
      <c r="AN97" s="3"/>
      <c r="AO97" s="3"/>
      <c r="AP97" s="3"/>
      <c r="AQ97" s="3"/>
      <c r="AR97" s="3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</row>
    <row r="98" spans="1:88" ht="15" customHeight="1" x14ac:dyDescent="0.25">
      <c r="B98" s="139">
        <v>17</v>
      </c>
      <c r="C98" s="139">
        <v>3</v>
      </c>
      <c r="D98" s="139" t="str">
        <f t="shared" si="72"/>
        <v>PREPARE_WEST_J_2_19</v>
      </c>
      <c r="E98" s="139" t="s">
        <v>0</v>
      </c>
      <c r="F98" s="138" t="s">
        <v>46</v>
      </c>
      <c r="G98" s="140" t="s">
        <v>19</v>
      </c>
      <c r="H98" s="140" t="s">
        <v>11</v>
      </c>
      <c r="I98" s="140">
        <v>2</v>
      </c>
      <c r="J98" s="141"/>
      <c r="K98" s="184">
        <f>COUNT(M98:AX98)</f>
        <v>29</v>
      </c>
      <c r="L98" s="139"/>
      <c r="M98" s="5">
        <v>1</v>
      </c>
      <c r="N98" s="5">
        <f>M98+1</f>
        <v>2</v>
      </c>
      <c r="O98" s="5">
        <f t="shared" ref="O98:AO100" si="86">N98+1</f>
        <v>3</v>
      </c>
      <c r="P98" s="5">
        <f t="shared" si="86"/>
        <v>4</v>
      </c>
      <c r="Q98" s="5">
        <f t="shared" si="86"/>
        <v>5</v>
      </c>
      <c r="R98" s="5">
        <f t="shared" si="86"/>
        <v>6</v>
      </c>
      <c r="S98" s="5">
        <f t="shared" si="86"/>
        <v>7</v>
      </c>
      <c r="T98" s="5">
        <f t="shared" si="86"/>
        <v>8</v>
      </c>
      <c r="U98" s="5">
        <f t="shared" si="86"/>
        <v>9</v>
      </c>
      <c r="V98" s="5">
        <f t="shared" si="86"/>
        <v>10</v>
      </c>
      <c r="W98" s="5">
        <f t="shared" si="86"/>
        <v>11</v>
      </c>
      <c r="X98" s="5">
        <f t="shared" si="86"/>
        <v>12</v>
      </c>
      <c r="Y98" s="5">
        <f t="shared" si="86"/>
        <v>13</v>
      </c>
      <c r="Z98" s="5">
        <f t="shared" si="86"/>
        <v>14</v>
      </c>
      <c r="AA98" s="5">
        <f t="shared" si="86"/>
        <v>15</v>
      </c>
      <c r="AB98" s="5">
        <f t="shared" si="86"/>
        <v>16</v>
      </c>
      <c r="AC98" s="5">
        <f t="shared" si="86"/>
        <v>17</v>
      </c>
      <c r="AD98" s="5">
        <f t="shared" si="86"/>
        <v>18</v>
      </c>
      <c r="AE98" s="5">
        <f t="shared" si="86"/>
        <v>19</v>
      </c>
      <c r="AF98" s="5">
        <f t="shared" si="86"/>
        <v>20</v>
      </c>
      <c r="AG98" s="5">
        <f t="shared" si="86"/>
        <v>21</v>
      </c>
      <c r="AH98" s="5">
        <f t="shared" si="86"/>
        <v>22</v>
      </c>
      <c r="AI98" s="5">
        <f t="shared" si="86"/>
        <v>23</v>
      </c>
      <c r="AJ98" s="5">
        <f t="shared" si="86"/>
        <v>24</v>
      </c>
      <c r="AK98" s="5">
        <f t="shared" si="86"/>
        <v>25</v>
      </c>
      <c r="AL98" s="5">
        <f t="shared" si="86"/>
        <v>26</v>
      </c>
      <c r="AM98" s="5">
        <f t="shared" si="86"/>
        <v>27</v>
      </c>
      <c r="AN98" s="5">
        <f t="shared" si="86"/>
        <v>28</v>
      </c>
      <c r="AO98" s="5">
        <f t="shared" si="86"/>
        <v>29</v>
      </c>
      <c r="AP98" s="4"/>
      <c r="AQ98" s="4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</row>
    <row r="99" spans="1:88" ht="15" customHeight="1" x14ac:dyDescent="0.25">
      <c r="B99" s="139">
        <v>17</v>
      </c>
      <c r="C99" s="139">
        <v>4</v>
      </c>
      <c r="D99" s="139" t="str">
        <f t="shared" si="72"/>
        <v>SUPPLY_WEST_J_2_19</v>
      </c>
      <c r="E99" s="139" t="s">
        <v>0</v>
      </c>
      <c r="F99" s="142" t="s">
        <v>0</v>
      </c>
      <c r="G99" s="140" t="s">
        <v>19</v>
      </c>
      <c r="H99" s="140" t="s">
        <v>11</v>
      </c>
      <c r="I99" s="140">
        <v>2</v>
      </c>
      <c r="J99" s="143"/>
      <c r="K99" s="184">
        <f>COUNT(AF99:BQ99)</f>
        <v>12</v>
      </c>
      <c r="L99" s="140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101"/>
      <c r="Z99" s="42"/>
      <c r="AA99" s="46"/>
      <c r="AB99" s="46"/>
      <c r="AC99" s="46"/>
      <c r="AD99" s="46"/>
      <c r="AE99" s="57"/>
      <c r="AF99" s="179">
        <v>1</v>
      </c>
      <c r="AG99" s="3">
        <f t="shared" si="86"/>
        <v>2</v>
      </c>
      <c r="AH99" s="3">
        <f t="shared" si="86"/>
        <v>3</v>
      </c>
      <c r="AI99" s="3">
        <f t="shared" si="86"/>
        <v>4</v>
      </c>
      <c r="AJ99" s="3">
        <f t="shared" si="86"/>
        <v>5</v>
      </c>
      <c r="AK99" s="3">
        <f t="shared" si="86"/>
        <v>6</v>
      </c>
      <c r="AL99" s="3">
        <f t="shared" si="86"/>
        <v>7</v>
      </c>
      <c r="AM99" s="3">
        <f t="shared" si="86"/>
        <v>8</v>
      </c>
      <c r="AN99" s="3">
        <f t="shared" si="86"/>
        <v>9</v>
      </c>
      <c r="AO99" s="3">
        <f t="shared" si="86"/>
        <v>10</v>
      </c>
      <c r="AP99" s="3">
        <f t="shared" ref="AP99:AS100" si="87">AO99+1</f>
        <v>11</v>
      </c>
      <c r="AQ99" s="3">
        <f t="shared" si="87"/>
        <v>12</v>
      </c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</row>
    <row r="100" spans="1:88" ht="15" customHeight="1" x14ac:dyDescent="0.25">
      <c r="B100" s="139">
        <v>17</v>
      </c>
      <c r="C100" s="140">
        <v>5</v>
      </c>
      <c r="D100" s="139" t="str">
        <f t="shared" si="72"/>
        <v>EMPTY_WEST_J_2_19</v>
      </c>
      <c r="E100" s="140" t="s">
        <v>0</v>
      </c>
      <c r="F100" s="142" t="s">
        <v>32</v>
      </c>
      <c r="G100" s="140" t="s">
        <v>19</v>
      </c>
      <c r="H100" s="140" t="s">
        <v>11</v>
      </c>
      <c r="I100" s="140">
        <v>2</v>
      </c>
      <c r="J100" s="139"/>
      <c r="K100" s="184">
        <f>COUNT(AF100:BQ100)</f>
        <v>26</v>
      </c>
      <c r="L100" s="139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101"/>
      <c r="Z100" s="42"/>
      <c r="AA100" s="46"/>
      <c r="AB100" s="46"/>
      <c r="AC100" s="46"/>
      <c r="AD100" s="46"/>
      <c r="AE100" s="57"/>
      <c r="AF100" s="179">
        <v>1</v>
      </c>
      <c r="AG100" s="5">
        <f>AF100+1</f>
        <v>2</v>
      </c>
      <c r="AH100" s="5">
        <f t="shared" si="86"/>
        <v>3</v>
      </c>
      <c r="AI100" s="5">
        <f t="shared" si="86"/>
        <v>4</v>
      </c>
      <c r="AJ100" s="5">
        <f t="shared" si="86"/>
        <v>5</v>
      </c>
      <c r="AK100" s="5">
        <f t="shared" si="86"/>
        <v>6</v>
      </c>
      <c r="AL100" s="5">
        <f t="shared" si="86"/>
        <v>7</v>
      </c>
      <c r="AM100" s="5">
        <f t="shared" si="86"/>
        <v>8</v>
      </c>
      <c r="AN100" s="5">
        <f t="shared" si="86"/>
        <v>9</v>
      </c>
      <c r="AO100" s="5">
        <f t="shared" si="86"/>
        <v>10</v>
      </c>
      <c r="AP100" s="5">
        <f t="shared" si="87"/>
        <v>11</v>
      </c>
      <c r="AQ100" s="5">
        <f t="shared" si="87"/>
        <v>12</v>
      </c>
      <c r="AR100" s="5">
        <f t="shared" si="87"/>
        <v>13</v>
      </c>
      <c r="AS100" s="5">
        <f t="shared" si="87"/>
        <v>14</v>
      </c>
      <c r="AT100" s="5">
        <f>AS100+1</f>
        <v>15</v>
      </c>
      <c r="AU100" s="5">
        <f t="shared" ref="AU100:BE100" si="88">AT100+1</f>
        <v>16</v>
      </c>
      <c r="AV100" s="5">
        <f t="shared" si="88"/>
        <v>17</v>
      </c>
      <c r="AW100" s="5">
        <f t="shared" si="88"/>
        <v>18</v>
      </c>
      <c r="AX100" s="5">
        <f t="shared" si="88"/>
        <v>19</v>
      </c>
      <c r="AY100" s="5">
        <f t="shared" si="88"/>
        <v>20</v>
      </c>
      <c r="AZ100" s="5">
        <f t="shared" si="88"/>
        <v>21</v>
      </c>
      <c r="BA100" s="5">
        <f t="shared" si="88"/>
        <v>22</v>
      </c>
      <c r="BB100" s="5">
        <f t="shared" si="88"/>
        <v>23</v>
      </c>
      <c r="BC100" s="5">
        <f t="shared" si="88"/>
        <v>24</v>
      </c>
      <c r="BD100" s="5">
        <f t="shared" si="88"/>
        <v>25</v>
      </c>
      <c r="BE100" s="5">
        <f t="shared" si="88"/>
        <v>26</v>
      </c>
      <c r="BF100" s="46"/>
      <c r="BG100" s="4"/>
      <c r="BH100" s="4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</row>
    <row r="101" spans="1:88" ht="15" hidden="1" customHeight="1" x14ac:dyDescent="0.25">
      <c r="B101" s="139">
        <v>17</v>
      </c>
      <c r="C101" s="140">
        <v>6</v>
      </c>
      <c r="D101" s="139" t="str">
        <f t="shared" si="72"/>
        <v>COUNTDOWN_WEST_J_2_19</v>
      </c>
      <c r="E101" s="140"/>
      <c r="F101" s="142" t="s">
        <v>33</v>
      </c>
      <c r="G101" s="140" t="s">
        <v>19</v>
      </c>
      <c r="H101" s="140" t="s">
        <v>11</v>
      </c>
      <c r="I101" s="140">
        <v>2</v>
      </c>
      <c r="J101" s="144"/>
      <c r="K101" s="144"/>
      <c r="L101" s="140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178"/>
      <c r="Z101" s="82"/>
      <c r="AA101" s="5"/>
      <c r="AB101" s="5"/>
      <c r="AC101" s="5"/>
      <c r="AD101" s="5"/>
      <c r="AE101" s="64"/>
      <c r="AF101" s="179"/>
      <c r="AG101" s="5"/>
      <c r="AH101" s="5"/>
      <c r="AI101" s="5"/>
      <c r="AJ101" s="5"/>
      <c r="AK101" s="5"/>
      <c r="AL101" s="6"/>
      <c r="AM101" s="6"/>
      <c r="AN101" s="46"/>
      <c r="AO101" s="46"/>
      <c r="AP101" s="56"/>
      <c r="AQ101" s="56"/>
      <c r="AR101" s="93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0"/>
      <c r="BH101" s="40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</row>
    <row r="102" spans="1:88" ht="15" hidden="1" customHeight="1" x14ac:dyDescent="0.25">
      <c r="B102" s="139">
        <v>18</v>
      </c>
      <c r="C102" s="139">
        <v>1</v>
      </c>
      <c r="D102" s="139" t="str">
        <f t="shared" si="72"/>
        <v>SORTING_WEST_Q_1_19</v>
      </c>
      <c r="E102" s="139" t="s">
        <v>35</v>
      </c>
      <c r="F102" s="138" t="s">
        <v>45</v>
      </c>
      <c r="G102" s="140" t="s">
        <v>19</v>
      </c>
      <c r="H102" s="140" t="s">
        <v>59</v>
      </c>
      <c r="I102" s="140">
        <v>1</v>
      </c>
      <c r="J102" s="143"/>
      <c r="K102" s="184">
        <f>COUNT(Z102:AX102)</f>
        <v>12</v>
      </c>
      <c r="L102" s="140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101"/>
      <c r="Z102" s="82">
        <v>1</v>
      </c>
      <c r="AA102" s="3">
        <f>Z102+1</f>
        <v>2</v>
      </c>
      <c r="AB102" s="3">
        <f t="shared" ref="AB102:AQ106" si="89">AA102+1</f>
        <v>3</v>
      </c>
      <c r="AC102" s="3">
        <f t="shared" si="89"/>
        <v>4</v>
      </c>
      <c r="AD102" s="3">
        <f t="shared" si="89"/>
        <v>5</v>
      </c>
      <c r="AE102" s="3">
        <f t="shared" si="89"/>
        <v>6</v>
      </c>
      <c r="AF102" s="3">
        <f t="shared" si="89"/>
        <v>7</v>
      </c>
      <c r="AG102" s="3">
        <f t="shared" si="89"/>
        <v>8</v>
      </c>
      <c r="AH102" s="3">
        <f t="shared" si="89"/>
        <v>9</v>
      </c>
      <c r="AI102" s="3">
        <f t="shared" si="89"/>
        <v>10</v>
      </c>
      <c r="AJ102" s="3">
        <f t="shared" si="89"/>
        <v>11</v>
      </c>
      <c r="AK102" s="3">
        <f t="shared" si="89"/>
        <v>12</v>
      </c>
      <c r="AL102" s="4"/>
      <c r="AM102" s="4"/>
      <c r="AN102" s="3"/>
      <c r="AO102" s="3"/>
      <c r="AP102" s="3"/>
      <c r="AQ102" s="3"/>
      <c r="AR102" s="86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</row>
    <row r="103" spans="1:88" ht="15" hidden="1" customHeight="1" x14ac:dyDescent="0.25">
      <c r="B103" s="139">
        <v>18</v>
      </c>
      <c r="C103" s="139">
        <v>2</v>
      </c>
      <c r="D103" s="139" t="str">
        <f t="shared" si="72"/>
        <v>TRANSFER_WEST_Q_1_19</v>
      </c>
      <c r="E103" s="139" t="s">
        <v>21</v>
      </c>
      <c r="F103" s="138" t="s">
        <v>21</v>
      </c>
      <c r="G103" s="140" t="s">
        <v>19</v>
      </c>
      <c r="H103" s="140" t="s">
        <v>59</v>
      </c>
      <c r="I103" s="140">
        <v>1</v>
      </c>
      <c r="J103" s="143"/>
      <c r="K103" s="184">
        <f>COUNT(Z103:AX103)</f>
        <v>14</v>
      </c>
      <c r="L103" s="140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101"/>
      <c r="Z103" s="82">
        <v>1</v>
      </c>
      <c r="AA103" s="3">
        <f>Z103+1</f>
        <v>2</v>
      </c>
      <c r="AB103" s="3">
        <f t="shared" si="89"/>
        <v>3</v>
      </c>
      <c r="AC103" s="3">
        <f t="shared" si="89"/>
        <v>4</v>
      </c>
      <c r="AD103" s="3">
        <f t="shared" si="89"/>
        <v>5</v>
      </c>
      <c r="AE103" s="3">
        <f t="shared" si="89"/>
        <v>6</v>
      </c>
      <c r="AF103" s="3">
        <f t="shared" si="89"/>
        <v>7</v>
      </c>
      <c r="AG103" s="3">
        <f t="shared" si="89"/>
        <v>8</v>
      </c>
      <c r="AH103" s="3">
        <f t="shared" si="89"/>
        <v>9</v>
      </c>
      <c r="AI103" s="3">
        <f t="shared" si="89"/>
        <v>10</v>
      </c>
      <c r="AJ103" s="3">
        <f t="shared" si="89"/>
        <v>11</v>
      </c>
      <c r="AK103" s="3">
        <f t="shared" si="89"/>
        <v>12</v>
      </c>
      <c r="AL103" s="3">
        <f t="shared" si="89"/>
        <v>13</v>
      </c>
      <c r="AM103" s="3">
        <f t="shared" si="89"/>
        <v>14</v>
      </c>
      <c r="AN103" s="4"/>
      <c r="AO103" s="4"/>
      <c r="AP103" s="3"/>
      <c r="AQ103" s="3"/>
      <c r="AR103" s="86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</row>
    <row r="104" spans="1:88" ht="15" customHeight="1" x14ac:dyDescent="0.25">
      <c r="B104" s="139">
        <v>18</v>
      </c>
      <c r="C104" s="139">
        <v>3</v>
      </c>
      <c r="D104" s="139" t="str">
        <f t="shared" si="72"/>
        <v>PREPARE_WEST_Q_1_19</v>
      </c>
      <c r="E104" s="139" t="s">
        <v>0</v>
      </c>
      <c r="F104" s="138" t="s">
        <v>46</v>
      </c>
      <c r="G104" s="140" t="s">
        <v>19</v>
      </c>
      <c r="H104" s="140" t="s">
        <v>59</v>
      </c>
      <c r="I104" s="140">
        <v>1</v>
      </c>
      <c r="J104" s="143"/>
      <c r="K104" s="184">
        <f>COUNT(M104:AX104)</f>
        <v>31</v>
      </c>
      <c r="L104" s="140"/>
      <c r="M104" s="5">
        <v>1</v>
      </c>
      <c r="N104" s="5">
        <f>M104+1</f>
        <v>2</v>
      </c>
      <c r="O104" s="5">
        <f t="shared" ref="O104:AA104" si="90">N104+1</f>
        <v>3</v>
      </c>
      <c r="P104" s="5">
        <f t="shared" si="90"/>
        <v>4</v>
      </c>
      <c r="Q104" s="5">
        <f t="shared" si="90"/>
        <v>5</v>
      </c>
      <c r="R104" s="5">
        <f t="shared" si="90"/>
        <v>6</v>
      </c>
      <c r="S104" s="5">
        <f t="shared" si="90"/>
        <v>7</v>
      </c>
      <c r="T104" s="5">
        <f t="shared" si="90"/>
        <v>8</v>
      </c>
      <c r="U104" s="5">
        <f t="shared" si="90"/>
        <v>9</v>
      </c>
      <c r="V104" s="5">
        <f t="shared" si="90"/>
        <v>10</v>
      </c>
      <c r="W104" s="5">
        <f t="shared" si="90"/>
        <v>11</v>
      </c>
      <c r="X104" s="5">
        <f t="shared" si="90"/>
        <v>12</v>
      </c>
      <c r="Y104" s="5">
        <f t="shared" si="90"/>
        <v>13</v>
      </c>
      <c r="Z104" s="5">
        <f t="shared" si="90"/>
        <v>14</v>
      </c>
      <c r="AA104" s="5">
        <f t="shared" si="90"/>
        <v>15</v>
      </c>
      <c r="AB104" s="5">
        <f t="shared" si="89"/>
        <v>16</v>
      </c>
      <c r="AC104" s="5">
        <f t="shared" si="89"/>
        <v>17</v>
      </c>
      <c r="AD104" s="5">
        <f t="shared" si="89"/>
        <v>18</v>
      </c>
      <c r="AE104" s="5">
        <f t="shared" si="89"/>
        <v>19</v>
      </c>
      <c r="AF104" s="5">
        <f t="shared" si="89"/>
        <v>20</v>
      </c>
      <c r="AG104" s="5">
        <f t="shared" si="89"/>
        <v>21</v>
      </c>
      <c r="AH104" s="5">
        <f t="shared" si="89"/>
        <v>22</v>
      </c>
      <c r="AI104" s="5">
        <f t="shared" si="89"/>
        <v>23</v>
      </c>
      <c r="AJ104" s="5">
        <f t="shared" si="89"/>
        <v>24</v>
      </c>
      <c r="AK104" s="5">
        <f t="shared" si="89"/>
        <v>25</v>
      </c>
      <c r="AL104" s="5">
        <f t="shared" si="89"/>
        <v>26</v>
      </c>
      <c r="AM104" s="5">
        <f t="shared" si="89"/>
        <v>27</v>
      </c>
      <c r="AN104" s="5">
        <f t="shared" si="89"/>
        <v>28</v>
      </c>
      <c r="AO104" s="5">
        <f t="shared" si="89"/>
        <v>29</v>
      </c>
      <c r="AP104" s="5">
        <f t="shared" si="89"/>
        <v>30</v>
      </c>
      <c r="AQ104" s="5">
        <f t="shared" si="89"/>
        <v>31</v>
      </c>
      <c r="AR104" s="4"/>
      <c r="AS104" s="4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</row>
    <row r="105" spans="1:88" ht="15" customHeight="1" x14ac:dyDescent="0.25">
      <c r="B105" s="139">
        <v>18</v>
      </c>
      <c r="C105" s="139">
        <v>4</v>
      </c>
      <c r="D105" s="139" t="str">
        <f t="shared" si="72"/>
        <v>SUPPLY_WEST_Q_1_19</v>
      </c>
      <c r="E105" s="139" t="s">
        <v>0</v>
      </c>
      <c r="F105" s="142" t="s">
        <v>0</v>
      </c>
      <c r="G105" s="140" t="s">
        <v>19</v>
      </c>
      <c r="H105" s="140" t="s">
        <v>59</v>
      </c>
      <c r="I105" s="140">
        <v>1</v>
      </c>
      <c r="J105" s="143"/>
      <c r="K105" s="184">
        <f>COUNT(AF105:BQ105)</f>
        <v>14</v>
      </c>
      <c r="L105" s="140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101"/>
      <c r="Z105" s="42"/>
      <c r="AA105" s="46"/>
      <c r="AB105" s="46"/>
      <c r="AC105" s="46"/>
      <c r="AD105" s="46"/>
      <c r="AE105" s="57"/>
      <c r="AF105" s="179">
        <v>1</v>
      </c>
      <c r="AG105" s="3">
        <f t="shared" si="89"/>
        <v>2</v>
      </c>
      <c r="AH105" s="3">
        <f t="shared" si="89"/>
        <v>3</v>
      </c>
      <c r="AI105" s="3">
        <f t="shared" si="89"/>
        <v>4</v>
      </c>
      <c r="AJ105" s="3">
        <f t="shared" si="89"/>
        <v>5</v>
      </c>
      <c r="AK105" s="3">
        <f t="shared" si="89"/>
        <v>6</v>
      </c>
      <c r="AL105" s="3">
        <f t="shared" si="89"/>
        <v>7</v>
      </c>
      <c r="AM105" s="3">
        <f t="shared" si="89"/>
        <v>8</v>
      </c>
      <c r="AN105" s="3">
        <f t="shared" si="89"/>
        <v>9</v>
      </c>
      <c r="AO105" s="3">
        <f t="shared" si="89"/>
        <v>10</v>
      </c>
      <c r="AP105" s="3">
        <f t="shared" si="89"/>
        <v>11</v>
      </c>
      <c r="AQ105" s="3">
        <f t="shared" si="89"/>
        <v>12</v>
      </c>
      <c r="AR105" s="3">
        <f t="shared" ref="AR105:AS106" si="91">AQ105+1</f>
        <v>13</v>
      </c>
      <c r="AS105" s="3">
        <f t="shared" si="91"/>
        <v>14</v>
      </c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3"/>
      <c r="BI105" s="3"/>
      <c r="BJ105" s="3"/>
      <c r="BK105" s="3"/>
      <c r="BL105" s="3"/>
      <c r="BM105" s="3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</row>
    <row r="106" spans="1:88" ht="15" customHeight="1" x14ac:dyDescent="0.25">
      <c r="B106" s="139">
        <v>18</v>
      </c>
      <c r="C106" s="140">
        <v>5</v>
      </c>
      <c r="D106" s="139" t="str">
        <f t="shared" si="72"/>
        <v>EMPTY_WEST_Q_1_19</v>
      </c>
      <c r="E106" s="140" t="s">
        <v>0</v>
      </c>
      <c r="F106" s="142" t="s">
        <v>32</v>
      </c>
      <c r="G106" s="140" t="s">
        <v>19</v>
      </c>
      <c r="H106" s="140" t="s">
        <v>59</v>
      </c>
      <c r="I106" s="140">
        <v>1</v>
      </c>
      <c r="J106" s="143"/>
      <c r="K106" s="184">
        <f>COUNT(AF106:BQ106)</f>
        <v>28</v>
      </c>
      <c r="L106" s="140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101"/>
      <c r="Z106" s="42"/>
      <c r="AA106" s="46"/>
      <c r="AB106" s="46"/>
      <c r="AC106" s="46"/>
      <c r="AD106" s="46"/>
      <c r="AE106" s="57"/>
      <c r="AF106" s="179">
        <v>1</v>
      </c>
      <c r="AG106" s="5">
        <f>AF106+1</f>
        <v>2</v>
      </c>
      <c r="AH106" s="5">
        <f t="shared" si="89"/>
        <v>3</v>
      </c>
      <c r="AI106" s="5">
        <f t="shared" si="89"/>
        <v>4</v>
      </c>
      <c r="AJ106" s="5">
        <f t="shared" si="89"/>
        <v>5</v>
      </c>
      <c r="AK106" s="5">
        <f t="shared" si="89"/>
        <v>6</v>
      </c>
      <c r="AL106" s="5">
        <f t="shared" si="89"/>
        <v>7</v>
      </c>
      <c r="AM106" s="5">
        <f t="shared" si="89"/>
        <v>8</v>
      </c>
      <c r="AN106" s="5">
        <f t="shared" si="89"/>
        <v>9</v>
      </c>
      <c r="AO106" s="5">
        <f t="shared" si="89"/>
        <v>10</v>
      </c>
      <c r="AP106" s="5">
        <f t="shared" si="89"/>
        <v>11</v>
      </c>
      <c r="AQ106" s="5">
        <f t="shared" si="89"/>
        <v>12</v>
      </c>
      <c r="AR106" s="5">
        <f t="shared" si="91"/>
        <v>13</v>
      </c>
      <c r="AS106" s="5">
        <f t="shared" si="91"/>
        <v>14</v>
      </c>
      <c r="AT106" s="5">
        <f>AS106+1</f>
        <v>15</v>
      </c>
      <c r="AU106" s="5">
        <f t="shared" ref="AU106:BG106" si="92">AT106+1</f>
        <v>16</v>
      </c>
      <c r="AV106" s="5">
        <f t="shared" si="92"/>
        <v>17</v>
      </c>
      <c r="AW106" s="5">
        <f t="shared" si="92"/>
        <v>18</v>
      </c>
      <c r="AX106" s="5">
        <f t="shared" si="92"/>
        <v>19</v>
      </c>
      <c r="AY106" s="5">
        <f t="shared" si="92"/>
        <v>20</v>
      </c>
      <c r="AZ106" s="5">
        <f t="shared" si="92"/>
        <v>21</v>
      </c>
      <c r="BA106" s="5">
        <f t="shared" si="92"/>
        <v>22</v>
      </c>
      <c r="BB106" s="5">
        <f t="shared" si="92"/>
        <v>23</v>
      </c>
      <c r="BC106" s="5">
        <f t="shared" si="92"/>
        <v>24</v>
      </c>
      <c r="BD106" s="5">
        <f t="shared" si="92"/>
        <v>25</v>
      </c>
      <c r="BE106" s="5">
        <f t="shared" si="92"/>
        <v>26</v>
      </c>
      <c r="BF106" s="5">
        <f t="shared" si="92"/>
        <v>27</v>
      </c>
      <c r="BG106" s="5">
        <f t="shared" si="92"/>
        <v>28</v>
      </c>
      <c r="BH106" s="46"/>
      <c r="BI106" s="4"/>
      <c r="BJ106" s="4"/>
      <c r="BK106" s="3"/>
      <c r="BL106" s="3"/>
      <c r="BM106" s="3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</row>
    <row r="107" spans="1:88" ht="15" hidden="1" customHeight="1" x14ac:dyDescent="0.25">
      <c r="B107" s="139">
        <v>18</v>
      </c>
      <c r="C107" s="140">
        <v>6</v>
      </c>
      <c r="D107" s="139" t="str">
        <f t="shared" si="72"/>
        <v>COUNTDOWN_WEST_Q_1_19</v>
      </c>
      <c r="E107" s="140"/>
      <c r="F107" s="142" t="s">
        <v>33</v>
      </c>
      <c r="G107" s="140" t="s">
        <v>19</v>
      </c>
      <c r="H107" s="140" t="s">
        <v>59</v>
      </c>
      <c r="I107" s="140">
        <v>1</v>
      </c>
      <c r="J107" s="144"/>
      <c r="K107" s="144"/>
      <c r="L107" s="140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178"/>
      <c r="Z107" s="82"/>
      <c r="AA107" s="5"/>
      <c r="AB107" s="5"/>
      <c r="AC107" s="5"/>
      <c r="AD107" s="5"/>
      <c r="AE107" s="178"/>
      <c r="AF107" s="179"/>
      <c r="AG107" s="5"/>
      <c r="AH107" s="5"/>
      <c r="AI107" s="5"/>
      <c r="AJ107" s="5"/>
      <c r="AK107" s="3"/>
      <c r="AL107" s="3"/>
      <c r="AM107" s="3"/>
      <c r="AN107" s="3"/>
      <c r="AO107" s="3"/>
      <c r="AP107" s="3"/>
      <c r="AQ107" s="3"/>
      <c r="AR107" s="86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</row>
    <row r="108" spans="1:88" hidden="1" x14ac:dyDescent="0.25">
      <c r="A108" t="s">
        <v>7</v>
      </c>
      <c r="B108" s="139">
        <v>19</v>
      </c>
      <c r="C108" s="139">
        <v>1</v>
      </c>
      <c r="D108" s="139" t="str">
        <f t="shared" si="72"/>
        <v>SORTING_WEST_F_2_19</v>
      </c>
      <c r="E108" s="139" t="s">
        <v>35</v>
      </c>
      <c r="F108" s="138" t="s">
        <v>45</v>
      </c>
      <c r="G108" s="140" t="s">
        <v>19</v>
      </c>
      <c r="H108" s="140" t="s">
        <v>7</v>
      </c>
      <c r="I108" s="140">
        <v>2</v>
      </c>
      <c r="J108" s="139"/>
      <c r="K108" s="184">
        <f>COUNT(Z108:AX108)</f>
        <v>14</v>
      </c>
      <c r="L108" s="139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101"/>
      <c r="Z108" s="82">
        <v>1</v>
      </c>
      <c r="AA108" s="3">
        <f>Z108+1</f>
        <v>2</v>
      </c>
      <c r="AB108" s="3">
        <f t="shared" ref="AB108:AO109" si="93">AA108+1</f>
        <v>3</v>
      </c>
      <c r="AC108" s="3">
        <f t="shared" si="93"/>
        <v>4</v>
      </c>
      <c r="AD108" s="3">
        <f t="shared" si="93"/>
        <v>5</v>
      </c>
      <c r="AE108" s="3">
        <f t="shared" si="93"/>
        <v>6</v>
      </c>
      <c r="AF108" s="3">
        <f t="shared" si="93"/>
        <v>7</v>
      </c>
      <c r="AG108" s="3">
        <f t="shared" si="93"/>
        <v>8</v>
      </c>
      <c r="AH108" s="3">
        <f t="shared" si="93"/>
        <v>9</v>
      </c>
      <c r="AI108" s="3">
        <f t="shared" si="93"/>
        <v>10</v>
      </c>
      <c r="AJ108" s="3">
        <f t="shared" si="93"/>
        <v>11</v>
      </c>
      <c r="AK108" s="3">
        <f t="shared" si="93"/>
        <v>12</v>
      </c>
      <c r="AL108" s="3">
        <f t="shared" si="93"/>
        <v>13</v>
      </c>
      <c r="AM108" s="3">
        <f t="shared" si="93"/>
        <v>14</v>
      </c>
      <c r="AN108" s="4"/>
      <c r="AO108" s="4"/>
      <c r="AP108" s="3"/>
      <c r="AQ108" s="3"/>
      <c r="AR108" s="3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</row>
    <row r="109" spans="1:88" hidden="1" x14ac:dyDescent="0.25">
      <c r="A109" t="s">
        <v>7</v>
      </c>
      <c r="B109" s="139">
        <v>19</v>
      </c>
      <c r="C109" s="139">
        <v>2</v>
      </c>
      <c r="D109" s="139" t="str">
        <f t="shared" si="72"/>
        <v>TRANSFER_WEST_F_2_19</v>
      </c>
      <c r="E109" s="139" t="s">
        <v>21</v>
      </c>
      <c r="F109" s="138" t="s">
        <v>21</v>
      </c>
      <c r="G109" s="140" t="s">
        <v>19</v>
      </c>
      <c r="H109" s="140" t="s">
        <v>7</v>
      </c>
      <c r="I109" s="140">
        <v>2</v>
      </c>
      <c r="J109" s="139"/>
      <c r="K109" s="184">
        <f>COUNT(Z109:AX109)</f>
        <v>16</v>
      </c>
      <c r="L109" s="139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101"/>
      <c r="Z109" s="82">
        <v>1</v>
      </c>
      <c r="AA109" s="3">
        <f>Z109+1</f>
        <v>2</v>
      </c>
      <c r="AB109" s="3">
        <f t="shared" si="93"/>
        <v>3</v>
      </c>
      <c r="AC109" s="3">
        <f t="shared" si="93"/>
        <v>4</v>
      </c>
      <c r="AD109" s="3">
        <f t="shared" si="93"/>
        <v>5</v>
      </c>
      <c r="AE109" s="3">
        <f t="shared" si="93"/>
        <v>6</v>
      </c>
      <c r="AF109" s="3">
        <f t="shared" si="93"/>
        <v>7</v>
      </c>
      <c r="AG109" s="3">
        <f t="shared" si="93"/>
        <v>8</v>
      </c>
      <c r="AH109" s="3">
        <f t="shared" si="93"/>
        <v>9</v>
      </c>
      <c r="AI109" s="3">
        <f t="shared" si="93"/>
        <v>10</v>
      </c>
      <c r="AJ109" s="3">
        <f t="shared" si="93"/>
        <v>11</v>
      </c>
      <c r="AK109" s="3">
        <f t="shared" si="93"/>
        <v>12</v>
      </c>
      <c r="AL109" s="3">
        <f t="shared" si="93"/>
        <v>13</v>
      </c>
      <c r="AM109" s="3">
        <f t="shared" si="93"/>
        <v>14</v>
      </c>
      <c r="AN109" s="3">
        <f t="shared" si="93"/>
        <v>15</v>
      </c>
      <c r="AO109" s="3">
        <f t="shared" si="93"/>
        <v>16</v>
      </c>
      <c r="AP109" s="4"/>
      <c r="AQ109" s="4"/>
      <c r="AR109" s="4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</row>
    <row r="110" spans="1:88" ht="15" customHeight="1" x14ac:dyDescent="0.25">
      <c r="A110" t="s">
        <v>7</v>
      </c>
      <c r="B110" s="139">
        <v>19</v>
      </c>
      <c r="C110" s="139">
        <v>3</v>
      </c>
      <c r="D110" s="139" t="str">
        <f t="shared" si="72"/>
        <v>PREPARE_WEST_F_2_19</v>
      </c>
      <c r="E110" s="139" t="s">
        <v>0</v>
      </c>
      <c r="F110" s="138" t="s">
        <v>46</v>
      </c>
      <c r="G110" s="140" t="s">
        <v>19</v>
      </c>
      <c r="H110" s="140" t="s">
        <v>7</v>
      </c>
      <c r="I110" s="140">
        <v>2</v>
      </c>
      <c r="J110" s="141"/>
      <c r="K110" s="184">
        <f>COUNT(M110:AX110)</f>
        <v>32</v>
      </c>
      <c r="L110" s="139"/>
      <c r="M110" s="5">
        <v>1</v>
      </c>
      <c r="N110" s="5">
        <f>M110+1</f>
        <v>2</v>
      </c>
      <c r="O110" s="5">
        <f t="shared" ref="O110:AR112" si="94">N110+1</f>
        <v>3</v>
      </c>
      <c r="P110" s="5">
        <f t="shared" si="94"/>
        <v>4</v>
      </c>
      <c r="Q110" s="5">
        <f t="shared" si="94"/>
        <v>5</v>
      </c>
      <c r="R110" s="5">
        <f t="shared" si="94"/>
        <v>6</v>
      </c>
      <c r="S110" s="5">
        <f t="shared" si="94"/>
        <v>7</v>
      </c>
      <c r="T110" s="5">
        <f t="shared" si="94"/>
        <v>8</v>
      </c>
      <c r="U110" s="5">
        <f t="shared" si="94"/>
        <v>9</v>
      </c>
      <c r="V110" s="5">
        <f t="shared" si="94"/>
        <v>10</v>
      </c>
      <c r="W110" s="5">
        <f t="shared" si="94"/>
        <v>11</v>
      </c>
      <c r="X110" s="5">
        <f t="shared" si="94"/>
        <v>12</v>
      </c>
      <c r="Y110" s="5">
        <f t="shared" si="94"/>
        <v>13</v>
      </c>
      <c r="Z110" s="5">
        <f t="shared" si="94"/>
        <v>14</v>
      </c>
      <c r="AA110" s="5">
        <f t="shared" si="94"/>
        <v>15</v>
      </c>
      <c r="AB110" s="5">
        <f t="shared" si="94"/>
        <v>16</v>
      </c>
      <c r="AC110" s="5">
        <f t="shared" si="94"/>
        <v>17</v>
      </c>
      <c r="AD110" s="5">
        <f t="shared" si="94"/>
        <v>18</v>
      </c>
      <c r="AE110" s="5">
        <f t="shared" si="94"/>
        <v>19</v>
      </c>
      <c r="AF110" s="5">
        <f t="shared" si="94"/>
        <v>20</v>
      </c>
      <c r="AG110" s="5">
        <f t="shared" si="94"/>
        <v>21</v>
      </c>
      <c r="AH110" s="5">
        <f t="shared" si="94"/>
        <v>22</v>
      </c>
      <c r="AI110" s="5">
        <f t="shared" si="94"/>
        <v>23</v>
      </c>
      <c r="AJ110" s="5">
        <f t="shared" si="94"/>
        <v>24</v>
      </c>
      <c r="AK110" s="5">
        <f t="shared" si="94"/>
        <v>25</v>
      </c>
      <c r="AL110" s="5">
        <f t="shared" si="94"/>
        <v>26</v>
      </c>
      <c r="AM110" s="5">
        <f t="shared" si="94"/>
        <v>27</v>
      </c>
      <c r="AN110" s="5">
        <f t="shared" si="94"/>
        <v>28</v>
      </c>
      <c r="AO110" s="5">
        <f t="shared" si="94"/>
        <v>29</v>
      </c>
      <c r="AP110" s="5">
        <f t="shared" si="94"/>
        <v>30</v>
      </c>
      <c r="AQ110" s="5">
        <f t="shared" si="94"/>
        <v>31</v>
      </c>
      <c r="AR110" s="5">
        <f t="shared" si="94"/>
        <v>32</v>
      </c>
      <c r="AS110" s="4"/>
      <c r="AT110" s="4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</row>
    <row r="111" spans="1:88" ht="15" customHeight="1" x14ac:dyDescent="0.25">
      <c r="A111" t="s">
        <v>7</v>
      </c>
      <c r="B111" s="139">
        <v>19</v>
      </c>
      <c r="C111" s="139">
        <v>4</v>
      </c>
      <c r="D111" s="139" t="str">
        <f t="shared" si="72"/>
        <v>SUPPLY_WEST_F_2_19</v>
      </c>
      <c r="E111" s="139" t="s">
        <v>0</v>
      </c>
      <c r="F111" s="142" t="s">
        <v>0</v>
      </c>
      <c r="G111" s="140" t="s">
        <v>19</v>
      </c>
      <c r="H111" s="140" t="s">
        <v>7</v>
      </c>
      <c r="I111" s="140">
        <v>2</v>
      </c>
      <c r="J111" s="143"/>
      <c r="K111" s="184">
        <f>COUNT(AF111:BQ111)</f>
        <v>15</v>
      </c>
      <c r="L111" s="140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101"/>
      <c r="Z111" s="42"/>
      <c r="AA111" s="46"/>
      <c r="AB111" s="46"/>
      <c r="AC111" s="46"/>
      <c r="AD111" s="46"/>
      <c r="AE111" s="57"/>
      <c r="AF111" s="179">
        <v>1</v>
      </c>
      <c r="AG111" s="3">
        <f t="shared" si="94"/>
        <v>2</v>
      </c>
      <c r="AH111" s="3">
        <f t="shared" si="94"/>
        <v>3</v>
      </c>
      <c r="AI111" s="3">
        <f t="shared" si="94"/>
        <v>4</v>
      </c>
      <c r="AJ111" s="3">
        <f t="shared" si="94"/>
        <v>5</v>
      </c>
      <c r="AK111" s="3">
        <f t="shared" si="94"/>
        <v>6</v>
      </c>
      <c r="AL111" s="3">
        <f t="shared" si="94"/>
        <v>7</v>
      </c>
      <c r="AM111" s="3">
        <f t="shared" si="94"/>
        <v>8</v>
      </c>
      <c r="AN111" s="3">
        <f t="shared" si="94"/>
        <v>9</v>
      </c>
      <c r="AO111" s="3">
        <f t="shared" si="94"/>
        <v>10</v>
      </c>
      <c r="AP111" s="3">
        <f t="shared" si="94"/>
        <v>11</v>
      </c>
      <c r="AQ111" s="3">
        <f t="shared" si="94"/>
        <v>12</v>
      </c>
      <c r="AR111" s="3">
        <f>AQ111+1</f>
        <v>13</v>
      </c>
      <c r="AS111" s="3">
        <f>AR111+1</f>
        <v>14</v>
      </c>
      <c r="AT111" s="3">
        <f>AS111+1</f>
        <v>15</v>
      </c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</row>
    <row r="112" spans="1:88" ht="15" customHeight="1" x14ac:dyDescent="0.25">
      <c r="A112" t="s">
        <v>7</v>
      </c>
      <c r="B112" s="139">
        <v>19</v>
      </c>
      <c r="C112" s="140">
        <v>5</v>
      </c>
      <c r="D112" s="139" t="str">
        <f t="shared" si="72"/>
        <v>EMPTY_WEST_F_2_19</v>
      </c>
      <c r="E112" s="140" t="s">
        <v>0</v>
      </c>
      <c r="F112" s="142" t="s">
        <v>32</v>
      </c>
      <c r="G112" s="140" t="s">
        <v>19</v>
      </c>
      <c r="H112" s="140" t="s">
        <v>7</v>
      </c>
      <c r="I112" s="140">
        <v>2</v>
      </c>
      <c r="J112" s="139"/>
      <c r="K112" s="184">
        <f>COUNT(AF112:BQ112)</f>
        <v>30</v>
      </c>
      <c r="L112" s="139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101"/>
      <c r="Z112" s="42"/>
      <c r="AA112" s="46"/>
      <c r="AB112" s="46"/>
      <c r="AC112" s="46"/>
      <c r="AD112" s="46"/>
      <c r="AE112" s="57"/>
      <c r="AF112" s="179">
        <v>1</v>
      </c>
      <c r="AG112" s="5">
        <f>AF112+1</f>
        <v>2</v>
      </c>
      <c r="AH112" s="5">
        <f t="shared" si="94"/>
        <v>3</v>
      </c>
      <c r="AI112" s="5">
        <f t="shared" si="94"/>
        <v>4</v>
      </c>
      <c r="AJ112" s="5">
        <f t="shared" si="94"/>
        <v>5</v>
      </c>
      <c r="AK112" s="5">
        <f t="shared" si="94"/>
        <v>6</v>
      </c>
      <c r="AL112" s="5">
        <f t="shared" si="94"/>
        <v>7</v>
      </c>
      <c r="AM112" s="5">
        <f t="shared" si="94"/>
        <v>8</v>
      </c>
      <c r="AN112" s="5">
        <f t="shared" si="94"/>
        <v>9</v>
      </c>
      <c r="AO112" s="5">
        <f t="shared" si="94"/>
        <v>10</v>
      </c>
      <c r="AP112" s="5">
        <f t="shared" si="94"/>
        <v>11</v>
      </c>
      <c r="AQ112" s="5">
        <f t="shared" si="94"/>
        <v>12</v>
      </c>
      <c r="AR112" s="5">
        <f t="shared" si="94"/>
        <v>13</v>
      </c>
      <c r="AS112" s="5">
        <f t="shared" ref="AS112" si="95">AR112+1</f>
        <v>14</v>
      </c>
      <c r="AT112" s="5">
        <f>AS112+1</f>
        <v>15</v>
      </c>
      <c r="AU112" s="5">
        <f t="shared" ref="AU112:BI112" si="96">AT112+1</f>
        <v>16</v>
      </c>
      <c r="AV112" s="5">
        <f t="shared" si="96"/>
        <v>17</v>
      </c>
      <c r="AW112" s="5">
        <f t="shared" si="96"/>
        <v>18</v>
      </c>
      <c r="AX112" s="5">
        <f t="shared" si="96"/>
        <v>19</v>
      </c>
      <c r="AY112" s="5">
        <f t="shared" si="96"/>
        <v>20</v>
      </c>
      <c r="AZ112" s="5">
        <f t="shared" si="96"/>
        <v>21</v>
      </c>
      <c r="BA112" s="5">
        <f t="shared" si="96"/>
        <v>22</v>
      </c>
      <c r="BB112" s="5">
        <f t="shared" si="96"/>
        <v>23</v>
      </c>
      <c r="BC112" s="5">
        <f t="shared" si="96"/>
        <v>24</v>
      </c>
      <c r="BD112" s="5">
        <f t="shared" si="96"/>
        <v>25</v>
      </c>
      <c r="BE112" s="5">
        <f t="shared" si="96"/>
        <v>26</v>
      </c>
      <c r="BF112" s="5">
        <f t="shared" si="96"/>
        <v>27</v>
      </c>
      <c r="BG112" s="5">
        <f t="shared" si="96"/>
        <v>28</v>
      </c>
      <c r="BH112" s="5">
        <f t="shared" si="96"/>
        <v>29</v>
      </c>
      <c r="BI112" s="5">
        <f t="shared" si="96"/>
        <v>30</v>
      </c>
      <c r="BJ112" s="46"/>
      <c r="BK112" s="4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</row>
    <row r="113" spans="1:88" ht="15" hidden="1" customHeight="1" x14ac:dyDescent="0.25">
      <c r="A113" t="s">
        <v>7</v>
      </c>
      <c r="B113" s="139">
        <v>19</v>
      </c>
      <c r="C113" s="140">
        <v>6</v>
      </c>
      <c r="D113" s="139" t="str">
        <f t="shared" si="72"/>
        <v>COUNTDOWN_WEST_F_2_19</v>
      </c>
      <c r="E113" s="140"/>
      <c r="F113" s="142" t="s">
        <v>33</v>
      </c>
      <c r="G113" s="140" t="s">
        <v>19</v>
      </c>
      <c r="H113" s="140" t="s">
        <v>7</v>
      </c>
      <c r="I113" s="140">
        <v>2</v>
      </c>
      <c r="J113" s="144"/>
      <c r="K113" s="144"/>
      <c r="L113" s="140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178"/>
      <c r="Z113" s="82"/>
      <c r="AA113" s="5"/>
      <c r="AB113" s="5"/>
      <c r="AC113" s="5"/>
      <c r="AD113" s="5"/>
      <c r="AE113" s="64"/>
      <c r="AF113" s="179"/>
      <c r="AG113" s="5"/>
      <c r="AH113" s="5"/>
      <c r="AI113" s="5"/>
      <c r="AJ113" s="5"/>
      <c r="AK113" s="5"/>
      <c r="AL113" s="5"/>
      <c r="AM113" s="5"/>
      <c r="AN113" s="5"/>
      <c r="AO113" s="5"/>
      <c r="AP113" s="6"/>
      <c r="AQ113" s="46"/>
      <c r="AR113" s="46"/>
      <c r="AS113" s="56"/>
      <c r="AT113" s="56"/>
      <c r="AU113" s="93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0"/>
      <c r="BK113" s="40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</row>
    <row r="114" spans="1:88" hidden="1" x14ac:dyDescent="0.25">
      <c r="A114" t="s">
        <v>14</v>
      </c>
      <c r="B114" s="139">
        <v>20</v>
      </c>
      <c r="C114" s="139">
        <v>1</v>
      </c>
      <c r="D114" s="139" t="str">
        <f t="shared" si="72"/>
        <v>SORTING_WEST_M_1_19</v>
      </c>
      <c r="E114" s="139" t="s">
        <v>35</v>
      </c>
      <c r="F114" s="138" t="s">
        <v>45</v>
      </c>
      <c r="G114" s="140" t="s">
        <v>19</v>
      </c>
      <c r="H114" s="140" t="s">
        <v>14</v>
      </c>
      <c r="I114" s="140">
        <v>1</v>
      </c>
      <c r="J114" s="139"/>
      <c r="K114" s="184">
        <f>COUNT(Z114:AX114)</f>
        <v>16</v>
      </c>
      <c r="L114" s="139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101"/>
      <c r="Z114" s="82">
        <v>1</v>
      </c>
      <c r="AA114" s="3">
        <f>Z114+1</f>
        <v>2</v>
      </c>
      <c r="AB114" s="3">
        <f t="shared" ref="AB114:AQ115" si="97">AA114+1</f>
        <v>3</v>
      </c>
      <c r="AC114" s="3">
        <f t="shared" si="97"/>
        <v>4</v>
      </c>
      <c r="AD114" s="3">
        <f t="shared" si="97"/>
        <v>5</v>
      </c>
      <c r="AE114" s="3">
        <f t="shared" si="97"/>
        <v>6</v>
      </c>
      <c r="AF114" s="3">
        <f t="shared" si="97"/>
        <v>7</v>
      </c>
      <c r="AG114" s="3">
        <f t="shared" si="97"/>
        <v>8</v>
      </c>
      <c r="AH114" s="3">
        <f t="shared" si="97"/>
        <v>9</v>
      </c>
      <c r="AI114" s="3">
        <f t="shared" si="97"/>
        <v>10</v>
      </c>
      <c r="AJ114" s="3">
        <f t="shared" si="97"/>
        <v>11</v>
      </c>
      <c r="AK114" s="3">
        <f t="shared" si="97"/>
        <v>12</v>
      </c>
      <c r="AL114" s="3">
        <f t="shared" si="97"/>
        <v>13</v>
      </c>
      <c r="AM114" s="3">
        <f t="shared" si="97"/>
        <v>14</v>
      </c>
      <c r="AN114" s="3">
        <f t="shared" si="97"/>
        <v>15</v>
      </c>
      <c r="AO114" s="3">
        <f t="shared" si="97"/>
        <v>16</v>
      </c>
      <c r="AP114" s="4"/>
      <c r="AQ114" s="4"/>
      <c r="AR114" s="4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</row>
    <row r="115" spans="1:88" hidden="1" x14ac:dyDescent="0.25">
      <c r="A115" t="s">
        <v>14</v>
      </c>
      <c r="B115" s="139">
        <v>20</v>
      </c>
      <c r="C115" s="139">
        <v>2</v>
      </c>
      <c r="D115" s="139" t="str">
        <f t="shared" si="72"/>
        <v>TRANSFER_WEST_M_1_19</v>
      </c>
      <c r="E115" s="139" t="s">
        <v>21</v>
      </c>
      <c r="F115" s="138" t="s">
        <v>21</v>
      </c>
      <c r="G115" s="140" t="s">
        <v>19</v>
      </c>
      <c r="H115" s="140" t="s">
        <v>14</v>
      </c>
      <c r="I115" s="140">
        <v>1</v>
      </c>
      <c r="J115" s="139"/>
      <c r="K115" s="184">
        <f>COUNT(Z115:AX115)</f>
        <v>19</v>
      </c>
      <c r="L115" s="139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101"/>
      <c r="Z115" s="82">
        <v>1</v>
      </c>
      <c r="AA115" s="3">
        <f>Z115+1</f>
        <v>2</v>
      </c>
      <c r="AB115" s="3">
        <f t="shared" si="97"/>
        <v>3</v>
      </c>
      <c r="AC115" s="3">
        <f t="shared" si="97"/>
        <v>4</v>
      </c>
      <c r="AD115" s="3">
        <f t="shared" si="97"/>
        <v>5</v>
      </c>
      <c r="AE115" s="3">
        <f t="shared" si="97"/>
        <v>6</v>
      </c>
      <c r="AF115" s="3">
        <f t="shared" si="97"/>
        <v>7</v>
      </c>
      <c r="AG115" s="3">
        <f t="shared" si="97"/>
        <v>8</v>
      </c>
      <c r="AH115" s="3">
        <f t="shared" si="97"/>
        <v>9</v>
      </c>
      <c r="AI115" s="3">
        <f t="shared" si="97"/>
        <v>10</v>
      </c>
      <c r="AJ115" s="3">
        <f t="shared" si="97"/>
        <v>11</v>
      </c>
      <c r="AK115" s="3">
        <f t="shared" si="97"/>
        <v>12</v>
      </c>
      <c r="AL115" s="3">
        <f t="shared" si="97"/>
        <v>13</v>
      </c>
      <c r="AM115" s="3">
        <f t="shared" si="97"/>
        <v>14</v>
      </c>
      <c r="AN115" s="3">
        <f t="shared" si="97"/>
        <v>15</v>
      </c>
      <c r="AO115" s="3">
        <f t="shared" si="97"/>
        <v>16</v>
      </c>
      <c r="AP115" s="3">
        <f t="shared" si="97"/>
        <v>17</v>
      </c>
      <c r="AQ115" s="3">
        <f t="shared" si="97"/>
        <v>18</v>
      </c>
      <c r="AR115" s="3">
        <f t="shared" ref="AR115" si="98">AQ115+1</f>
        <v>19</v>
      </c>
      <c r="AS115" s="4"/>
      <c r="AT115" s="4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</row>
    <row r="116" spans="1:88" ht="15" customHeight="1" x14ac:dyDescent="0.25">
      <c r="A116" t="s">
        <v>14</v>
      </c>
      <c r="B116" s="139">
        <v>20</v>
      </c>
      <c r="C116" s="139">
        <v>3</v>
      </c>
      <c r="D116" s="139" t="str">
        <f t="shared" si="72"/>
        <v>PREPARE_WEST_M_1_19</v>
      </c>
      <c r="E116" s="139" t="s">
        <v>0</v>
      </c>
      <c r="F116" s="138" t="s">
        <v>46</v>
      </c>
      <c r="G116" s="140" t="s">
        <v>19</v>
      </c>
      <c r="H116" s="140" t="s">
        <v>14</v>
      </c>
      <c r="I116" s="140">
        <v>1</v>
      </c>
      <c r="J116" s="141"/>
      <c r="K116" s="184">
        <f>COUNT(M116:AX116)</f>
        <v>34</v>
      </c>
      <c r="L116" s="139"/>
      <c r="M116" s="5">
        <v>1</v>
      </c>
      <c r="N116" s="5">
        <f>M116+1</f>
        <v>2</v>
      </c>
      <c r="O116" s="5">
        <f t="shared" ref="O116:AT118" si="99">N116+1</f>
        <v>3</v>
      </c>
      <c r="P116" s="5">
        <f t="shared" si="99"/>
        <v>4</v>
      </c>
      <c r="Q116" s="5">
        <f t="shared" si="99"/>
        <v>5</v>
      </c>
      <c r="R116" s="5">
        <f t="shared" si="99"/>
        <v>6</v>
      </c>
      <c r="S116" s="5">
        <f t="shared" si="99"/>
        <v>7</v>
      </c>
      <c r="T116" s="5">
        <f t="shared" si="99"/>
        <v>8</v>
      </c>
      <c r="U116" s="5">
        <f t="shared" si="99"/>
        <v>9</v>
      </c>
      <c r="V116" s="5">
        <f t="shared" si="99"/>
        <v>10</v>
      </c>
      <c r="W116" s="5">
        <f t="shared" si="99"/>
        <v>11</v>
      </c>
      <c r="X116" s="5">
        <f t="shared" si="99"/>
        <v>12</v>
      </c>
      <c r="Y116" s="5">
        <f t="shared" si="99"/>
        <v>13</v>
      </c>
      <c r="Z116" s="5">
        <f t="shared" si="99"/>
        <v>14</v>
      </c>
      <c r="AA116" s="5">
        <f t="shared" si="99"/>
        <v>15</v>
      </c>
      <c r="AB116" s="5">
        <f t="shared" si="99"/>
        <v>16</v>
      </c>
      <c r="AC116" s="5">
        <f t="shared" si="99"/>
        <v>17</v>
      </c>
      <c r="AD116" s="5">
        <f t="shared" si="99"/>
        <v>18</v>
      </c>
      <c r="AE116" s="5">
        <f t="shared" si="99"/>
        <v>19</v>
      </c>
      <c r="AF116" s="5">
        <f t="shared" si="99"/>
        <v>20</v>
      </c>
      <c r="AG116" s="5">
        <f t="shared" si="99"/>
        <v>21</v>
      </c>
      <c r="AH116" s="5">
        <f t="shared" si="99"/>
        <v>22</v>
      </c>
      <c r="AI116" s="5">
        <f t="shared" si="99"/>
        <v>23</v>
      </c>
      <c r="AJ116" s="5">
        <f t="shared" si="99"/>
        <v>24</v>
      </c>
      <c r="AK116" s="5">
        <f t="shared" si="99"/>
        <v>25</v>
      </c>
      <c r="AL116" s="5">
        <f t="shared" si="99"/>
        <v>26</v>
      </c>
      <c r="AM116" s="5">
        <f t="shared" si="99"/>
        <v>27</v>
      </c>
      <c r="AN116" s="5">
        <f t="shared" si="99"/>
        <v>28</v>
      </c>
      <c r="AO116" s="5">
        <f t="shared" si="99"/>
        <v>29</v>
      </c>
      <c r="AP116" s="5">
        <f t="shared" si="99"/>
        <v>30</v>
      </c>
      <c r="AQ116" s="5">
        <f t="shared" si="99"/>
        <v>31</v>
      </c>
      <c r="AR116" s="5">
        <f t="shared" si="99"/>
        <v>32</v>
      </c>
      <c r="AS116" s="5">
        <f t="shared" si="99"/>
        <v>33</v>
      </c>
      <c r="AT116" s="5">
        <f t="shared" si="99"/>
        <v>34</v>
      </c>
      <c r="AU116" s="4"/>
      <c r="AV116" s="4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</row>
    <row r="117" spans="1:88" ht="15" customHeight="1" x14ac:dyDescent="0.25">
      <c r="A117" t="s">
        <v>14</v>
      </c>
      <c r="B117" s="139">
        <v>20</v>
      </c>
      <c r="C117" s="139">
        <v>4</v>
      </c>
      <c r="D117" s="139" t="str">
        <f t="shared" si="72"/>
        <v>SUPPLY_WEST_M_1_19</v>
      </c>
      <c r="E117" s="139" t="s">
        <v>0</v>
      </c>
      <c r="F117" s="142" t="s">
        <v>0</v>
      </c>
      <c r="G117" s="140" t="s">
        <v>19</v>
      </c>
      <c r="H117" s="140" t="s">
        <v>14</v>
      </c>
      <c r="I117" s="140">
        <v>1</v>
      </c>
      <c r="J117" s="143"/>
      <c r="K117" s="184">
        <f>COUNT(AF117:BQ117)</f>
        <v>17</v>
      </c>
      <c r="L117" s="140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101"/>
      <c r="Z117" s="42"/>
      <c r="AA117" s="46"/>
      <c r="AB117" s="46"/>
      <c r="AC117" s="46"/>
      <c r="AD117" s="46"/>
      <c r="AE117" s="57"/>
      <c r="AF117" s="179">
        <v>1</v>
      </c>
      <c r="AG117" s="3">
        <f t="shared" si="99"/>
        <v>2</v>
      </c>
      <c r="AH117" s="3">
        <f t="shared" si="99"/>
        <v>3</v>
      </c>
      <c r="AI117" s="3">
        <f t="shared" si="99"/>
        <v>4</v>
      </c>
      <c r="AJ117" s="3">
        <f t="shared" si="99"/>
        <v>5</v>
      </c>
      <c r="AK117" s="3">
        <f t="shared" si="99"/>
        <v>6</v>
      </c>
      <c r="AL117" s="3">
        <f t="shared" si="99"/>
        <v>7</v>
      </c>
      <c r="AM117" s="3">
        <f t="shared" si="99"/>
        <v>8</v>
      </c>
      <c r="AN117" s="3">
        <f t="shared" si="99"/>
        <v>9</v>
      </c>
      <c r="AO117" s="3">
        <f t="shared" si="99"/>
        <v>10</v>
      </c>
      <c r="AP117" s="3">
        <f t="shared" si="99"/>
        <v>11</v>
      </c>
      <c r="AQ117" s="3">
        <f t="shared" si="99"/>
        <v>12</v>
      </c>
      <c r="AR117" s="3">
        <f>AQ117+1</f>
        <v>13</v>
      </c>
      <c r="AS117" s="3">
        <f>AR117+1</f>
        <v>14</v>
      </c>
      <c r="AT117" s="3">
        <f t="shared" si="99"/>
        <v>15</v>
      </c>
      <c r="AU117" s="3">
        <f t="shared" ref="AU117:BJ118" si="100">AT117+1</f>
        <v>16</v>
      </c>
      <c r="AV117" s="3">
        <f t="shared" si="100"/>
        <v>17</v>
      </c>
      <c r="AW117" s="93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</row>
    <row r="118" spans="1:88" ht="15" customHeight="1" x14ac:dyDescent="0.25">
      <c r="A118" t="s">
        <v>14</v>
      </c>
      <c r="B118" s="139">
        <v>20</v>
      </c>
      <c r="C118" s="140">
        <v>5</v>
      </c>
      <c r="D118" s="139" t="str">
        <f t="shared" si="72"/>
        <v>EMPTY_WEST_M_1_19</v>
      </c>
      <c r="E118" s="140" t="s">
        <v>0</v>
      </c>
      <c r="F118" s="142" t="s">
        <v>32</v>
      </c>
      <c r="G118" s="140" t="s">
        <v>19</v>
      </c>
      <c r="H118" s="140" t="s">
        <v>14</v>
      </c>
      <c r="I118" s="140">
        <v>1</v>
      </c>
      <c r="J118" s="139"/>
      <c r="K118" s="184">
        <f>COUNT(AF118:BQ118)</f>
        <v>32</v>
      </c>
      <c r="L118" s="139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101"/>
      <c r="Z118" s="42"/>
      <c r="AA118" s="46"/>
      <c r="AB118" s="46"/>
      <c r="AC118" s="46"/>
      <c r="AD118" s="46"/>
      <c r="AE118" s="57"/>
      <c r="AF118" s="179">
        <v>1</v>
      </c>
      <c r="AG118" s="5">
        <f>AF118+1</f>
        <v>2</v>
      </c>
      <c r="AH118" s="5">
        <f t="shared" si="99"/>
        <v>3</v>
      </c>
      <c r="AI118" s="5">
        <f t="shared" si="99"/>
        <v>4</v>
      </c>
      <c r="AJ118" s="5">
        <f t="shared" si="99"/>
        <v>5</v>
      </c>
      <c r="AK118" s="5">
        <f t="shared" si="99"/>
        <v>6</v>
      </c>
      <c r="AL118" s="5">
        <f t="shared" si="99"/>
        <v>7</v>
      </c>
      <c r="AM118" s="5">
        <f t="shared" si="99"/>
        <v>8</v>
      </c>
      <c r="AN118" s="5">
        <f t="shared" si="99"/>
        <v>9</v>
      </c>
      <c r="AO118" s="5">
        <f t="shared" si="99"/>
        <v>10</v>
      </c>
      <c r="AP118" s="5">
        <f t="shared" si="99"/>
        <v>11</v>
      </c>
      <c r="AQ118" s="5">
        <f t="shared" si="99"/>
        <v>12</v>
      </c>
      <c r="AR118" s="5">
        <f t="shared" si="99"/>
        <v>13</v>
      </c>
      <c r="AS118" s="5">
        <f t="shared" si="99"/>
        <v>14</v>
      </c>
      <c r="AT118" s="5">
        <f>AS118+1</f>
        <v>15</v>
      </c>
      <c r="AU118" s="5">
        <f t="shared" si="100"/>
        <v>16</v>
      </c>
      <c r="AV118" s="5">
        <f t="shared" si="100"/>
        <v>17</v>
      </c>
      <c r="AW118" s="5">
        <f t="shared" si="100"/>
        <v>18</v>
      </c>
      <c r="AX118" s="5">
        <f t="shared" si="100"/>
        <v>19</v>
      </c>
      <c r="AY118" s="5">
        <f t="shared" si="100"/>
        <v>20</v>
      </c>
      <c r="AZ118" s="5">
        <f t="shared" si="100"/>
        <v>21</v>
      </c>
      <c r="BA118" s="5">
        <f t="shared" si="100"/>
        <v>22</v>
      </c>
      <c r="BB118" s="5">
        <f t="shared" si="100"/>
        <v>23</v>
      </c>
      <c r="BC118" s="5">
        <f t="shared" si="100"/>
        <v>24</v>
      </c>
      <c r="BD118" s="5">
        <f t="shared" si="100"/>
        <v>25</v>
      </c>
      <c r="BE118" s="5">
        <f t="shared" si="100"/>
        <v>26</v>
      </c>
      <c r="BF118" s="5">
        <f t="shared" si="100"/>
        <v>27</v>
      </c>
      <c r="BG118" s="5">
        <f t="shared" si="100"/>
        <v>28</v>
      </c>
      <c r="BH118" s="5">
        <f t="shared" si="100"/>
        <v>29</v>
      </c>
      <c r="BI118" s="5">
        <f t="shared" si="100"/>
        <v>30</v>
      </c>
      <c r="BJ118" s="5">
        <f t="shared" si="100"/>
        <v>31</v>
      </c>
      <c r="BK118" s="5">
        <f t="shared" ref="BK118" si="101">BJ118+1</f>
        <v>32</v>
      </c>
      <c r="BL118" s="46"/>
      <c r="BM118" s="4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</row>
    <row r="119" spans="1:88" ht="15.75" hidden="1" customHeight="1" thickBot="1" x14ac:dyDescent="0.3">
      <c r="A119" t="s">
        <v>14</v>
      </c>
      <c r="B119" s="139">
        <v>20</v>
      </c>
      <c r="C119" s="140">
        <v>6</v>
      </c>
      <c r="D119" s="139" t="str">
        <f t="shared" si="72"/>
        <v>COUNTDOWN_WEST_M_1_19</v>
      </c>
      <c r="E119" s="140"/>
      <c r="F119" s="142" t="s">
        <v>33</v>
      </c>
      <c r="G119" s="140" t="s">
        <v>19</v>
      </c>
      <c r="H119" s="140" t="s">
        <v>14</v>
      </c>
      <c r="I119" s="140">
        <v>1</v>
      </c>
      <c r="J119" s="144"/>
      <c r="K119" s="144"/>
      <c r="L119" s="140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178"/>
      <c r="Z119" s="156"/>
      <c r="AA119" s="157"/>
      <c r="AB119" s="157"/>
      <c r="AC119" s="157"/>
      <c r="AD119" s="157"/>
      <c r="AE119" s="167"/>
      <c r="AF119" s="179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6"/>
      <c r="AR119" s="6"/>
      <c r="AS119" s="46"/>
      <c r="AT119" s="46"/>
      <c r="AU119" s="56"/>
      <c r="AV119" s="56"/>
      <c r="AW119" s="93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0"/>
      <c r="BM119" s="40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</row>
  </sheetData>
  <autoFilter ref="A5:CJ119">
    <filterColumn colId="5">
      <filters>
        <filter val="EMPTY"/>
        <filter val="PREPARE"/>
        <filter val="SUPPLY"/>
      </filters>
    </filterColumn>
  </autoFilter>
  <mergeCells count="2">
    <mergeCell ref="X1:AA1"/>
    <mergeCell ref="AD1:A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B1:CN120"/>
  <sheetViews>
    <sheetView topLeftCell="B3" zoomScale="70" zoomScaleNormal="70" workbookViewId="0">
      <selection activeCell="BB21" sqref="BB21"/>
    </sheetView>
  </sheetViews>
  <sheetFormatPr defaultRowHeight="15" x14ac:dyDescent="0.25"/>
  <cols>
    <col min="1" max="1" width="3.7109375" customWidth="1"/>
    <col min="2" max="2" width="6.85546875" bestFit="1" customWidth="1"/>
    <col min="3" max="3" width="10.7109375" bestFit="1" customWidth="1"/>
    <col min="4" max="4" width="30.5703125" bestFit="1" customWidth="1"/>
    <col min="5" max="5" width="17.28515625" bestFit="1" customWidth="1"/>
    <col min="6" max="6" width="14.85546875" bestFit="1" customWidth="1"/>
    <col min="7" max="7" width="6.7109375" bestFit="1" customWidth="1"/>
    <col min="8" max="8" width="6.5703125" bestFit="1" customWidth="1"/>
    <col min="9" max="9" width="4.7109375" bestFit="1" customWidth="1"/>
    <col min="10" max="11" width="8.140625" customWidth="1"/>
    <col min="13" max="26" width="3.7109375" style="246" customWidth="1"/>
    <col min="27" max="92" width="3.7109375" customWidth="1"/>
  </cols>
  <sheetData>
    <row r="1" spans="2:92" ht="21" x14ac:dyDescent="0.25">
      <c r="B1" s="44" t="s">
        <v>60</v>
      </c>
      <c r="D1" s="335">
        <v>20</v>
      </c>
      <c r="E1" s="334" t="s">
        <v>66</v>
      </c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2:92" x14ac:dyDescent="0.25">
      <c r="M2"/>
      <c r="N2"/>
      <c r="O2"/>
      <c r="P2"/>
      <c r="Q2"/>
      <c r="R2"/>
      <c r="S2"/>
      <c r="T2"/>
      <c r="U2"/>
      <c r="V2"/>
      <c r="W2"/>
      <c r="X2"/>
      <c r="Y2" s="359" t="s">
        <v>43</v>
      </c>
      <c r="Z2" s="359"/>
      <c r="AA2" s="359"/>
      <c r="AB2" s="359"/>
      <c r="AE2" s="359" t="s">
        <v>44</v>
      </c>
      <c r="AF2" s="359"/>
      <c r="AG2" s="359"/>
      <c r="AH2" s="359"/>
    </row>
    <row r="3" spans="2:92" x14ac:dyDescent="0.25">
      <c r="M3"/>
      <c r="N3"/>
      <c r="O3"/>
      <c r="P3"/>
      <c r="Q3"/>
      <c r="R3"/>
      <c r="S3"/>
      <c r="T3"/>
      <c r="U3"/>
      <c r="V3"/>
      <c r="W3"/>
      <c r="X3"/>
      <c r="Y3"/>
      <c r="Z3"/>
      <c r="AA3" s="162"/>
      <c r="AG3" s="164"/>
      <c r="AH3" s="2"/>
    </row>
    <row r="4" spans="2:92" ht="18.75" customHeight="1" thickBot="1" x14ac:dyDescent="0.3">
      <c r="B4" s="135" t="s">
        <v>26</v>
      </c>
      <c r="C4" s="135" t="s">
        <v>25</v>
      </c>
      <c r="D4" s="135"/>
      <c r="E4" s="135" t="s">
        <v>34</v>
      </c>
      <c r="F4" s="135" t="s">
        <v>29</v>
      </c>
      <c r="G4" s="135" t="s">
        <v>17</v>
      </c>
      <c r="H4" s="135" t="s">
        <v>1</v>
      </c>
      <c r="I4" s="135" t="s">
        <v>20</v>
      </c>
      <c r="J4" s="135" t="s">
        <v>30</v>
      </c>
      <c r="K4" s="135" t="s">
        <v>31</v>
      </c>
      <c r="L4" s="135" t="s">
        <v>27</v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 s="165"/>
      <c r="AG4" s="151"/>
    </row>
    <row r="5" spans="2:92" ht="27.75" customHeight="1" x14ac:dyDescent="0.25">
      <c r="B5" s="136"/>
      <c r="C5" s="136"/>
      <c r="D5" s="136"/>
      <c r="E5" s="136"/>
      <c r="F5" s="136"/>
      <c r="G5" s="136"/>
      <c r="H5" s="136"/>
      <c r="I5" s="145"/>
      <c r="J5" s="136"/>
      <c r="K5" s="136">
        <v>17</v>
      </c>
      <c r="L5" s="137" t="s">
        <v>37</v>
      </c>
      <c r="M5" s="4">
        <v>20</v>
      </c>
      <c r="N5" s="4">
        <v>19</v>
      </c>
      <c r="O5" s="4">
        <v>18</v>
      </c>
      <c r="P5" s="4">
        <v>17</v>
      </c>
      <c r="Q5" s="4">
        <v>16</v>
      </c>
      <c r="R5" s="4">
        <v>15</v>
      </c>
      <c r="S5" s="4">
        <v>14</v>
      </c>
      <c r="T5" s="4">
        <v>13</v>
      </c>
      <c r="U5" s="4">
        <v>12</v>
      </c>
      <c r="V5" s="4">
        <v>11</v>
      </c>
      <c r="W5" s="4">
        <v>10</v>
      </c>
      <c r="X5" s="4">
        <v>9</v>
      </c>
      <c r="Y5" s="4">
        <v>8</v>
      </c>
      <c r="Z5" s="97">
        <v>7</v>
      </c>
      <c r="AA5" s="11">
        <v>6</v>
      </c>
      <c r="AB5" s="12">
        <v>5</v>
      </c>
      <c r="AC5" s="12">
        <v>4</v>
      </c>
      <c r="AD5" s="12">
        <v>3</v>
      </c>
      <c r="AE5" s="12">
        <v>2</v>
      </c>
      <c r="AF5" s="18">
        <v>1</v>
      </c>
      <c r="AG5" s="95">
        <v>20</v>
      </c>
      <c r="AH5" s="40">
        <v>19</v>
      </c>
      <c r="AI5" s="40">
        <v>18</v>
      </c>
      <c r="AJ5" s="40">
        <v>17</v>
      </c>
      <c r="AK5" s="40">
        <v>16</v>
      </c>
      <c r="AL5" s="40">
        <v>15</v>
      </c>
      <c r="AM5" s="40">
        <v>14</v>
      </c>
      <c r="AN5" s="40">
        <v>13</v>
      </c>
      <c r="AO5" s="40">
        <v>12</v>
      </c>
      <c r="AP5" s="40">
        <v>11</v>
      </c>
      <c r="AQ5" s="40">
        <v>10</v>
      </c>
      <c r="AR5" s="40">
        <v>9</v>
      </c>
      <c r="AS5" s="40">
        <v>8</v>
      </c>
      <c r="AT5" s="40">
        <v>7</v>
      </c>
      <c r="AU5" s="40">
        <v>6</v>
      </c>
      <c r="AV5" s="40">
        <v>5</v>
      </c>
      <c r="AW5" s="40">
        <v>4</v>
      </c>
      <c r="AX5" s="40">
        <v>3</v>
      </c>
      <c r="AY5" s="40">
        <v>2</v>
      </c>
      <c r="AZ5" s="40">
        <v>1</v>
      </c>
      <c r="BA5" s="37">
        <v>20</v>
      </c>
      <c r="BB5" s="37">
        <v>19</v>
      </c>
      <c r="BC5" s="37">
        <v>18</v>
      </c>
      <c r="BD5" s="37">
        <v>17</v>
      </c>
      <c r="BE5" s="37">
        <v>16</v>
      </c>
      <c r="BF5" s="37">
        <v>15</v>
      </c>
      <c r="BG5" s="37">
        <v>14</v>
      </c>
      <c r="BH5" s="37">
        <v>13</v>
      </c>
      <c r="BI5" s="37">
        <v>12</v>
      </c>
      <c r="BJ5" s="37">
        <v>11</v>
      </c>
      <c r="BK5" s="37">
        <v>10</v>
      </c>
      <c r="BL5" s="37">
        <v>9</v>
      </c>
      <c r="BM5" s="37">
        <v>8</v>
      </c>
      <c r="BN5" s="37">
        <v>7</v>
      </c>
      <c r="BO5" s="37">
        <v>6</v>
      </c>
      <c r="BP5" s="37">
        <v>5</v>
      </c>
      <c r="BQ5" s="37">
        <v>4</v>
      </c>
      <c r="BR5" s="37">
        <v>3</v>
      </c>
      <c r="BS5" s="37">
        <v>2</v>
      </c>
      <c r="BT5" s="37">
        <v>1</v>
      </c>
      <c r="BU5" s="88">
        <v>20</v>
      </c>
      <c r="BV5" s="88">
        <v>19</v>
      </c>
      <c r="BW5" s="88">
        <v>18</v>
      </c>
      <c r="BX5" s="88">
        <v>17</v>
      </c>
      <c r="BY5" s="88">
        <v>16</v>
      </c>
      <c r="BZ5" s="88">
        <v>15</v>
      </c>
      <c r="CA5" s="88">
        <v>14</v>
      </c>
      <c r="CB5" s="88">
        <v>13</v>
      </c>
      <c r="CC5" s="88">
        <v>12</v>
      </c>
      <c r="CD5" s="88">
        <v>11</v>
      </c>
      <c r="CE5" s="88">
        <v>10</v>
      </c>
      <c r="CF5" s="88">
        <v>9</v>
      </c>
      <c r="CG5" s="88">
        <v>8</v>
      </c>
      <c r="CH5" s="88">
        <v>7</v>
      </c>
      <c r="CI5" s="88">
        <v>6</v>
      </c>
      <c r="CJ5" s="88">
        <v>5</v>
      </c>
      <c r="CK5" s="88">
        <v>4</v>
      </c>
      <c r="CL5" s="88">
        <v>3</v>
      </c>
      <c r="CM5" s="88">
        <v>2</v>
      </c>
      <c r="CN5" s="88">
        <v>1</v>
      </c>
    </row>
    <row r="6" spans="2:92" ht="22.5" customHeight="1" x14ac:dyDescent="0.25">
      <c r="B6" s="146">
        <v>0</v>
      </c>
      <c r="C6" s="146">
        <v>0</v>
      </c>
      <c r="D6" s="146"/>
      <c r="E6" s="146"/>
      <c r="F6" s="147" t="s">
        <v>23</v>
      </c>
      <c r="G6" s="146"/>
      <c r="H6" s="149"/>
      <c r="I6" s="148"/>
      <c r="J6" s="149"/>
      <c r="K6" s="150"/>
      <c r="L6" s="150"/>
      <c r="M6" s="4">
        <v>14</v>
      </c>
      <c r="N6" s="4">
        <v>13</v>
      </c>
      <c r="O6" s="4">
        <v>12</v>
      </c>
      <c r="P6" s="4">
        <v>11</v>
      </c>
      <c r="Q6" s="4">
        <v>10</v>
      </c>
      <c r="R6" s="4">
        <v>9</v>
      </c>
      <c r="S6" s="4">
        <v>8</v>
      </c>
      <c r="T6" s="4">
        <v>7</v>
      </c>
      <c r="U6" s="4">
        <v>6</v>
      </c>
      <c r="V6" s="4">
        <v>5</v>
      </c>
      <c r="W6" s="4">
        <v>4</v>
      </c>
      <c r="X6" s="4">
        <v>3</v>
      </c>
      <c r="Y6" s="4">
        <v>2</v>
      </c>
      <c r="Z6" s="97">
        <v>1</v>
      </c>
      <c r="AA6" s="39">
        <v>20</v>
      </c>
      <c r="AB6" s="40">
        <v>19</v>
      </c>
      <c r="AC6" s="40">
        <v>18</v>
      </c>
      <c r="AD6" s="40">
        <v>17</v>
      </c>
      <c r="AE6" s="40">
        <v>16</v>
      </c>
      <c r="AF6" s="41">
        <v>15</v>
      </c>
      <c r="AG6" s="95">
        <v>14</v>
      </c>
      <c r="AH6" s="40">
        <v>13</v>
      </c>
      <c r="AI6" s="40">
        <v>12</v>
      </c>
      <c r="AJ6" s="40">
        <v>11</v>
      </c>
      <c r="AK6" s="40">
        <v>10</v>
      </c>
      <c r="AL6" s="40">
        <v>9</v>
      </c>
      <c r="AM6" s="40">
        <v>8</v>
      </c>
      <c r="AN6" s="40">
        <v>7</v>
      </c>
      <c r="AO6" s="40">
        <v>6</v>
      </c>
      <c r="AP6" s="40">
        <v>5</v>
      </c>
      <c r="AQ6" s="40">
        <v>4</v>
      </c>
      <c r="AR6" s="40">
        <v>3</v>
      </c>
      <c r="AS6" s="40">
        <v>2</v>
      </c>
      <c r="AT6" s="40">
        <v>1</v>
      </c>
      <c r="AU6" s="37">
        <v>20</v>
      </c>
      <c r="AV6" s="37">
        <v>19</v>
      </c>
      <c r="AW6" s="37">
        <v>18</v>
      </c>
      <c r="AX6" s="37">
        <v>17</v>
      </c>
      <c r="AY6" s="37">
        <v>16</v>
      </c>
      <c r="AZ6" s="37">
        <v>15</v>
      </c>
      <c r="BA6" s="37">
        <v>14</v>
      </c>
      <c r="BB6" s="37">
        <v>13</v>
      </c>
      <c r="BC6" s="37">
        <v>12</v>
      </c>
      <c r="BD6" s="37">
        <v>11</v>
      </c>
      <c r="BE6" s="37">
        <v>10</v>
      </c>
      <c r="BF6" s="37">
        <v>9</v>
      </c>
      <c r="BG6" s="37">
        <v>8</v>
      </c>
      <c r="BH6" s="37">
        <v>7</v>
      </c>
      <c r="BI6" s="37">
        <v>6</v>
      </c>
      <c r="BJ6" s="37">
        <v>5</v>
      </c>
      <c r="BK6" s="37">
        <v>4</v>
      </c>
      <c r="BL6" s="37">
        <v>3</v>
      </c>
      <c r="BM6" s="37">
        <v>2</v>
      </c>
      <c r="BN6" s="37">
        <v>1</v>
      </c>
      <c r="BO6" s="88">
        <v>20</v>
      </c>
      <c r="BP6" s="88">
        <v>19</v>
      </c>
      <c r="BQ6" s="88">
        <v>18</v>
      </c>
      <c r="BR6" s="88">
        <v>17</v>
      </c>
      <c r="BS6" s="88">
        <v>16</v>
      </c>
      <c r="BT6" s="88">
        <v>15</v>
      </c>
      <c r="BU6" s="88">
        <v>14</v>
      </c>
      <c r="BV6" s="88">
        <v>13</v>
      </c>
      <c r="BW6" s="88">
        <v>12</v>
      </c>
      <c r="BX6" s="88">
        <v>11</v>
      </c>
      <c r="BY6" s="88">
        <v>10</v>
      </c>
      <c r="BZ6" s="88">
        <v>9</v>
      </c>
      <c r="CA6" s="88">
        <v>8</v>
      </c>
      <c r="CB6" s="88">
        <v>7</v>
      </c>
      <c r="CC6" s="88">
        <v>6</v>
      </c>
      <c r="CD6" s="88">
        <v>5</v>
      </c>
      <c r="CE6" s="88">
        <v>4</v>
      </c>
      <c r="CF6" s="88">
        <v>3</v>
      </c>
      <c r="CG6" s="88">
        <v>2</v>
      </c>
      <c r="CH6" s="88">
        <v>1</v>
      </c>
      <c r="CI6" s="5">
        <v>20</v>
      </c>
      <c r="CJ6" s="5">
        <v>19</v>
      </c>
      <c r="CK6" s="5">
        <v>18</v>
      </c>
      <c r="CL6" s="5">
        <v>17</v>
      </c>
      <c r="CM6" s="5">
        <v>16</v>
      </c>
      <c r="CN6" s="5">
        <v>15</v>
      </c>
    </row>
    <row r="7" spans="2:92" ht="21.95" hidden="1" customHeight="1" x14ac:dyDescent="0.25">
      <c r="B7" s="139">
        <v>1</v>
      </c>
      <c r="C7" s="139">
        <v>1</v>
      </c>
      <c r="D7" s="139" t="str">
        <f>F7&amp;"_"&amp;G7&amp;"_"&amp;H7&amp;"_"&amp;I7&amp;"_"&amp;$D$1</f>
        <v>SORTING_EAST_UNP_1_20</v>
      </c>
      <c r="E7" s="139" t="s">
        <v>35</v>
      </c>
      <c r="F7" s="138" t="s">
        <v>45</v>
      </c>
      <c r="G7" s="140" t="s">
        <v>18</v>
      </c>
      <c r="H7" s="140" t="s">
        <v>42</v>
      </c>
      <c r="I7" s="140">
        <v>1</v>
      </c>
      <c r="J7" s="139"/>
      <c r="K7" s="184">
        <f>COUNT(AA7:AZ7)</f>
        <v>0</v>
      </c>
      <c r="L7" s="139"/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231"/>
      <c r="AA7" s="9"/>
      <c r="AB7" s="4"/>
      <c r="AC7" s="5"/>
      <c r="AD7" s="5"/>
      <c r="AE7" s="5"/>
      <c r="AF7" s="64"/>
      <c r="AG7" s="179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</row>
    <row r="8" spans="2:92" ht="21.95" hidden="1" customHeight="1" x14ac:dyDescent="0.25">
      <c r="B8" s="139">
        <v>1</v>
      </c>
      <c r="C8" s="139">
        <v>2</v>
      </c>
      <c r="D8" s="139" t="str">
        <f t="shared" ref="D8:D77" si="0">F8&amp;"_"&amp;G8&amp;"_"&amp;H8&amp;"_"&amp;I8&amp;"_"&amp;$D$1</f>
        <v>TRANSFER_EAST_UNP_1_20</v>
      </c>
      <c r="E8" s="139" t="s">
        <v>21</v>
      </c>
      <c r="F8" s="138" t="s">
        <v>21</v>
      </c>
      <c r="G8" s="140" t="s">
        <v>18</v>
      </c>
      <c r="H8" s="140" t="s">
        <v>42</v>
      </c>
      <c r="I8" s="140">
        <v>1</v>
      </c>
      <c r="J8" s="139"/>
      <c r="K8" s="184">
        <f>COUNT(AA8:AZ8)</f>
        <v>2</v>
      </c>
      <c r="L8" s="139"/>
      <c r="M8" s="230"/>
      <c r="N8" s="230"/>
      <c r="O8" s="230"/>
      <c r="P8" s="230"/>
      <c r="Q8" s="230"/>
      <c r="R8" s="230"/>
      <c r="S8" s="230"/>
      <c r="T8" s="230"/>
      <c r="U8" s="230"/>
      <c r="V8" s="230"/>
      <c r="W8" s="230"/>
      <c r="X8" s="230"/>
      <c r="Y8" s="230"/>
      <c r="Z8" s="231"/>
      <c r="AA8" s="82">
        <v>1</v>
      </c>
      <c r="AB8" s="5">
        <f>AA8+1</f>
        <v>2</v>
      </c>
      <c r="AC8" s="180"/>
      <c r="AD8" s="350"/>
      <c r="AE8" s="3"/>
      <c r="AF8" s="31"/>
      <c r="AG8" s="86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</row>
    <row r="9" spans="2:92" ht="21.95" customHeight="1" x14ac:dyDescent="0.25">
      <c r="B9" s="139">
        <v>1</v>
      </c>
      <c r="C9" s="139">
        <v>3</v>
      </c>
      <c r="D9" s="139" t="str">
        <f t="shared" si="0"/>
        <v>PREPARE_EAST_UNP_1_20</v>
      </c>
      <c r="E9" s="139" t="s">
        <v>0</v>
      </c>
      <c r="F9" s="138" t="s">
        <v>46</v>
      </c>
      <c r="G9" s="140" t="s">
        <v>18</v>
      </c>
      <c r="H9" s="140" t="s">
        <v>42</v>
      </c>
      <c r="I9" s="140">
        <v>1</v>
      </c>
      <c r="J9" s="141"/>
      <c r="K9" s="184">
        <f>COUNT(M9:AZ9)</f>
        <v>18</v>
      </c>
      <c r="L9" s="139"/>
      <c r="M9" s="232">
        <v>1</v>
      </c>
      <c r="N9" s="232">
        <f>M9+1</f>
        <v>2</v>
      </c>
      <c r="O9" s="232">
        <f t="shared" ref="O9:AD9" si="1">N9+1</f>
        <v>3</v>
      </c>
      <c r="P9" s="232">
        <f t="shared" si="1"/>
        <v>4</v>
      </c>
      <c r="Q9" s="232">
        <f t="shared" si="1"/>
        <v>5</v>
      </c>
      <c r="R9" s="232">
        <f t="shared" si="1"/>
        <v>6</v>
      </c>
      <c r="S9" s="232">
        <f t="shared" si="1"/>
        <v>7</v>
      </c>
      <c r="T9" s="232">
        <f t="shared" si="1"/>
        <v>8</v>
      </c>
      <c r="U9" s="232">
        <f t="shared" si="1"/>
        <v>9</v>
      </c>
      <c r="V9" s="232">
        <f t="shared" si="1"/>
        <v>10</v>
      </c>
      <c r="W9" s="232">
        <f t="shared" si="1"/>
        <v>11</v>
      </c>
      <c r="X9" s="232">
        <f t="shared" si="1"/>
        <v>12</v>
      </c>
      <c r="Y9" s="232">
        <f t="shared" si="1"/>
        <v>13</v>
      </c>
      <c r="Z9" s="232">
        <f t="shared" si="1"/>
        <v>14</v>
      </c>
      <c r="AA9" s="5">
        <f t="shared" si="1"/>
        <v>15</v>
      </c>
      <c r="AB9" s="5">
        <f t="shared" si="1"/>
        <v>16</v>
      </c>
      <c r="AC9" s="5">
        <f t="shared" si="1"/>
        <v>17</v>
      </c>
      <c r="AD9" s="5">
        <f t="shared" si="1"/>
        <v>18</v>
      </c>
      <c r="AE9" s="4"/>
      <c r="AF9" s="21"/>
      <c r="AG9" s="86"/>
      <c r="AH9" s="3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</row>
    <row r="10" spans="2:92" ht="21.95" customHeight="1" x14ac:dyDescent="0.25">
      <c r="B10" s="139">
        <v>1</v>
      </c>
      <c r="C10" s="139">
        <v>4</v>
      </c>
      <c r="D10" s="139" t="str">
        <f t="shared" si="0"/>
        <v>SUPPLY_EAST_UNP_1_20</v>
      </c>
      <c r="E10" s="139" t="s">
        <v>0</v>
      </c>
      <c r="F10" s="142" t="s">
        <v>0</v>
      </c>
      <c r="G10" s="140" t="s">
        <v>18</v>
      </c>
      <c r="H10" s="140" t="s">
        <v>42</v>
      </c>
      <c r="I10" s="140">
        <v>1</v>
      </c>
      <c r="J10" s="143"/>
      <c r="K10" s="184">
        <f>COUNT(AG10:BT10)</f>
        <v>0</v>
      </c>
      <c r="L10" s="14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  <c r="Z10" s="231"/>
      <c r="AA10" s="8"/>
      <c r="AB10" s="3"/>
      <c r="AC10" s="3"/>
      <c r="AD10" s="3"/>
      <c r="AE10" s="3"/>
      <c r="AF10" s="31"/>
      <c r="AG10" s="93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</row>
    <row r="11" spans="2:92" ht="21.95" customHeight="1" x14ac:dyDescent="0.25">
      <c r="B11" s="139">
        <v>1</v>
      </c>
      <c r="C11" s="140">
        <v>5</v>
      </c>
      <c r="D11" s="139" t="str">
        <f t="shared" si="0"/>
        <v>EMPTY_EAST_UNP_1_20</v>
      </c>
      <c r="E11" s="140" t="s">
        <v>0</v>
      </c>
      <c r="F11" s="142" t="s">
        <v>32</v>
      </c>
      <c r="G11" s="140" t="s">
        <v>18</v>
      </c>
      <c r="H11" s="140" t="s">
        <v>42</v>
      </c>
      <c r="I11" s="140">
        <v>1</v>
      </c>
      <c r="J11" s="139"/>
      <c r="K11" s="184">
        <f>COUNT(AG11:BT11)</f>
        <v>16</v>
      </c>
      <c r="L11" s="139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Z11" s="231"/>
      <c r="AA11" s="8"/>
      <c r="AB11" s="3"/>
      <c r="AC11" s="3"/>
      <c r="AD11" s="3"/>
      <c r="AE11" s="3"/>
      <c r="AF11" s="31"/>
      <c r="AG11" s="179">
        <v>1</v>
      </c>
      <c r="AH11" s="5">
        <f>AG11+1</f>
        <v>2</v>
      </c>
      <c r="AI11" s="5">
        <f t="shared" ref="AI11:AV11" si="2">AH11+1</f>
        <v>3</v>
      </c>
      <c r="AJ11" s="5">
        <f t="shared" si="2"/>
        <v>4</v>
      </c>
      <c r="AK11" s="5">
        <f t="shared" si="2"/>
        <v>5</v>
      </c>
      <c r="AL11" s="5">
        <f t="shared" si="2"/>
        <v>6</v>
      </c>
      <c r="AM11" s="5">
        <f t="shared" si="2"/>
        <v>7</v>
      </c>
      <c r="AN11" s="5">
        <f t="shared" si="2"/>
        <v>8</v>
      </c>
      <c r="AO11" s="5">
        <f t="shared" si="2"/>
        <v>9</v>
      </c>
      <c r="AP11" s="5">
        <f t="shared" si="2"/>
        <v>10</v>
      </c>
      <c r="AQ11" s="5">
        <f t="shared" si="2"/>
        <v>11</v>
      </c>
      <c r="AR11" s="5">
        <f t="shared" si="2"/>
        <v>12</v>
      </c>
      <c r="AS11" s="5">
        <f t="shared" si="2"/>
        <v>13</v>
      </c>
      <c r="AT11" s="5">
        <f t="shared" si="2"/>
        <v>14</v>
      </c>
      <c r="AU11" s="5">
        <f t="shared" si="2"/>
        <v>15</v>
      </c>
      <c r="AV11" s="5">
        <f t="shared" si="2"/>
        <v>16</v>
      </c>
      <c r="AW11" s="46"/>
      <c r="AX11" s="4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</row>
    <row r="12" spans="2:92" ht="21.95" hidden="1" customHeight="1" x14ac:dyDescent="0.25">
      <c r="B12" s="139">
        <v>1</v>
      </c>
      <c r="C12" s="140">
        <v>6</v>
      </c>
      <c r="D12" s="139" t="str">
        <f t="shared" si="0"/>
        <v>COUNTDOWN_EAST_UNP_1_20</v>
      </c>
      <c r="E12" s="140"/>
      <c r="F12" s="142" t="s">
        <v>33</v>
      </c>
      <c r="G12" s="140" t="s">
        <v>18</v>
      </c>
      <c r="H12" s="140" t="s">
        <v>42</v>
      </c>
      <c r="I12" s="140">
        <v>1</v>
      </c>
      <c r="J12" s="144"/>
      <c r="K12" s="144"/>
      <c r="L12" s="14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  <c r="Z12" s="231"/>
      <c r="AA12" s="29"/>
      <c r="AB12" s="6"/>
      <c r="AC12" s="46"/>
      <c r="AD12" s="46"/>
      <c r="AE12" s="56"/>
      <c r="AF12" s="59"/>
      <c r="AG12" s="179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</row>
    <row r="13" spans="2:92" ht="21.95" hidden="1" customHeight="1" x14ac:dyDescent="0.25">
      <c r="B13" s="139">
        <v>2</v>
      </c>
      <c r="C13" s="139">
        <v>1</v>
      </c>
      <c r="D13" s="139" t="str">
        <f t="shared" si="0"/>
        <v>SORTING_EAST_A_2_20</v>
      </c>
      <c r="E13" s="139" t="s">
        <v>35</v>
      </c>
      <c r="F13" s="138" t="s">
        <v>45</v>
      </c>
      <c r="G13" s="140" t="s">
        <v>18</v>
      </c>
      <c r="H13" s="140" t="s">
        <v>2</v>
      </c>
      <c r="I13" s="140">
        <v>2</v>
      </c>
      <c r="J13" s="139"/>
      <c r="K13" s="184">
        <f>COUNT(AA13:AZ13)</f>
        <v>2</v>
      </c>
      <c r="L13" s="139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1"/>
      <c r="AA13" s="82">
        <v>1</v>
      </c>
      <c r="AB13" s="5">
        <f>AA13+1</f>
        <v>2</v>
      </c>
      <c r="AC13" s="180"/>
      <c r="AD13" s="350"/>
      <c r="AE13" s="3"/>
      <c r="AF13" s="31"/>
      <c r="AG13" s="86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</row>
    <row r="14" spans="2:92" ht="21.95" hidden="1" customHeight="1" x14ac:dyDescent="0.25">
      <c r="B14" s="139">
        <v>2</v>
      </c>
      <c r="C14" s="139">
        <v>2</v>
      </c>
      <c r="D14" s="139" t="str">
        <f t="shared" si="0"/>
        <v>TRANSFER_EAST_A_2_20</v>
      </c>
      <c r="E14" s="139" t="s">
        <v>21</v>
      </c>
      <c r="F14" s="138" t="s">
        <v>21</v>
      </c>
      <c r="G14" s="140" t="s">
        <v>18</v>
      </c>
      <c r="H14" s="140" t="s">
        <v>2</v>
      </c>
      <c r="I14" s="140">
        <v>2</v>
      </c>
      <c r="J14" s="139"/>
      <c r="K14" s="184">
        <f>COUNT(AA14:AZ14)</f>
        <v>3</v>
      </c>
      <c r="L14" s="139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1"/>
      <c r="AA14" s="82">
        <v>1</v>
      </c>
      <c r="AB14" s="5">
        <f t="shared" ref="AB14:AF15" si="3">AA14+1</f>
        <v>2</v>
      </c>
      <c r="AC14" s="5">
        <f t="shared" si="3"/>
        <v>3</v>
      </c>
      <c r="AD14" s="180"/>
      <c r="AE14" s="350"/>
      <c r="AF14" s="351"/>
      <c r="AG14" s="23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</row>
    <row r="15" spans="2:92" ht="21.95" customHeight="1" x14ac:dyDescent="0.25">
      <c r="B15" s="139">
        <v>2</v>
      </c>
      <c r="C15" s="139">
        <v>3</v>
      </c>
      <c r="D15" s="139" t="str">
        <f t="shared" si="0"/>
        <v>PREPARE_EAST_A_2_20</v>
      </c>
      <c r="E15" s="139" t="s">
        <v>0</v>
      </c>
      <c r="F15" s="138" t="s">
        <v>46</v>
      </c>
      <c r="G15" s="140" t="s">
        <v>18</v>
      </c>
      <c r="H15" s="140" t="s">
        <v>2</v>
      </c>
      <c r="I15" s="140">
        <v>2</v>
      </c>
      <c r="J15" s="141"/>
      <c r="K15" s="184">
        <f>COUNT(M15:AZ15)</f>
        <v>20</v>
      </c>
      <c r="L15" s="139"/>
      <c r="M15" s="232">
        <v>1</v>
      </c>
      <c r="N15" s="232">
        <f>M15+1</f>
        <v>2</v>
      </c>
      <c r="O15" s="232">
        <f t="shared" ref="O15:AA15" si="4">N15+1</f>
        <v>3</v>
      </c>
      <c r="P15" s="232">
        <f t="shared" si="4"/>
        <v>4</v>
      </c>
      <c r="Q15" s="232">
        <f t="shared" si="4"/>
        <v>5</v>
      </c>
      <c r="R15" s="232">
        <f t="shared" si="4"/>
        <v>6</v>
      </c>
      <c r="S15" s="232">
        <f t="shared" si="4"/>
        <v>7</v>
      </c>
      <c r="T15" s="232">
        <f t="shared" si="4"/>
        <v>8</v>
      </c>
      <c r="U15" s="232">
        <f t="shared" si="4"/>
        <v>9</v>
      </c>
      <c r="V15" s="232">
        <f t="shared" si="4"/>
        <v>10</v>
      </c>
      <c r="W15" s="232">
        <f t="shared" si="4"/>
        <v>11</v>
      </c>
      <c r="X15" s="232">
        <f t="shared" si="4"/>
        <v>12</v>
      </c>
      <c r="Y15" s="232">
        <f t="shared" si="4"/>
        <v>13</v>
      </c>
      <c r="Z15" s="232">
        <f t="shared" si="4"/>
        <v>14</v>
      </c>
      <c r="AA15" s="5">
        <f t="shared" si="4"/>
        <v>15</v>
      </c>
      <c r="AB15" s="5">
        <f t="shared" si="3"/>
        <v>16</v>
      </c>
      <c r="AC15" s="5">
        <f t="shared" si="3"/>
        <v>17</v>
      </c>
      <c r="AD15" s="5">
        <f t="shared" si="3"/>
        <v>18</v>
      </c>
      <c r="AE15" s="3">
        <f t="shared" si="3"/>
        <v>19</v>
      </c>
      <c r="AF15" s="3">
        <f t="shared" si="3"/>
        <v>20</v>
      </c>
      <c r="AG15" s="4"/>
      <c r="AH15" s="4"/>
      <c r="AI15" s="3"/>
      <c r="AJ15" s="3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</row>
    <row r="16" spans="2:92" ht="21.95" customHeight="1" x14ac:dyDescent="0.25">
      <c r="B16" s="139">
        <v>2</v>
      </c>
      <c r="C16" s="139">
        <v>4</v>
      </c>
      <c r="D16" s="139" t="str">
        <f t="shared" si="0"/>
        <v>SUPPLY_EAST_A_2_20</v>
      </c>
      <c r="E16" s="139" t="s">
        <v>0</v>
      </c>
      <c r="F16" s="142" t="s">
        <v>0</v>
      </c>
      <c r="G16" s="140" t="s">
        <v>18</v>
      </c>
      <c r="H16" s="140" t="s">
        <v>2</v>
      </c>
      <c r="I16" s="140">
        <v>2</v>
      </c>
      <c r="J16" s="143"/>
      <c r="K16" s="184">
        <f>COUNT(AG16:BT16)</f>
        <v>2</v>
      </c>
      <c r="L16" s="140"/>
      <c r="M16" s="230"/>
      <c r="N16" s="230"/>
      <c r="O16" s="230"/>
      <c r="P16" s="230"/>
      <c r="Q16" s="230"/>
      <c r="R16" s="230"/>
      <c r="S16" s="230"/>
      <c r="T16" s="230"/>
      <c r="U16" s="230"/>
      <c r="V16" s="230"/>
      <c r="W16" s="230"/>
      <c r="X16" s="230"/>
      <c r="Y16" s="230"/>
      <c r="Z16" s="231"/>
      <c r="AA16" s="8"/>
      <c r="AB16" s="3"/>
      <c r="AC16" s="3"/>
      <c r="AD16" s="3"/>
      <c r="AE16" s="3"/>
      <c r="AF16" s="31"/>
      <c r="AG16" s="179">
        <v>1</v>
      </c>
      <c r="AH16" s="5">
        <f>AG16+1</f>
        <v>2</v>
      </c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</row>
    <row r="17" spans="2:92" ht="21.95" customHeight="1" x14ac:dyDescent="0.25">
      <c r="B17" s="139">
        <v>2</v>
      </c>
      <c r="C17" s="140">
        <v>5</v>
      </c>
      <c r="D17" s="139" t="str">
        <f t="shared" si="0"/>
        <v>EMPTY_EAST_A_2_20</v>
      </c>
      <c r="E17" s="140" t="s">
        <v>0</v>
      </c>
      <c r="F17" s="142" t="s">
        <v>32</v>
      </c>
      <c r="G17" s="140" t="s">
        <v>18</v>
      </c>
      <c r="H17" s="140" t="s">
        <v>2</v>
      </c>
      <c r="I17" s="140">
        <v>2</v>
      </c>
      <c r="J17" s="139"/>
      <c r="K17" s="184">
        <f>COUNT(AG17:BT17)</f>
        <v>18</v>
      </c>
      <c r="L17" s="139"/>
      <c r="M17" s="230"/>
      <c r="N17" s="230"/>
      <c r="O17" s="230"/>
      <c r="P17" s="230"/>
      <c r="Q17" s="230"/>
      <c r="R17" s="230"/>
      <c r="S17" s="230"/>
      <c r="T17" s="230"/>
      <c r="U17" s="230"/>
      <c r="V17" s="230"/>
      <c r="W17" s="230"/>
      <c r="X17" s="230"/>
      <c r="Y17" s="230"/>
      <c r="Z17" s="231"/>
      <c r="AA17" s="8"/>
      <c r="AB17" s="3"/>
      <c r="AC17" s="3"/>
      <c r="AD17" s="3"/>
      <c r="AE17" s="3"/>
      <c r="AF17" s="31"/>
      <c r="AG17" s="179">
        <v>1</v>
      </c>
      <c r="AH17" s="5">
        <f t="shared" ref="AH17:AX17" si="5">AG17+1</f>
        <v>2</v>
      </c>
      <c r="AI17" s="5">
        <f t="shared" si="5"/>
        <v>3</v>
      </c>
      <c r="AJ17" s="5">
        <f t="shared" si="5"/>
        <v>4</v>
      </c>
      <c r="AK17" s="5">
        <f t="shared" si="5"/>
        <v>5</v>
      </c>
      <c r="AL17" s="5">
        <f t="shared" si="5"/>
        <v>6</v>
      </c>
      <c r="AM17" s="5">
        <f t="shared" si="5"/>
        <v>7</v>
      </c>
      <c r="AN17" s="5">
        <f t="shared" si="5"/>
        <v>8</v>
      </c>
      <c r="AO17" s="5">
        <f t="shared" si="5"/>
        <v>9</v>
      </c>
      <c r="AP17" s="5">
        <f t="shared" si="5"/>
        <v>10</v>
      </c>
      <c r="AQ17" s="5">
        <f t="shared" si="5"/>
        <v>11</v>
      </c>
      <c r="AR17" s="5">
        <f t="shared" si="5"/>
        <v>12</v>
      </c>
      <c r="AS17" s="5">
        <f t="shared" si="5"/>
        <v>13</v>
      </c>
      <c r="AT17" s="5">
        <f t="shared" si="5"/>
        <v>14</v>
      </c>
      <c r="AU17" s="5">
        <f t="shared" si="5"/>
        <v>15</v>
      </c>
      <c r="AV17" s="5">
        <f t="shared" si="5"/>
        <v>16</v>
      </c>
      <c r="AW17" s="5">
        <f t="shared" si="5"/>
        <v>17</v>
      </c>
      <c r="AX17" s="5">
        <f t="shared" si="5"/>
        <v>18</v>
      </c>
      <c r="AY17" s="46"/>
      <c r="AZ17" s="4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</row>
    <row r="18" spans="2:92" ht="21.95" hidden="1" customHeight="1" x14ac:dyDescent="0.25">
      <c r="B18" s="139">
        <v>2</v>
      </c>
      <c r="C18" s="140">
        <v>6</v>
      </c>
      <c r="D18" s="139" t="str">
        <f t="shared" si="0"/>
        <v>COUNTDOWN_EAST_A_2_20</v>
      </c>
      <c r="E18" s="140"/>
      <c r="F18" s="142" t="s">
        <v>33</v>
      </c>
      <c r="G18" s="140" t="s">
        <v>18</v>
      </c>
      <c r="H18" s="140" t="s">
        <v>2</v>
      </c>
      <c r="I18" s="140">
        <v>2</v>
      </c>
      <c r="J18" s="144"/>
      <c r="K18" s="144"/>
      <c r="L18" s="140"/>
      <c r="M18" s="230"/>
      <c r="N18" s="230"/>
      <c r="O18" s="230"/>
      <c r="P18" s="230"/>
      <c r="Q18" s="230"/>
      <c r="R18" s="230"/>
      <c r="S18" s="230"/>
      <c r="T18" s="230"/>
      <c r="U18" s="230"/>
      <c r="V18" s="230"/>
      <c r="W18" s="230"/>
      <c r="X18" s="230"/>
      <c r="Y18" s="230"/>
      <c r="Z18" s="231"/>
      <c r="AA18" s="82"/>
      <c r="AB18" s="5"/>
      <c r="AC18" s="6"/>
      <c r="AD18" s="6"/>
      <c r="AE18" s="46"/>
      <c r="AF18" s="57"/>
      <c r="AG18" s="134"/>
      <c r="AH18" s="56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</row>
    <row r="19" spans="2:92" ht="21.95" hidden="1" customHeight="1" x14ac:dyDescent="0.25">
      <c r="B19" s="139"/>
      <c r="C19" s="139">
        <v>1</v>
      </c>
      <c r="D19" s="139" t="str">
        <f t="shared" ref="D19:D24" si="6">F19&amp;"_"&amp;G19&amp;"_"&amp;H19&amp;"_"&amp;I19&amp;"_"&amp;$D$1</f>
        <v>SORTING_EAST_C/U_1_20</v>
      </c>
      <c r="E19" s="139" t="s">
        <v>35</v>
      </c>
      <c r="F19" s="138" t="s">
        <v>45</v>
      </c>
      <c r="G19" s="140" t="s">
        <v>18</v>
      </c>
      <c r="H19" s="140" t="s">
        <v>67</v>
      </c>
      <c r="I19" s="140">
        <v>1</v>
      </c>
      <c r="J19" s="139"/>
      <c r="K19" s="184">
        <f>COUNT(AA19:AZ19)</f>
        <v>3</v>
      </c>
      <c r="L19" s="140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30"/>
      <c r="Z19" s="231"/>
      <c r="AA19" s="82">
        <v>1</v>
      </c>
      <c r="AB19" s="5">
        <f>AA19+1</f>
        <v>2</v>
      </c>
      <c r="AC19" s="5">
        <f>AB19+1</f>
        <v>3</v>
      </c>
      <c r="AD19" s="180"/>
      <c r="AE19" s="3"/>
      <c r="AF19" s="31"/>
      <c r="AG19" s="86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</row>
    <row r="20" spans="2:92" ht="21.95" hidden="1" customHeight="1" x14ac:dyDescent="0.25">
      <c r="B20" s="139"/>
      <c r="C20" s="139">
        <v>2</v>
      </c>
      <c r="D20" s="139" t="str">
        <f t="shared" si="6"/>
        <v>TRANSFER_EAST_C/U_1_20</v>
      </c>
      <c r="E20" s="139" t="s">
        <v>21</v>
      </c>
      <c r="F20" s="138" t="s">
        <v>21</v>
      </c>
      <c r="G20" s="140" t="s">
        <v>18</v>
      </c>
      <c r="H20" s="140" t="s">
        <v>67</v>
      </c>
      <c r="I20" s="140">
        <v>1</v>
      </c>
      <c r="J20" s="139"/>
      <c r="K20" s="184">
        <f>COUNT(AA20:AZ20)</f>
        <v>4</v>
      </c>
      <c r="L20" s="14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231"/>
      <c r="AA20" s="82">
        <v>1</v>
      </c>
      <c r="AB20" s="5">
        <f t="shared" ref="AB20:AB21" si="7">AA20+1</f>
        <v>2</v>
      </c>
      <c r="AC20" s="5">
        <f t="shared" ref="AC20:AC21" si="8">AB20+1</f>
        <v>3</v>
      </c>
      <c r="AD20" s="5">
        <f t="shared" ref="AD20:AD21" si="9">AC20+1</f>
        <v>4</v>
      </c>
      <c r="AE20" s="180"/>
      <c r="AF20" s="181"/>
      <c r="AG20" s="23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</row>
    <row r="21" spans="2:92" ht="21.95" customHeight="1" x14ac:dyDescent="0.25">
      <c r="B21" s="139"/>
      <c r="C21" s="139">
        <v>3</v>
      </c>
      <c r="D21" s="139" t="str">
        <f t="shared" si="6"/>
        <v>PREPARE_EAST_C/U_1_20</v>
      </c>
      <c r="E21" s="139" t="s">
        <v>0</v>
      </c>
      <c r="F21" s="138" t="s">
        <v>46</v>
      </c>
      <c r="G21" s="140" t="s">
        <v>18</v>
      </c>
      <c r="H21" s="140" t="s">
        <v>67</v>
      </c>
      <c r="I21" s="140">
        <v>1</v>
      </c>
      <c r="J21" s="141"/>
      <c r="K21" s="184">
        <f>COUNT(M21:AZ21)</f>
        <v>20</v>
      </c>
      <c r="L21" s="140"/>
      <c r="M21" s="232">
        <v>1</v>
      </c>
      <c r="N21" s="232">
        <f>M21+1</f>
        <v>2</v>
      </c>
      <c r="O21" s="232">
        <f t="shared" ref="O21" si="10">N21+1</f>
        <v>3</v>
      </c>
      <c r="P21" s="232">
        <f t="shared" ref="P21" si="11">O21+1</f>
        <v>4</v>
      </c>
      <c r="Q21" s="232">
        <f t="shared" ref="Q21" si="12">P21+1</f>
        <v>5</v>
      </c>
      <c r="R21" s="232">
        <f t="shared" ref="R21" si="13">Q21+1</f>
        <v>6</v>
      </c>
      <c r="S21" s="232">
        <f t="shared" ref="S21" si="14">R21+1</f>
        <v>7</v>
      </c>
      <c r="T21" s="232">
        <f t="shared" ref="T21" si="15">S21+1</f>
        <v>8</v>
      </c>
      <c r="U21" s="232">
        <f t="shared" ref="U21" si="16">T21+1</f>
        <v>9</v>
      </c>
      <c r="V21" s="232">
        <f t="shared" ref="V21" si="17">U21+1</f>
        <v>10</v>
      </c>
      <c r="W21" s="232">
        <f t="shared" ref="W21" si="18">V21+1</f>
        <v>11</v>
      </c>
      <c r="X21" s="232">
        <f t="shared" ref="X21" si="19">W21+1</f>
        <v>12</v>
      </c>
      <c r="Y21" s="232">
        <f t="shared" ref="Y21" si="20">X21+1</f>
        <v>13</v>
      </c>
      <c r="Z21" s="232">
        <f t="shared" ref="Z21" si="21">Y21+1</f>
        <v>14</v>
      </c>
      <c r="AA21" s="5">
        <f t="shared" ref="AA21" si="22">Z21+1</f>
        <v>15</v>
      </c>
      <c r="AB21" s="5">
        <f t="shared" si="7"/>
        <v>16</v>
      </c>
      <c r="AC21" s="5">
        <f t="shared" si="8"/>
        <v>17</v>
      </c>
      <c r="AD21" s="5">
        <f t="shared" si="9"/>
        <v>18</v>
      </c>
      <c r="AE21" s="3">
        <f t="shared" ref="AE21" si="23">AD21+1</f>
        <v>19</v>
      </c>
      <c r="AF21" s="3">
        <f t="shared" ref="AF21" si="24">AE21+1</f>
        <v>20</v>
      </c>
      <c r="AG21" s="4"/>
      <c r="AH21" s="4"/>
      <c r="AI21" s="3"/>
      <c r="AJ21" s="3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</row>
    <row r="22" spans="2:92" ht="21.95" customHeight="1" x14ac:dyDescent="0.25">
      <c r="B22" s="139"/>
      <c r="C22" s="139">
        <v>4</v>
      </c>
      <c r="D22" s="139" t="str">
        <f t="shared" si="6"/>
        <v>SUPPLY_EAST_C/U_1_20</v>
      </c>
      <c r="E22" s="139" t="s">
        <v>0</v>
      </c>
      <c r="F22" s="142" t="s">
        <v>0</v>
      </c>
      <c r="G22" s="140" t="s">
        <v>18</v>
      </c>
      <c r="H22" s="140" t="s">
        <v>67</v>
      </c>
      <c r="I22" s="140">
        <v>1</v>
      </c>
      <c r="J22" s="143"/>
      <c r="K22" s="184">
        <f>COUNT(AG22:BT22)</f>
        <v>3</v>
      </c>
      <c r="L22" s="140"/>
      <c r="M22" s="230"/>
      <c r="N22" s="230"/>
      <c r="O22" s="230"/>
      <c r="P22" s="230"/>
      <c r="Q22" s="230"/>
      <c r="R22" s="230"/>
      <c r="S22" s="230"/>
      <c r="T22" s="230"/>
      <c r="U22" s="230"/>
      <c r="V22" s="230"/>
      <c r="W22" s="230"/>
      <c r="X22" s="230"/>
      <c r="Y22" s="230"/>
      <c r="Z22" s="231"/>
      <c r="AA22" s="8"/>
      <c r="AB22" s="3"/>
      <c r="AC22" s="3"/>
      <c r="AD22" s="3"/>
      <c r="AE22" s="3"/>
      <c r="AF22" s="31"/>
      <c r="AG22" s="179">
        <v>1</v>
      </c>
      <c r="AH22" s="5">
        <f>AG22+1</f>
        <v>2</v>
      </c>
      <c r="AI22" s="5">
        <f>AH22+1</f>
        <v>3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</row>
    <row r="23" spans="2:92" ht="21.95" customHeight="1" x14ac:dyDescent="0.25">
      <c r="B23" s="139"/>
      <c r="C23" s="140">
        <v>5</v>
      </c>
      <c r="D23" s="139" t="str">
        <f t="shared" si="6"/>
        <v>EMPTY_EAST_C/U_1_20</v>
      </c>
      <c r="E23" s="140" t="s">
        <v>0</v>
      </c>
      <c r="F23" s="142" t="s">
        <v>32</v>
      </c>
      <c r="G23" s="140" t="s">
        <v>18</v>
      </c>
      <c r="H23" s="140" t="s">
        <v>67</v>
      </c>
      <c r="I23" s="140">
        <v>1</v>
      </c>
      <c r="J23" s="139"/>
      <c r="K23" s="184">
        <f>COUNT(AG23:BT23)</f>
        <v>19</v>
      </c>
      <c r="L23" s="140"/>
      <c r="M23" s="230"/>
      <c r="N23" s="230"/>
      <c r="O23" s="230"/>
      <c r="P23" s="230"/>
      <c r="Q23" s="230"/>
      <c r="R23" s="230"/>
      <c r="S23" s="230"/>
      <c r="T23" s="230"/>
      <c r="U23" s="230"/>
      <c r="V23" s="230"/>
      <c r="W23" s="230"/>
      <c r="X23" s="230"/>
      <c r="Y23" s="230"/>
      <c r="Z23" s="231"/>
      <c r="AA23" s="8"/>
      <c r="AB23" s="3"/>
      <c r="AC23" s="3"/>
      <c r="AD23" s="3"/>
      <c r="AE23" s="3"/>
      <c r="AF23" s="31"/>
      <c r="AG23" s="179">
        <v>1</v>
      </c>
      <c r="AH23" s="5">
        <f t="shared" ref="AH23" si="25">AG23+1</f>
        <v>2</v>
      </c>
      <c r="AI23" s="5">
        <f t="shared" ref="AI23" si="26">AH23+1</f>
        <v>3</v>
      </c>
      <c r="AJ23" s="5">
        <f t="shared" ref="AJ23" si="27">AI23+1</f>
        <v>4</v>
      </c>
      <c r="AK23" s="5">
        <f t="shared" ref="AK23" si="28">AJ23+1</f>
        <v>5</v>
      </c>
      <c r="AL23" s="5">
        <f t="shared" ref="AL23" si="29">AK23+1</f>
        <v>6</v>
      </c>
      <c r="AM23" s="5">
        <f t="shared" ref="AM23" si="30">AL23+1</f>
        <v>7</v>
      </c>
      <c r="AN23" s="5">
        <f t="shared" ref="AN23" si="31">AM23+1</f>
        <v>8</v>
      </c>
      <c r="AO23" s="5">
        <f t="shared" ref="AO23" si="32">AN23+1</f>
        <v>9</v>
      </c>
      <c r="AP23" s="5">
        <f t="shared" ref="AP23" si="33">AO23+1</f>
        <v>10</v>
      </c>
      <c r="AQ23" s="5">
        <f t="shared" ref="AQ23" si="34">AP23+1</f>
        <v>11</v>
      </c>
      <c r="AR23" s="5">
        <f t="shared" ref="AR23" si="35">AQ23+1</f>
        <v>12</v>
      </c>
      <c r="AS23" s="5">
        <f t="shared" ref="AS23" si="36">AR23+1</f>
        <v>13</v>
      </c>
      <c r="AT23" s="5">
        <f t="shared" ref="AT23" si="37">AS23+1</f>
        <v>14</v>
      </c>
      <c r="AU23" s="5">
        <f t="shared" ref="AU23" si="38">AT23+1</f>
        <v>15</v>
      </c>
      <c r="AV23" s="5">
        <f t="shared" ref="AV23" si="39">AU23+1</f>
        <v>16</v>
      </c>
      <c r="AW23" s="5">
        <f t="shared" ref="AW23" si="40">AV23+1</f>
        <v>17</v>
      </c>
      <c r="AX23" s="5">
        <f t="shared" ref="AX23:AY23" si="41">AW23+1</f>
        <v>18</v>
      </c>
      <c r="AY23" s="5">
        <f t="shared" si="41"/>
        <v>19</v>
      </c>
      <c r="AZ23" s="46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</row>
    <row r="24" spans="2:92" ht="21.95" hidden="1" customHeight="1" x14ac:dyDescent="0.25">
      <c r="B24" s="139"/>
      <c r="C24" s="140">
        <v>6</v>
      </c>
      <c r="D24" s="139" t="str">
        <f t="shared" si="6"/>
        <v>COUNTDOWN_EAST_C/U_1_20</v>
      </c>
      <c r="E24" s="140"/>
      <c r="F24" s="142" t="s">
        <v>33</v>
      </c>
      <c r="G24" s="140" t="s">
        <v>18</v>
      </c>
      <c r="H24" s="140" t="s">
        <v>67</v>
      </c>
      <c r="I24" s="140">
        <v>1</v>
      </c>
      <c r="J24" s="144"/>
      <c r="K24" s="144"/>
      <c r="L24" s="140"/>
      <c r="M24" s="230"/>
      <c r="N24" s="230"/>
      <c r="O24" s="230"/>
      <c r="P24" s="230"/>
      <c r="Q24" s="230"/>
      <c r="R24" s="230"/>
      <c r="S24" s="230"/>
      <c r="T24" s="230"/>
      <c r="U24" s="230"/>
      <c r="V24" s="230"/>
      <c r="W24" s="230"/>
      <c r="X24" s="230"/>
      <c r="Y24" s="230"/>
      <c r="Z24" s="231"/>
      <c r="AA24" s="82"/>
      <c r="AB24" s="5"/>
      <c r="AC24" s="6"/>
      <c r="AD24" s="6"/>
      <c r="AE24" s="46"/>
      <c r="AF24" s="57"/>
      <c r="AG24" s="134"/>
      <c r="AH24" s="56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</row>
    <row r="25" spans="2:92" ht="21.95" hidden="1" customHeight="1" x14ac:dyDescent="0.25">
      <c r="B25" s="139">
        <v>3</v>
      </c>
      <c r="C25" s="139">
        <v>1</v>
      </c>
      <c r="D25" s="139" t="str">
        <f t="shared" si="0"/>
        <v>SORTING_EAST_C_2_20</v>
      </c>
      <c r="E25" s="139" t="s">
        <v>35</v>
      </c>
      <c r="F25" s="138" t="s">
        <v>45</v>
      </c>
      <c r="G25" s="140" t="s">
        <v>18</v>
      </c>
      <c r="H25" s="140" t="s">
        <v>4</v>
      </c>
      <c r="I25" s="140">
        <v>2</v>
      </c>
      <c r="J25" s="139"/>
      <c r="K25" s="184">
        <f>COUNT(AA25:AZ25)</f>
        <v>4</v>
      </c>
      <c r="L25" s="139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230"/>
      <c r="Z25" s="231"/>
      <c r="AA25" s="82">
        <v>1</v>
      </c>
      <c r="AB25" s="5">
        <f t="shared" ref="AB25:AQ29" si="42">AA25+1</f>
        <v>2</v>
      </c>
      <c r="AC25" s="5">
        <f t="shared" si="42"/>
        <v>3</v>
      </c>
      <c r="AD25" s="5">
        <f t="shared" si="42"/>
        <v>4</v>
      </c>
      <c r="AE25" s="180"/>
      <c r="AF25" s="181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</row>
    <row r="26" spans="2:92" ht="21.95" hidden="1" customHeight="1" x14ac:dyDescent="0.25">
      <c r="B26" s="139">
        <v>3</v>
      </c>
      <c r="C26" s="139">
        <v>2</v>
      </c>
      <c r="D26" s="139" t="str">
        <f t="shared" si="0"/>
        <v>TRANSFER_EAST_C_2_20</v>
      </c>
      <c r="E26" s="139" t="s">
        <v>21</v>
      </c>
      <c r="F26" s="138" t="s">
        <v>21</v>
      </c>
      <c r="G26" s="140" t="s">
        <v>18</v>
      </c>
      <c r="H26" s="140" t="s">
        <v>4</v>
      </c>
      <c r="I26" s="140">
        <v>2</v>
      </c>
      <c r="J26" s="139"/>
      <c r="K26" s="184">
        <f>COUNT(AA26:AZ26)</f>
        <v>6</v>
      </c>
      <c r="L26" s="139"/>
      <c r="M26" s="230"/>
      <c r="N26" s="230"/>
      <c r="O26" s="230"/>
      <c r="P26" s="230"/>
      <c r="Q26" s="230"/>
      <c r="R26" s="230"/>
      <c r="S26" s="230"/>
      <c r="T26" s="230"/>
      <c r="U26" s="230"/>
      <c r="V26" s="230"/>
      <c r="W26" s="230"/>
      <c r="X26" s="230"/>
      <c r="Y26" s="230"/>
      <c r="Z26" s="231"/>
      <c r="AA26" s="82">
        <v>1</v>
      </c>
      <c r="AB26" s="5">
        <f t="shared" si="42"/>
        <v>2</v>
      </c>
      <c r="AC26" s="5">
        <f t="shared" si="42"/>
        <v>3</v>
      </c>
      <c r="AD26" s="5">
        <f t="shared" si="42"/>
        <v>4</v>
      </c>
      <c r="AE26" s="5">
        <f t="shared" si="42"/>
        <v>5</v>
      </c>
      <c r="AF26" s="5">
        <f t="shared" si="42"/>
        <v>6</v>
      </c>
      <c r="AG26" s="180"/>
      <c r="AH26" s="180"/>
      <c r="AI26" s="180"/>
      <c r="AJ26" s="3"/>
      <c r="AK26" s="3"/>
      <c r="AL26" s="3"/>
      <c r="AM26" s="3"/>
      <c r="AN26" s="3"/>
      <c r="AO26" s="3"/>
      <c r="AP26" s="3"/>
      <c r="AQ26" s="183"/>
      <c r="AR26" s="3"/>
      <c r="AS26" s="3"/>
      <c r="AT26" s="3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</row>
    <row r="27" spans="2:92" ht="21.95" customHeight="1" x14ac:dyDescent="0.25">
      <c r="B27" s="139">
        <v>3</v>
      </c>
      <c r="C27" s="139">
        <v>3</v>
      </c>
      <c r="D27" s="139" t="str">
        <f t="shared" si="0"/>
        <v>PREPARE_EAST_C_2_20</v>
      </c>
      <c r="E27" s="139" t="s">
        <v>0</v>
      </c>
      <c r="F27" s="138" t="s">
        <v>46</v>
      </c>
      <c r="G27" s="140" t="s">
        <v>18</v>
      </c>
      <c r="H27" s="140" t="s">
        <v>4</v>
      </c>
      <c r="I27" s="140">
        <v>2</v>
      </c>
      <c r="J27" s="141"/>
      <c r="K27" s="184">
        <f>COUNT(M27:AZ27)</f>
        <v>22</v>
      </c>
      <c r="L27" s="139"/>
      <c r="M27" s="232">
        <v>1</v>
      </c>
      <c r="N27" s="232">
        <f>M27+1</f>
        <v>2</v>
      </c>
      <c r="O27" s="232">
        <f t="shared" ref="O27:AA27" si="43">N27+1</f>
        <v>3</v>
      </c>
      <c r="P27" s="232">
        <f t="shared" si="43"/>
        <v>4</v>
      </c>
      <c r="Q27" s="232">
        <f t="shared" si="43"/>
        <v>5</v>
      </c>
      <c r="R27" s="232">
        <f t="shared" si="43"/>
        <v>6</v>
      </c>
      <c r="S27" s="232">
        <f t="shared" si="43"/>
        <v>7</v>
      </c>
      <c r="T27" s="232">
        <f t="shared" si="43"/>
        <v>8</v>
      </c>
      <c r="U27" s="232">
        <f t="shared" si="43"/>
        <v>9</v>
      </c>
      <c r="V27" s="232">
        <f t="shared" si="43"/>
        <v>10</v>
      </c>
      <c r="W27" s="232">
        <f t="shared" si="43"/>
        <v>11</v>
      </c>
      <c r="X27" s="232">
        <f t="shared" si="43"/>
        <v>12</v>
      </c>
      <c r="Y27" s="232">
        <f t="shared" si="43"/>
        <v>13</v>
      </c>
      <c r="Z27" s="232">
        <f t="shared" si="43"/>
        <v>14</v>
      </c>
      <c r="AA27" s="232">
        <f t="shared" si="43"/>
        <v>15</v>
      </c>
      <c r="AB27" s="232">
        <f t="shared" si="42"/>
        <v>16</v>
      </c>
      <c r="AC27" s="232">
        <f t="shared" si="42"/>
        <v>17</v>
      </c>
      <c r="AD27" s="232">
        <f t="shared" si="42"/>
        <v>18</v>
      </c>
      <c r="AE27" s="232">
        <f t="shared" si="42"/>
        <v>19</v>
      </c>
      <c r="AF27" s="232">
        <f t="shared" si="42"/>
        <v>20</v>
      </c>
      <c r="AG27" s="232">
        <f t="shared" si="42"/>
        <v>21</v>
      </c>
      <c r="AH27" s="232">
        <f t="shared" si="42"/>
        <v>22</v>
      </c>
      <c r="AI27" s="4"/>
      <c r="AJ27" s="4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</row>
    <row r="28" spans="2:92" ht="21.95" customHeight="1" x14ac:dyDescent="0.25">
      <c r="B28" s="139">
        <v>3</v>
      </c>
      <c r="C28" s="139">
        <v>4</v>
      </c>
      <c r="D28" s="139" t="str">
        <f t="shared" si="0"/>
        <v>SUPPLY_EAST_C_2_20</v>
      </c>
      <c r="E28" s="139" t="s">
        <v>0</v>
      </c>
      <c r="F28" s="142" t="s">
        <v>0</v>
      </c>
      <c r="G28" s="140" t="s">
        <v>18</v>
      </c>
      <c r="H28" s="140" t="s">
        <v>4</v>
      </c>
      <c r="I28" s="140">
        <v>2</v>
      </c>
      <c r="J28" s="143"/>
      <c r="K28" s="184">
        <f>COUNT(AG28:BT28)</f>
        <v>4</v>
      </c>
      <c r="L28" s="140"/>
      <c r="M28" s="230"/>
      <c r="N28" s="230"/>
      <c r="O28" s="230"/>
      <c r="P28" s="230"/>
      <c r="Q28" s="230"/>
      <c r="R28" s="230"/>
      <c r="S28" s="230"/>
      <c r="T28" s="230"/>
      <c r="U28" s="230"/>
      <c r="V28" s="230"/>
      <c r="W28" s="230"/>
      <c r="X28" s="230"/>
      <c r="Y28" s="230"/>
      <c r="Z28" s="231"/>
      <c r="AA28" s="8"/>
      <c r="AB28" s="3"/>
      <c r="AC28" s="3"/>
      <c r="AD28" s="3"/>
      <c r="AE28" s="3"/>
      <c r="AF28" s="31"/>
      <c r="AG28" s="179">
        <v>1</v>
      </c>
      <c r="AH28" s="5">
        <f t="shared" si="42"/>
        <v>2</v>
      </c>
      <c r="AI28" s="5">
        <f t="shared" si="42"/>
        <v>3</v>
      </c>
      <c r="AJ28" s="5">
        <f t="shared" si="42"/>
        <v>4</v>
      </c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</row>
    <row r="29" spans="2:92" ht="21.95" customHeight="1" x14ac:dyDescent="0.25">
      <c r="B29" s="139">
        <v>3</v>
      </c>
      <c r="C29" s="140">
        <v>5</v>
      </c>
      <c r="D29" s="139" t="str">
        <f t="shared" si="0"/>
        <v>EMPTY_EAST_C_2_20</v>
      </c>
      <c r="E29" s="140" t="s">
        <v>0</v>
      </c>
      <c r="F29" s="142" t="s">
        <v>32</v>
      </c>
      <c r="G29" s="140" t="s">
        <v>18</v>
      </c>
      <c r="H29" s="140" t="s">
        <v>4</v>
      </c>
      <c r="I29" s="140">
        <v>2</v>
      </c>
      <c r="J29" s="139"/>
      <c r="K29" s="184">
        <f>COUNT(AG29:BT29)</f>
        <v>20</v>
      </c>
      <c r="L29" s="139"/>
      <c r="M29" s="230"/>
      <c r="N29" s="230"/>
      <c r="O29" s="230"/>
      <c r="P29" s="230"/>
      <c r="Q29" s="230"/>
      <c r="R29" s="230"/>
      <c r="S29" s="230"/>
      <c r="T29" s="230"/>
      <c r="U29" s="230"/>
      <c r="V29" s="230"/>
      <c r="W29" s="230"/>
      <c r="X29" s="230"/>
      <c r="Y29" s="230"/>
      <c r="Z29" s="231"/>
      <c r="AA29" s="8"/>
      <c r="AB29" s="3"/>
      <c r="AC29" s="3"/>
      <c r="AD29" s="3"/>
      <c r="AE29" s="3"/>
      <c r="AF29" s="31"/>
      <c r="AG29" s="179">
        <v>1</v>
      </c>
      <c r="AH29" s="5">
        <f t="shared" si="42"/>
        <v>2</v>
      </c>
      <c r="AI29" s="5">
        <f t="shared" si="42"/>
        <v>3</v>
      </c>
      <c r="AJ29" s="5">
        <f t="shared" si="42"/>
        <v>4</v>
      </c>
      <c r="AK29" s="5">
        <f t="shared" si="42"/>
        <v>5</v>
      </c>
      <c r="AL29" s="5">
        <f t="shared" si="42"/>
        <v>6</v>
      </c>
      <c r="AM29" s="5">
        <f t="shared" si="42"/>
        <v>7</v>
      </c>
      <c r="AN29" s="5">
        <f t="shared" si="42"/>
        <v>8</v>
      </c>
      <c r="AO29" s="5">
        <f t="shared" si="42"/>
        <v>9</v>
      </c>
      <c r="AP29" s="5">
        <f t="shared" si="42"/>
        <v>10</v>
      </c>
      <c r="AQ29" s="5">
        <f t="shared" si="42"/>
        <v>11</v>
      </c>
      <c r="AR29" s="5">
        <f t="shared" ref="AR29:AZ29" si="44">AQ29+1</f>
        <v>12</v>
      </c>
      <c r="AS29" s="5">
        <f t="shared" si="44"/>
        <v>13</v>
      </c>
      <c r="AT29" s="5">
        <f t="shared" si="44"/>
        <v>14</v>
      </c>
      <c r="AU29" s="5">
        <f t="shared" si="44"/>
        <v>15</v>
      </c>
      <c r="AV29" s="5">
        <f t="shared" si="44"/>
        <v>16</v>
      </c>
      <c r="AW29" s="5">
        <f t="shared" si="44"/>
        <v>17</v>
      </c>
      <c r="AX29" s="5">
        <f t="shared" si="44"/>
        <v>18</v>
      </c>
      <c r="AY29" s="5">
        <f t="shared" si="44"/>
        <v>19</v>
      </c>
      <c r="AZ29" s="5">
        <f t="shared" si="44"/>
        <v>20</v>
      </c>
      <c r="BA29" s="46"/>
      <c r="BB29" s="4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</row>
    <row r="30" spans="2:92" ht="21.95" hidden="1" customHeight="1" x14ac:dyDescent="0.25">
      <c r="B30" s="139">
        <v>3</v>
      </c>
      <c r="C30" s="140">
        <v>6</v>
      </c>
      <c r="D30" s="139" t="str">
        <f t="shared" si="0"/>
        <v>COUNTDOWN_EAST_C_2_20</v>
      </c>
      <c r="E30" s="140"/>
      <c r="F30" s="142" t="s">
        <v>33</v>
      </c>
      <c r="G30" s="140" t="s">
        <v>18</v>
      </c>
      <c r="H30" s="140" t="s">
        <v>4</v>
      </c>
      <c r="I30" s="140">
        <v>2</v>
      </c>
      <c r="J30" s="144"/>
      <c r="K30" s="144"/>
      <c r="L30" s="140"/>
      <c r="M30" s="230"/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30"/>
      <c r="Z30" s="231"/>
      <c r="AA30" s="82"/>
      <c r="AB30" s="5"/>
      <c r="AC30" s="5"/>
      <c r="AD30" s="5"/>
      <c r="AE30" s="5"/>
      <c r="AF30" s="6"/>
      <c r="AG30" s="28"/>
      <c r="AH30" s="133"/>
      <c r="AI30" s="46"/>
      <c r="AJ30" s="56"/>
      <c r="AK30" s="56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</row>
    <row r="31" spans="2:92" ht="21.95" hidden="1" customHeight="1" x14ac:dyDescent="0.25">
      <c r="B31" s="139">
        <v>4</v>
      </c>
      <c r="C31" s="139">
        <v>1</v>
      </c>
      <c r="D31" s="139" t="str">
        <f t="shared" si="0"/>
        <v>SORTING_EAST_I_1_20</v>
      </c>
      <c r="E31" s="139" t="s">
        <v>35</v>
      </c>
      <c r="F31" s="138" t="s">
        <v>45</v>
      </c>
      <c r="G31" s="140" t="s">
        <v>18</v>
      </c>
      <c r="H31" s="140" t="s">
        <v>10</v>
      </c>
      <c r="I31" s="140">
        <v>1</v>
      </c>
      <c r="J31" s="139"/>
      <c r="K31" s="184">
        <f>COUNT(AA31:AZ31)</f>
        <v>6</v>
      </c>
      <c r="L31" s="139"/>
      <c r="M31" s="230"/>
      <c r="N31" s="230"/>
      <c r="O31" s="230"/>
      <c r="P31" s="230"/>
      <c r="Q31" s="230"/>
      <c r="R31" s="230"/>
      <c r="S31" s="230"/>
      <c r="T31" s="230"/>
      <c r="U31" s="230"/>
      <c r="V31" s="230"/>
      <c r="W31" s="230"/>
      <c r="X31" s="230"/>
      <c r="Y31" s="230"/>
      <c r="Z31" s="231"/>
      <c r="AA31" s="82">
        <v>1</v>
      </c>
      <c r="AB31" s="5">
        <f t="shared" ref="AB31:AQ35" si="45">AA31+1</f>
        <v>2</v>
      </c>
      <c r="AC31" s="5">
        <f t="shared" si="45"/>
        <v>3</v>
      </c>
      <c r="AD31" s="5">
        <f t="shared" si="45"/>
        <v>4</v>
      </c>
      <c r="AE31" s="5">
        <f t="shared" si="45"/>
        <v>5</v>
      </c>
      <c r="AF31" s="5">
        <f t="shared" si="45"/>
        <v>6</v>
      </c>
      <c r="AG31" s="182"/>
      <c r="AH31" s="180"/>
      <c r="AI31" s="180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</row>
    <row r="32" spans="2:92" ht="21.95" hidden="1" customHeight="1" x14ac:dyDescent="0.25">
      <c r="B32" s="139">
        <v>4</v>
      </c>
      <c r="C32" s="139">
        <v>2</v>
      </c>
      <c r="D32" s="139" t="str">
        <f t="shared" si="0"/>
        <v>TRANSFER_EAST_I_1_20</v>
      </c>
      <c r="E32" s="139" t="s">
        <v>21</v>
      </c>
      <c r="F32" s="138" t="s">
        <v>21</v>
      </c>
      <c r="G32" s="140" t="s">
        <v>18</v>
      </c>
      <c r="H32" s="140" t="s">
        <v>10</v>
      </c>
      <c r="I32" s="140">
        <v>1</v>
      </c>
      <c r="J32" s="139"/>
      <c r="K32" s="184">
        <f>COUNT(AA32:AZ32)</f>
        <v>9</v>
      </c>
      <c r="L32" s="139"/>
      <c r="M32" s="230"/>
      <c r="N32" s="230"/>
      <c r="O32" s="230"/>
      <c r="P32" s="230"/>
      <c r="Q32" s="230"/>
      <c r="R32" s="230"/>
      <c r="S32" s="230"/>
      <c r="T32" s="230"/>
      <c r="U32" s="230"/>
      <c r="V32" s="230"/>
      <c r="W32" s="230"/>
      <c r="X32" s="230"/>
      <c r="Y32" s="230"/>
      <c r="Z32" s="231"/>
      <c r="AA32" s="82">
        <v>1</v>
      </c>
      <c r="AB32" s="5">
        <f t="shared" si="45"/>
        <v>2</v>
      </c>
      <c r="AC32" s="5">
        <f t="shared" si="45"/>
        <v>3</v>
      </c>
      <c r="AD32" s="5">
        <f t="shared" si="45"/>
        <v>4</v>
      </c>
      <c r="AE32" s="5">
        <f t="shared" si="45"/>
        <v>5</v>
      </c>
      <c r="AF32" s="5">
        <f t="shared" si="45"/>
        <v>6</v>
      </c>
      <c r="AG32" s="5">
        <f t="shared" si="45"/>
        <v>7</v>
      </c>
      <c r="AH32" s="5">
        <f t="shared" si="45"/>
        <v>8</v>
      </c>
      <c r="AI32" s="5">
        <f t="shared" si="45"/>
        <v>9</v>
      </c>
      <c r="AJ32" s="180"/>
      <c r="AK32" s="180"/>
      <c r="AL32" s="180"/>
      <c r="AM32" s="3"/>
      <c r="AN32" s="3"/>
      <c r="AO32" s="3"/>
      <c r="AP32" s="3"/>
      <c r="AQ32" s="3"/>
      <c r="AR32" s="3"/>
      <c r="AS32" s="3"/>
      <c r="AT32" s="3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</row>
    <row r="33" spans="2:92" ht="21.95" customHeight="1" x14ac:dyDescent="0.25">
      <c r="B33" s="139">
        <v>4</v>
      </c>
      <c r="C33" s="139">
        <v>3</v>
      </c>
      <c r="D33" s="139" t="str">
        <f t="shared" si="0"/>
        <v>PREPARE_EAST_I_1_20</v>
      </c>
      <c r="E33" s="139" t="s">
        <v>0</v>
      </c>
      <c r="F33" s="138" t="s">
        <v>46</v>
      </c>
      <c r="G33" s="140" t="s">
        <v>18</v>
      </c>
      <c r="H33" s="140" t="s">
        <v>10</v>
      </c>
      <c r="I33" s="140">
        <v>1</v>
      </c>
      <c r="J33" s="141"/>
      <c r="K33" s="184">
        <f>COUNT(M33:AZ33)</f>
        <v>24</v>
      </c>
      <c r="L33" s="139"/>
      <c r="M33" s="232">
        <v>1</v>
      </c>
      <c r="N33" s="232">
        <f>M33+1</f>
        <v>2</v>
      </c>
      <c r="O33" s="232">
        <f t="shared" ref="O33:AA33" si="46">N33+1</f>
        <v>3</v>
      </c>
      <c r="P33" s="232">
        <f t="shared" si="46"/>
        <v>4</v>
      </c>
      <c r="Q33" s="232">
        <f t="shared" si="46"/>
        <v>5</v>
      </c>
      <c r="R33" s="232">
        <f t="shared" si="46"/>
        <v>6</v>
      </c>
      <c r="S33" s="232">
        <f t="shared" si="46"/>
        <v>7</v>
      </c>
      <c r="T33" s="232">
        <f t="shared" si="46"/>
        <v>8</v>
      </c>
      <c r="U33" s="232">
        <f t="shared" si="46"/>
        <v>9</v>
      </c>
      <c r="V33" s="232">
        <f t="shared" si="46"/>
        <v>10</v>
      </c>
      <c r="W33" s="232">
        <f t="shared" si="46"/>
        <v>11</v>
      </c>
      <c r="X33" s="232">
        <f t="shared" si="46"/>
        <v>12</v>
      </c>
      <c r="Y33" s="232">
        <f t="shared" si="46"/>
        <v>13</v>
      </c>
      <c r="Z33" s="232">
        <f t="shared" si="46"/>
        <v>14</v>
      </c>
      <c r="AA33" s="5">
        <f t="shared" si="46"/>
        <v>15</v>
      </c>
      <c r="AB33" s="5">
        <f t="shared" si="45"/>
        <v>16</v>
      </c>
      <c r="AC33" s="5">
        <f t="shared" si="45"/>
        <v>17</v>
      </c>
      <c r="AD33" s="5">
        <f t="shared" si="45"/>
        <v>18</v>
      </c>
      <c r="AE33" s="3">
        <f t="shared" si="45"/>
        <v>19</v>
      </c>
      <c r="AF33" s="3">
        <f t="shared" si="45"/>
        <v>20</v>
      </c>
      <c r="AG33" s="5">
        <f t="shared" si="45"/>
        <v>21</v>
      </c>
      <c r="AH33" s="5">
        <f t="shared" si="45"/>
        <v>22</v>
      </c>
      <c r="AI33" s="5">
        <f t="shared" si="45"/>
        <v>23</v>
      </c>
      <c r="AJ33" s="5">
        <f t="shared" si="45"/>
        <v>24</v>
      </c>
      <c r="AK33" s="4"/>
      <c r="AL33" s="4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</row>
    <row r="34" spans="2:92" ht="21.75" customHeight="1" x14ac:dyDescent="0.25">
      <c r="B34" s="139">
        <v>4</v>
      </c>
      <c r="C34" s="139">
        <v>4</v>
      </c>
      <c r="D34" s="139" t="str">
        <f t="shared" si="0"/>
        <v>SUPPLY_EAST_I_1_20</v>
      </c>
      <c r="E34" s="139" t="s">
        <v>0</v>
      </c>
      <c r="F34" s="142" t="s">
        <v>0</v>
      </c>
      <c r="G34" s="140" t="s">
        <v>18</v>
      </c>
      <c r="H34" s="140" t="s">
        <v>10</v>
      </c>
      <c r="I34" s="140">
        <v>1</v>
      </c>
      <c r="J34" s="143"/>
      <c r="K34" s="184">
        <f>COUNT(AG34:BT34)</f>
        <v>6</v>
      </c>
      <c r="L34" s="140"/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1"/>
      <c r="AA34" s="8"/>
      <c r="AB34" s="3"/>
      <c r="AC34" s="3"/>
      <c r="AD34" s="3"/>
      <c r="AE34" s="3"/>
      <c r="AF34" s="31"/>
      <c r="AG34" s="179">
        <v>1</v>
      </c>
      <c r="AH34" s="5">
        <f t="shared" si="45"/>
        <v>2</v>
      </c>
      <c r="AI34" s="5">
        <f t="shared" si="45"/>
        <v>3</v>
      </c>
      <c r="AJ34" s="5">
        <f t="shared" si="45"/>
        <v>4</v>
      </c>
      <c r="AK34" s="5">
        <f t="shared" si="45"/>
        <v>5</v>
      </c>
      <c r="AL34" s="5">
        <f t="shared" si="45"/>
        <v>6</v>
      </c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</row>
    <row r="35" spans="2:92" ht="21.95" customHeight="1" x14ac:dyDescent="0.25">
      <c r="B35" s="139">
        <v>4</v>
      </c>
      <c r="C35" s="140">
        <v>5</v>
      </c>
      <c r="D35" s="139" t="str">
        <f t="shared" si="0"/>
        <v>EMPTY_EAST_I_1_20</v>
      </c>
      <c r="E35" s="140" t="s">
        <v>0</v>
      </c>
      <c r="F35" s="142" t="s">
        <v>32</v>
      </c>
      <c r="G35" s="140" t="s">
        <v>18</v>
      </c>
      <c r="H35" s="140" t="s">
        <v>10</v>
      </c>
      <c r="I35" s="140">
        <v>1</v>
      </c>
      <c r="J35" s="139"/>
      <c r="K35" s="184">
        <f>COUNT(AG35:BT35)</f>
        <v>22</v>
      </c>
      <c r="L35" s="139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1"/>
      <c r="AA35" s="8"/>
      <c r="AB35" s="3"/>
      <c r="AC35" s="3"/>
      <c r="AD35" s="3"/>
      <c r="AE35" s="3"/>
      <c r="AF35" s="31"/>
      <c r="AG35" s="179">
        <v>1</v>
      </c>
      <c r="AH35" s="5">
        <f t="shared" si="45"/>
        <v>2</v>
      </c>
      <c r="AI35" s="5">
        <f t="shared" si="45"/>
        <v>3</v>
      </c>
      <c r="AJ35" s="5">
        <f t="shared" si="45"/>
        <v>4</v>
      </c>
      <c r="AK35" s="5">
        <f t="shared" si="45"/>
        <v>5</v>
      </c>
      <c r="AL35" s="5">
        <f t="shared" si="45"/>
        <v>6</v>
      </c>
      <c r="AM35" s="5">
        <f t="shared" si="45"/>
        <v>7</v>
      </c>
      <c r="AN35" s="5">
        <f t="shared" si="45"/>
        <v>8</v>
      </c>
      <c r="AO35" s="5">
        <f t="shared" si="45"/>
        <v>9</v>
      </c>
      <c r="AP35" s="5">
        <f t="shared" si="45"/>
        <v>10</v>
      </c>
      <c r="AQ35" s="5">
        <f t="shared" si="45"/>
        <v>11</v>
      </c>
      <c r="AR35" s="5">
        <f t="shared" ref="AR35:BB35" si="47">AQ35+1</f>
        <v>12</v>
      </c>
      <c r="AS35" s="5">
        <f t="shared" si="47"/>
        <v>13</v>
      </c>
      <c r="AT35" s="5">
        <f t="shared" si="47"/>
        <v>14</v>
      </c>
      <c r="AU35" s="5">
        <f t="shared" si="47"/>
        <v>15</v>
      </c>
      <c r="AV35" s="5">
        <f t="shared" si="47"/>
        <v>16</v>
      </c>
      <c r="AW35" s="5">
        <f t="shared" si="47"/>
        <v>17</v>
      </c>
      <c r="AX35" s="5">
        <f t="shared" si="47"/>
        <v>18</v>
      </c>
      <c r="AY35" s="5">
        <f t="shared" si="47"/>
        <v>19</v>
      </c>
      <c r="AZ35" s="5">
        <f t="shared" si="47"/>
        <v>20</v>
      </c>
      <c r="BA35" s="5">
        <f t="shared" si="47"/>
        <v>21</v>
      </c>
      <c r="BB35" s="5">
        <f t="shared" si="47"/>
        <v>22</v>
      </c>
      <c r="BC35" s="46"/>
      <c r="BD35" s="4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</row>
    <row r="36" spans="2:92" ht="21.95" hidden="1" customHeight="1" x14ac:dyDescent="0.25">
      <c r="B36" s="139">
        <v>4</v>
      </c>
      <c r="C36" s="140">
        <v>6</v>
      </c>
      <c r="D36" s="139" t="str">
        <f t="shared" si="0"/>
        <v>COUNTDOWN_EAST_I_1_20</v>
      </c>
      <c r="E36" s="140"/>
      <c r="F36" s="142" t="s">
        <v>33</v>
      </c>
      <c r="G36" s="140" t="s">
        <v>18</v>
      </c>
      <c r="H36" s="140" t="s">
        <v>10</v>
      </c>
      <c r="I36" s="140">
        <v>1</v>
      </c>
      <c r="J36" s="144"/>
      <c r="K36" s="144"/>
      <c r="L36" s="140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1"/>
      <c r="AA36" s="82"/>
      <c r="AB36" s="5"/>
      <c r="AC36" s="5"/>
      <c r="AD36" s="5"/>
      <c r="AE36" s="5"/>
      <c r="AF36" s="64"/>
      <c r="AG36" s="64"/>
      <c r="AH36" s="132"/>
      <c r="AI36" s="6"/>
      <c r="AJ36" s="46"/>
      <c r="AK36" s="46"/>
      <c r="AL36" s="56"/>
      <c r="AM36" s="56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</row>
    <row r="37" spans="2:92" ht="21.95" hidden="1" customHeight="1" x14ac:dyDescent="0.25">
      <c r="B37" s="139">
        <v>5</v>
      </c>
      <c r="C37" s="139">
        <v>1</v>
      </c>
      <c r="D37" s="139" t="str">
        <f t="shared" si="0"/>
        <v>SORTING_EAST_G_2_20</v>
      </c>
      <c r="E37" s="139" t="s">
        <v>35</v>
      </c>
      <c r="F37" s="138" t="s">
        <v>45</v>
      </c>
      <c r="G37" s="140" t="s">
        <v>18</v>
      </c>
      <c r="H37" s="140" t="s">
        <v>8</v>
      </c>
      <c r="I37" s="140">
        <v>2</v>
      </c>
      <c r="J37" s="139"/>
      <c r="K37" s="184">
        <f>COUNT(AA37:AZ37)</f>
        <v>9</v>
      </c>
      <c r="L37" s="139"/>
      <c r="M37" s="230"/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31"/>
      <c r="AA37" s="82">
        <v>1</v>
      </c>
      <c r="AB37" s="5">
        <f t="shared" ref="AB37:AQ41" si="48">AA37+1</f>
        <v>2</v>
      </c>
      <c r="AC37" s="5">
        <f t="shared" si="48"/>
        <v>3</v>
      </c>
      <c r="AD37" s="5">
        <f t="shared" si="48"/>
        <v>4</v>
      </c>
      <c r="AE37" s="5">
        <f t="shared" si="48"/>
        <v>5</v>
      </c>
      <c r="AF37" s="5">
        <f t="shared" si="48"/>
        <v>6</v>
      </c>
      <c r="AG37" s="5">
        <f t="shared" si="48"/>
        <v>7</v>
      </c>
      <c r="AH37" s="5">
        <f t="shared" si="48"/>
        <v>8</v>
      </c>
      <c r="AI37" s="5">
        <f t="shared" si="48"/>
        <v>9</v>
      </c>
      <c r="AJ37" s="180"/>
      <c r="AK37" s="180"/>
      <c r="AL37" s="180"/>
      <c r="AM37" s="3"/>
      <c r="AN37" s="3"/>
      <c r="AO37" s="3"/>
      <c r="AP37" s="3"/>
      <c r="AQ37" s="3"/>
      <c r="AR37" s="3"/>
      <c r="AS37" s="3"/>
      <c r="AT37" s="3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</row>
    <row r="38" spans="2:92" ht="21.95" hidden="1" customHeight="1" x14ac:dyDescent="0.25">
      <c r="B38" s="139">
        <v>5</v>
      </c>
      <c r="C38" s="139">
        <v>2</v>
      </c>
      <c r="D38" s="139" t="str">
        <f t="shared" si="0"/>
        <v>TRANSFER_EAST_G_2_20</v>
      </c>
      <c r="E38" s="139" t="s">
        <v>21</v>
      </c>
      <c r="F38" s="138" t="s">
        <v>21</v>
      </c>
      <c r="G38" s="140" t="s">
        <v>18</v>
      </c>
      <c r="H38" s="140" t="s">
        <v>8</v>
      </c>
      <c r="I38" s="140">
        <v>2</v>
      </c>
      <c r="J38" s="139"/>
      <c r="K38" s="184">
        <f>COUNT(AA38:AZ38)</f>
        <v>12</v>
      </c>
      <c r="L38" s="139"/>
      <c r="M38" s="230"/>
      <c r="N38" s="230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  <c r="Z38" s="231"/>
      <c r="AA38" s="82">
        <v>1</v>
      </c>
      <c r="AB38" s="5">
        <f t="shared" si="48"/>
        <v>2</v>
      </c>
      <c r="AC38" s="5">
        <f t="shared" si="48"/>
        <v>3</v>
      </c>
      <c r="AD38" s="5">
        <f t="shared" si="48"/>
        <v>4</v>
      </c>
      <c r="AE38" s="5">
        <f t="shared" si="48"/>
        <v>5</v>
      </c>
      <c r="AF38" s="5">
        <f t="shared" si="48"/>
        <v>6</v>
      </c>
      <c r="AG38" s="5">
        <f t="shared" si="48"/>
        <v>7</v>
      </c>
      <c r="AH38" s="5">
        <f t="shared" si="48"/>
        <v>8</v>
      </c>
      <c r="AI38" s="5">
        <f t="shared" si="48"/>
        <v>9</v>
      </c>
      <c r="AJ38" s="5">
        <f t="shared" si="48"/>
        <v>10</v>
      </c>
      <c r="AK38" s="5">
        <f t="shared" si="48"/>
        <v>11</v>
      </c>
      <c r="AL38" s="5">
        <f t="shared" si="48"/>
        <v>12</v>
      </c>
      <c r="AM38" s="180"/>
      <c r="AN38" s="180"/>
      <c r="AO38" s="3"/>
      <c r="AP38" s="3"/>
      <c r="AQ38" s="3"/>
      <c r="AR38" s="3"/>
      <c r="AS38" s="3"/>
      <c r="AT38" s="3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</row>
    <row r="39" spans="2:92" ht="21.95" customHeight="1" x14ac:dyDescent="0.25">
      <c r="B39" s="139">
        <v>5</v>
      </c>
      <c r="C39" s="139">
        <v>3</v>
      </c>
      <c r="D39" s="139" t="str">
        <f t="shared" si="0"/>
        <v>PREPARE_EAST_G_2_20</v>
      </c>
      <c r="E39" s="139" t="s">
        <v>0</v>
      </c>
      <c r="F39" s="138" t="s">
        <v>46</v>
      </c>
      <c r="G39" s="140" t="s">
        <v>18</v>
      </c>
      <c r="H39" s="140" t="s">
        <v>8</v>
      </c>
      <c r="I39" s="140">
        <v>2</v>
      </c>
      <c r="J39" s="141"/>
      <c r="K39" s="184">
        <f>COUNT(M39:AZ39)</f>
        <v>26</v>
      </c>
      <c r="L39" s="139"/>
      <c r="M39" s="232">
        <v>1</v>
      </c>
      <c r="N39" s="232">
        <f>M39+1</f>
        <v>2</v>
      </c>
      <c r="O39" s="232">
        <f t="shared" ref="O39:AA39" si="49">N39+1</f>
        <v>3</v>
      </c>
      <c r="P39" s="232">
        <f t="shared" si="49"/>
        <v>4</v>
      </c>
      <c r="Q39" s="232">
        <f t="shared" si="49"/>
        <v>5</v>
      </c>
      <c r="R39" s="232">
        <f t="shared" si="49"/>
        <v>6</v>
      </c>
      <c r="S39" s="232">
        <f t="shared" si="49"/>
        <v>7</v>
      </c>
      <c r="T39" s="232">
        <f t="shared" si="49"/>
        <v>8</v>
      </c>
      <c r="U39" s="232">
        <f t="shared" si="49"/>
        <v>9</v>
      </c>
      <c r="V39" s="232">
        <f t="shared" si="49"/>
        <v>10</v>
      </c>
      <c r="W39" s="232">
        <f t="shared" si="49"/>
        <v>11</v>
      </c>
      <c r="X39" s="232">
        <f t="shared" si="49"/>
        <v>12</v>
      </c>
      <c r="Y39" s="232">
        <f t="shared" si="49"/>
        <v>13</v>
      </c>
      <c r="Z39" s="232">
        <f t="shared" si="49"/>
        <v>14</v>
      </c>
      <c r="AA39" s="5">
        <f t="shared" si="49"/>
        <v>15</v>
      </c>
      <c r="AB39" s="5">
        <f t="shared" si="48"/>
        <v>16</v>
      </c>
      <c r="AC39" s="5">
        <f t="shared" si="48"/>
        <v>17</v>
      </c>
      <c r="AD39" s="5">
        <f t="shared" si="48"/>
        <v>18</v>
      </c>
      <c r="AE39" s="3">
        <f t="shared" si="48"/>
        <v>19</v>
      </c>
      <c r="AF39" s="3">
        <f t="shared" si="48"/>
        <v>20</v>
      </c>
      <c r="AG39" s="5">
        <f t="shared" si="48"/>
        <v>21</v>
      </c>
      <c r="AH39" s="5">
        <f t="shared" si="48"/>
        <v>22</v>
      </c>
      <c r="AI39" s="5">
        <f t="shared" si="48"/>
        <v>23</v>
      </c>
      <c r="AJ39" s="5">
        <f t="shared" si="48"/>
        <v>24</v>
      </c>
      <c r="AK39" s="5">
        <f t="shared" si="48"/>
        <v>25</v>
      </c>
      <c r="AL39" s="5">
        <f t="shared" si="48"/>
        <v>26</v>
      </c>
      <c r="AM39" s="4"/>
      <c r="AN39" s="4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</row>
    <row r="40" spans="2:92" ht="21.95" customHeight="1" x14ac:dyDescent="0.25">
      <c r="B40" s="139">
        <v>5</v>
      </c>
      <c r="C40" s="139">
        <v>4</v>
      </c>
      <c r="D40" s="139" t="str">
        <f t="shared" si="0"/>
        <v>SUPPLY_EAST_G_2_20</v>
      </c>
      <c r="E40" s="139" t="s">
        <v>0</v>
      </c>
      <c r="F40" s="142" t="s">
        <v>0</v>
      </c>
      <c r="G40" s="140" t="s">
        <v>18</v>
      </c>
      <c r="H40" s="140" t="s">
        <v>8</v>
      </c>
      <c r="I40" s="140">
        <v>2</v>
      </c>
      <c r="J40" s="143"/>
      <c r="K40" s="184">
        <f>COUNT(AG40:BT40)</f>
        <v>8</v>
      </c>
      <c r="L40" s="140"/>
      <c r="M40" s="230"/>
      <c r="N40" s="230"/>
      <c r="O40" s="230"/>
      <c r="P40" s="230"/>
      <c r="Q40" s="230"/>
      <c r="R40" s="230"/>
      <c r="S40" s="230"/>
      <c r="T40" s="230"/>
      <c r="U40" s="230"/>
      <c r="V40" s="230"/>
      <c r="W40" s="230"/>
      <c r="X40" s="230"/>
      <c r="Y40" s="230"/>
      <c r="Z40" s="231"/>
      <c r="AA40" s="8"/>
      <c r="AB40" s="3"/>
      <c r="AC40" s="3"/>
      <c r="AD40" s="3"/>
      <c r="AE40" s="3"/>
      <c r="AF40" s="31"/>
      <c r="AG40" s="179">
        <v>1</v>
      </c>
      <c r="AH40" s="5">
        <f t="shared" si="48"/>
        <v>2</v>
      </c>
      <c r="AI40" s="5">
        <f t="shared" si="48"/>
        <v>3</v>
      </c>
      <c r="AJ40" s="5">
        <f t="shared" si="48"/>
        <v>4</v>
      </c>
      <c r="AK40" s="5">
        <f t="shared" si="48"/>
        <v>5</v>
      </c>
      <c r="AL40" s="5">
        <f t="shared" si="48"/>
        <v>6</v>
      </c>
      <c r="AM40" s="5">
        <f t="shared" si="48"/>
        <v>7</v>
      </c>
      <c r="AN40" s="5">
        <f t="shared" si="48"/>
        <v>8</v>
      </c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</row>
    <row r="41" spans="2:92" ht="21.95" customHeight="1" x14ac:dyDescent="0.25">
      <c r="B41" s="139">
        <v>5</v>
      </c>
      <c r="C41" s="140">
        <v>5</v>
      </c>
      <c r="D41" s="139" t="str">
        <f t="shared" si="0"/>
        <v>EMPTY_EAST_G_2_20</v>
      </c>
      <c r="E41" s="140" t="s">
        <v>0</v>
      </c>
      <c r="F41" s="142" t="s">
        <v>32</v>
      </c>
      <c r="G41" s="140" t="s">
        <v>18</v>
      </c>
      <c r="H41" s="140" t="s">
        <v>8</v>
      </c>
      <c r="I41" s="140">
        <v>2</v>
      </c>
      <c r="J41" s="139"/>
      <c r="K41" s="184">
        <f>COUNT(AG41:BT41)</f>
        <v>24</v>
      </c>
      <c r="L41" s="139"/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1"/>
      <c r="AA41" s="8"/>
      <c r="AB41" s="3"/>
      <c r="AC41" s="3"/>
      <c r="AD41" s="3"/>
      <c r="AE41" s="3"/>
      <c r="AF41" s="31"/>
      <c r="AG41" s="179">
        <v>1</v>
      </c>
      <c r="AH41" s="5">
        <f t="shared" si="48"/>
        <v>2</v>
      </c>
      <c r="AI41" s="5">
        <f t="shared" si="48"/>
        <v>3</v>
      </c>
      <c r="AJ41" s="5">
        <f t="shared" si="48"/>
        <v>4</v>
      </c>
      <c r="AK41" s="5">
        <f t="shared" si="48"/>
        <v>5</v>
      </c>
      <c r="AL41" s="5">
        <f t="shared" si="48"/>
        <v>6</v>
      </c>
      <c r="AM41" s="5">
        <f t="shared" si="48"/>
        <v>7</v>
      </c>
      <c r="AN41" s="5">
        <f t="shared" si="48"/>
        <v>8</v>
      </c>
      <c r="AO41" s="5">
        <f t="shared" si="48"/>
        <v>9</v>
      </c>
      <c r="AP41" s="5">
        <f t="shared" si="48"/>
        <v>10</v>
      </c>
      <c r="AQ41" s="5">
        <f t="shared" si="48"/>
        <v>11</v>
      </c>
      <c r="AR41" s="5">
        <f t="shared" ref="AR41:BD41" si="50">AQ41+1</f>
        <v>12</v>
      </c>
      <c r="AS41" s="5">
        <f t="shared" si="50"/>
        <v>13</v>
      </c>
      <c r="AT41" s="5">
        <f t="shared" si="50"/>
        <v>14</v>
      </c>
      <c r="AU41" s="5">
        <f t="shared" si="50"/>
        <v>15</v>
      </c>
      <c r="AV41" s="5">
        <f t="shared" si="50"/>
        <v>16</v>
      </c>
      <c r="AW41" s="5">
        <f t="shared" si="50"/>
        <v>17</v>
      </c>
      <c r="AX41" s="5">
        <f t="shared" si="50"/>
        <v>18</v>
      </c>
      <c r="AY41" s="5">
        <f t="shared" si="50"/>
        <v>19</v>
      </c>
      <c r="AZ41" s="5">
        <f t="shared" si="50"/>
        <v>20</v>
      </c>
      <c r="BA41" s="5">
        <f t="shared" si="50"/>
        <v>21</v>
      </c>
      <c r="BB41" s="5">
        <f t="shared" si="50"/>
        <v>22</v>
      </c>
      <c r="BC41" s="5">
        <f t="shared" si="50"/>
        <v>23</v>
      </c>
      <c r="BD41" s="5">
        <f t="shared" si="50"/>
        <v>24</v>
      </c>
      <c r="BE41" s="46"/>
      <c r="BF41" s="4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</row>
    <row r="42" spans="2:92" ht="21.95" hidden="1" customHeight="1" x14ac:dyDescent="0.25">
      <c r="B42" s="139">
        <v>5</v>
      </c>
      <c r="C42" s="140">
        <v>6</v>
      </c>
      <c r="D42" s="139" t="str">
        <f t="shared" si="0"/>
        <v>COUNTDOWN_EAST_G_2_20</v>
      </c>
      <c r="E42" s="140"/>
      <c r="F42" s="142" t="s">
        <v>33</v>
      </c>
      <c r="G42" s="140" t="s">
        <v>18</v>
      </c>
      <c r="H42" s="140" t="s">
        <v>8</v>
      </c>
      <c r="I42" s="140">
        <v>2</v>
      </c>
      <c r="J42" s="144"/>
      <c r="K42" s="144"/>
      <c r="L42" s="140"/>
      <c r="M42" s="230"/>
      <c r="N42" s="230"/>
      <c r="O42" s="230"/>
      <c r="P42" s="230"/>
      <c r="Q42" s="230"/>
      <c r="R42" s="230"/>
      <c r="S42" s="230"/>
      <c r="T42" s="230"/>
      <c r="U42" s="230"/>
      <c r="V42" s="230"/>
      <c r="W42" s="230"/>
      <c r="X42" s="230"/>
      <c r="Y42" s="230"/>
      <c r="Z42" s="231"/>
      <c r="AA42" s="82"/>
      <c r="AB42" s="5"/>
      <c r="AC42" s="5"/>
      <c r="AD42" s="5"/>
      <c r="AE42" s="5"/>
      <c r="AF42" s="64"/>
      <c r="AG42" s="179"/>
      <c r="AH42" s="5"/>
      <c r="AI42" s="3"/>
      <c r="AJ42" s="3"/>
      <c r="AK42" s="6"/>
      <c r="AL42" s="6"/>
      <c r="AM42" s="46"/>
      <c r="AN42" s="46"/>
      <c r="AO42" s="56"/>
      <c r="AP42" s="56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</row>
    <row r="43" spans="2:92" ht="21.95" hidden="1" customHeight="1" x14ac:dyDescent="0.25">
      <c r="B43" s="139">
        <v>6</v>
      </c>
      <c r="C43" s="139">
        <v>1</v>
      </c>
      <c r="D43" s="139" t="str">
        <f t="shared" si="0"/>
        <v>SORTING_EAST_B_1_20</v>
      </c>
      <c r="E43" s="139" t="s">
        <v>35</v>
      </c>
      <c r="F43" s="138" t="s">
        <v>45</v>
      </c>
      <c r="G43" s="140" t="s">
        <v>18</v>
      </c>
      <c r="H43" s="140" t="s">
        <v>3</v>
      </c>
      <c r="I43" s="140">
        <v>1</v>
      </c>
      <c r="J43" s="139"/>
      <c r="K43" s="184">
        <f>COUNT(AA43:AZ43)</f>
        <v>12</v>
      </c>
      <c r="L43" s="139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31"/>
      <c r="AA43" s="82">
        <v>1</v>
      </c>
      <c r="AB43" s="5">
        <f t="shared" ref="AB43:AQ47" si="51">AA43+1</f>
        <v>2</v>
      </c>
      <c r="AC43" s="5">
        <f t="shared" si="51"/>
        <v>3</v>
      </c>
      <c r="AD43" s="5">
        <f t="shared" si="51"/>
        <v>4</v>
      </c>
      <c r="AE43" s="5">
        <f t="shared" si="51"/>
        <v>5</v>
      </c>
      <c r="AF43" s="5">
        <f t="shared" si="51"/>
        <v>6</v>
      </c>
      <c r="AG43" s="5">
        <f t="shared" si="51"/>
        <v>7</v>
      </c>
      <c r="AH43" s="5">
        <f t="shared" si="51"/>
        <v>8</v>
      </c>
      <c r="AI43" s="5">
        <f t="shared" si="51"/>
        <v>9</v>
      </c>
      <c r="AJ43" s="5">
        <f t="shared" si="51"/>
        <v>10</v>
      </c>
      <c r="AK43" s="5">
        <f t="shared" si="51"/>
        <v>11</v>
      </c>
      <c r="AL43" s="5">
        <f t="shared" si="51"/>
        <v>12</v>
      </c>
      <c r="AM43" s="180"/>
      <c r="AN43" s="180"/>
      <c r="AO43" s="3"/>
      <c r="AP43" s="3"/>
      <c r="AQ43" s="3"/>
      <c r="AR43" s="3"/>
      <c r="AS43" s="3"/>
      <c r="AT43" s="3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</row>
    <row r="44" spans="2:92" ht="21.95" hidden="1" customHeight="1" x14ac:dyDescent="0.25">
      <c r="B44" s="139">
        <v>6</v>
      </c>
      <c r="C44" s="139">
        <v>2</v>
      </c>
      <c r="D44" s="139" t="str">
        <f t="shared" si="0"/>
        <v>TRANSFER_EAST_B_1_20</v>
      </c>
      <c r="E44" s="139" t="s">
        <v>21</v>
      </c>
      <c r="F44" s="138" t="s">
        <v>21</v>
      </c>
      <c r="G44" s="140" t="s">
        <v>18</v>
      </c>
      <c r="H44" s="140" t="s">
        <v>3</v>
      </c>
      <c r="I44" s="140">
        <v>1</v>
      </c>
      <c r="J44" s="139"/>
      <c r="K44" s="184">
        <f>COUNT(AA44:AZ44)</f>
        <v>14</v>
      </c>
      <c r="L44" s="139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230"/>
      <c r="Z44" s="231"/>
      <c r="AA44" s="82">
        <v>1</v>
      </c>
      <c r="AB44" s="5">
        <f t="shared" si="51"/>
        <v>2</v>
      </c>
      <c r="AC44" s="5">
        <f t="shared" si="51"/>
        <v>3</v>
      </c>
      <c r="AD44" s="5">
        <f t="shared" si="51"/>
        <v>4</v>
      </c>
      <c r="AE44" s="5">
        <f t="shared" si="51"/>
        <v>5</v>
      </c>
      <c r="AF44" s="5">
        <f t="shared" si="51"/>
        <v>6</v>
      </c>
      <c r="AG44" s="5">
        <f t="shared" si="51"/>
        <v>7</v>
      </c>
      <c r="AH44" s="5">
        <f t="shared" si="51"/>
        <v>8</v>
      </c>
      <c r="AI44" s="5">
        <f t="shared" si="51"/>
        <v>9</v>
      </c>
      <c r="AJ44" s="5">
        <f t="shared" si="51"/>
        <v>10</v>
      </c>
      <c r="AK44" s="5">
        <f t="shared" si="51"/>
        <v>11</v>
      </c>
      <c r="AL44" s="5">
        <f t="shared" si="51"/>
        <v>12</v>
      </c>
      <c r="AM44" s="5">
        <f t="shared" si="51"/>
        <v>13</v>
      </c>
      <c r="AN44" s="5">
        <f t="shared" si="51"/>
        <v>14</v>
      </c>
      <c r="AO44" s="180"/>
      <c r="AP44" s="180"/>
      <c r="AQ44" s="3"/>
      <c r="AR44" s="3"/>
      <c r="AS44" s="3"/>
      <c r="AT44" s="3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</row>
    <row r="45" spans="2:92" ht="21.95" customHeight="1" x14ac:dyDescent="0.25">
      <c r="B45" s="139">
        <v>6</v>
      </c>
      <c r="C45" s="139">
        <v>3</v>
      </c>
      <c r="D45" s="139" t="str">
        <f t="shared" si="0"/>
        <v>PREPARE_EAST_B_1_20</v>
      </c>
      <c r="E45" s="139" t="s">
        <v>0</v>
      </c>
      <c r="F45" s="138" t="s">
        <v>46</v>
      </c>
      <c r="G45" s="140" t="s">
        <v>18</v>
      </c>
      <c r="H45" s="140" t="s">
        <v>3</v>
      </c>
      <c r="I45" s="140">
        <v>1</v>
      </c>
      <c r="J45" s="141"/>
      <c r="K45" s="184">
        <f>COUNT(M45:AZ45)</f>
        <v>29</v>
      </c>
      <c r="L45" s="139"/>
      <c r="M45" s="232">
        <v>1</v>
      </c>
      <c r="N45" s="232">
        <f>M45+1</f>
        <v>2</v>
      </c>
      <c r="O45" s="232">
        <f t="shared" ref="O45:AA45" si="52">N45+1</f>
        <v>3</v>
      </c>
      <c r="P45" s="232">
        <f t="shared" si="52"/>
        <v>4</v>
      </c>
      <c r="Q45" s="232">
        <f t="shared" si="52"/>
        <v>5</v>
      </c>
      <c r="R45" s="232">
        <f t="shared" si="52"/>
        <v>6</v>
      </c>
      <c r="S45" s="232">
        <f t="shared" si="52"/>
        <v>7</v>
      </c>
      <c r="T45" s="232">
        <f t="shared" si="52"/>
        <v>8</v>
      </c>
      <c r="U45" s="232">
        <f t="shared" si="52"/>
        <v>9</v>
      </c>
      <c r="V45" s="232">
        <f t="shared" si="52"/>
        <v>10</v>
      </c>
      <c r="W45" s="232">
        <f t="shared" si="52"/>
        <v>11</v>
      </c>
      <c r="X45" s="232">
        <f t="shared" si="52"/>
        <v>12</v>
      </c>
      <c r="Y45" s="232">
        <f t="shared" si="52"/>
        <v>13</v>
      </c>
      <c r="Z45" s="232">
        <f t="shared" si="52"/>
        <v>14</v>
      </c>
      <c r="AA45" s="232">
        <f t="shared" si="52"/>
        <v>15</v>
      </c>
      <c r="AB45" s="232">
        <f t="shared" si="51"/>
        <v>16</v>
      </c>
      <c r="AC45" s="232">
        <f t="shared" si="51"/>
        <v>17</v>
      </c>
      <c r="AD45" s="232">
        <f t="shared" si="51"/>
        <v>18</v>
      </c>
      <c r="AE45" s="232">
        <f t="shared" si="51"/>
        <v>19</v>
      </c>
      <c r="AF45" s="232">
        <f t="shared" si="51"/>
        <v>20</v>
      </c>
      <c r="AG45" s="232">
        <f t="shared" si="51"/>
        <v>21</v>
      </c>
      <c r="AH45" s="232">
        <f t="shared" si="51"/>
        <v>22</v>
      </c>
      <c r="AI45" s="232">
        <f t="shared" si="51"/>
        <v>23</v>
      </c>
      <c r="AJ45" s="232">
        <f t="shared" si="51"/>
        <v>24</v>
      </c>
      <c r="AK45" s="232">
        <f t="shared" si="51"/>
        <v>25</v>
      </c>
      <c r="AL45" s="232">
        <f t="shared" si="51"/>
        <v>26</v>
      </c>
      <c r="AM45" s="232">
        <f t="shared" si="51"/>
        <v>27</v>
      </c>
      <c r="AN45" s="232">
        <f t="shared" si="51"/>
        <v>28</v>
      </c>
      <c r="AO45" s="232">
        <f t="shared" si="51"/>
        <v>29</v>
      </c>
      <c r="AP45" s="4"/>
      <c r="AQ45" s="4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</row>
    <row r="46" spans="2:92" ht="21.95" customHeight="1" x14ac:dyDescent="0.25">
      <c r="B46" s="139">
        <v>6</v>
      </c>
      <c r="C46" s="139">
        <v>4</v>
      </c>
      <c r="D46" s="139" t="str">
        <f t="shared" si="0"/>
        <v>SUPPLY_EAST_B_1_20</v>
      </c>
      <c r="E46" s="139" t="s">
        <v>0</v>
      </c>
      <c r="F46" s="142" t="s">
        <v>0</v>
      </c>
      <c r="G46" s="140" t="s">
        <v>18</v>
      </c>
      <c r="H46" s="140" t="s">
        <v>3</v>
      </c>
      <c r="I46" s="140">
        <v>1</v>
      </c>
      <c r="J46" s="143"/>
      <c r="K46" s="184">
        <f>COUNT(AG46:BT46)</f>
        <v>11</v>
      </c>
      <c r="L46" s="14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  <c r="Z46" s="231"/>
      <c r="AA46" s="8"/>
      <c r="AB46" s="3"/>
      <c r="AC46" s="3"/>
      <c r="AD46" s="3"/>
      <c r="AE46" s="3"/>
      <c r="AF46" s="31"/>
      <c r="AG46" s="179">
        <v>1</v>
      </c>
      <c r="AH46" s="5">
        <f t="shared" si="51"/>
        <v>2</v>
      </c>
      <c r="AI46" s="5">
        <f t="shared" si="51"/>
        <v>3</v>
      </c>
      <c r="AJ46" s="5">
        <f t="shared" si="51"/>
        <v>4</v>
      </c>
      <c r="AK46" s="5">
        <f t="shared" si="51"/>
        <v>5</v>
      </c>
      <c r="AL46" s="5">
        <f t="shared" si="51"/>
        <v>6</v>
      </c>
      <c r="AM46" s="5">
        <f t="shared" si="51"/>
        <v>7</v>
      </c>
      <c r="AN46" s="5">
        <f t="shared" si="51"/>
        <v>8</v>
      </c>
      <c r="AO46" s="5">
        <f t="shared" si="51"/>
        <v>9</v>
      </c>
      <c r="AP46" s="5">
        <f t="shared" si="51"/>
        <v>10</v>
      </c>
      <c r="AQ46" s="5">
        <f t="shared" si="51"/>
        <v>11</v>
      </c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</row>
    <row r="47" spans="2:92" ht="21.95" customHeight="1" x14ac:dyDescent="0.25">
      <c r="B47" s="139">
        <v>6</v>
      </c>
      <c r="C47" s="140">
        <v>5</v>
      </c>
      <c r="D47" s="139" t="str">
        <f t="shared" si="0"/>
        <v>EMPTY_EAST_B_1_20</v>
      </c>
      <c r="E47" s="140" t="s">
        <v>0</v>
      </c>
      <c r="F47" s="142" t="s">
        <v>32</v>
      </c>
      <c r="G47" s="140" t="s">
        <v>18</v>
      </c>
      <c r="H47" s="140" t="s">
        <v>3</v>
      </c>
      <c r="I47" s="140">
        <v>1</v>
      </c>
      <c r="J47" s="139"/>
      <c r="K47" s="184">
        <f>COUNT(AG47:BT47)</f>
        <v>27</v>
      </c>
      <c r="L47" s="139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  <c r="X47" s="230"/>
      <c r="Y47" s="230"/>
      <c r="Z47" s="231"/>
      <c r="AA47" s="8"/>
      <c r="AB47" s="3"/>
      <c r="AC47" s="3"/>
      <c r="AD47" s="3"/>
      <c r="AE47" s="3"/>
      <c r="AF47" s="31"/>
      <c r="AG47" s="179">
        <v>1</v>
      </c>
      <c r="AH47" s="5">
        <f t="shared" si="51"/>
        <v>2</v>
      </c>
      <c r="AI47" s="5">
        <f t="shared" si="51"/>
        <v>3</v>
      </c>
      <c r="AJ47" s="5">
        <f t="shared" si="51"/>
        <v>4</v>
      </c>
      <c r="AK47" s="5">
        <f t="shared" si="51"/>
        <v>5</v>
      </c>
      <c r="AL47" s="5">
        <f t="shared" si="51"/>
        <v>6</v>
      </c>
      <c r="AM47" s="5">
        <f t="shared" si="51"/>
        <v>7</v>
      </c>
      <c r="AN47" s="5">
        <f t="shared" si="51"/>
        <v>8</v>
      </c>
      <c r="AO47" s="5">
        <f t="shared" si="51"/>
        <v>9</v>
      </c>
      <c r="AP47" s="5">
        <f t="shared" si="51"/>
        <v>10</v>
      </c>
      <c r="AQ47" s="5">
        <f t="shared" si="51"/>
        <v>11</v>
      </c>
      <c r="AR47" s="5">
        <f t="shared" ref="AR47:BG47" si="53">AQ47+1</f>
        <v>12</v>
      </c>
      <c r="AS47" s="5">
        <f t="shared" si="53"/>
        <v>13</v>
      </c>
      <c r="AT47" s="5">
        <f t="shared" si="53"/>
        <v>14</v>
      </c>
      <c r="AU47" s="5">
        <f t="shared" si="53"/>
        <v>15</v>
      </c>
      <c r="AV47" s="5">
        <f t="shared" si="53"/>
        <v>16</v>
      </c>
      <c r="AW47" s="5">
        <f t="shared" si="53"/>
        <v>17</v>
      </c>
      <c r="AX47" s="5">
        <f t="shared" si="53"/>
        <v>18</v>
      </c>
      <c r="AY47" s="5">
        <f t="shared" si="53"/>
        <v>19</v>
      </c>
      <c r="AZ47" s="5">
        <f t="shared" si="53"/>
        <v>20</v>
      </c>
      <c r="BA47" s="5">
        <f t="shared" si="53"/>
        <v>21</v>
      </c>
      <c r="BB47" s="5">
        <f t="shared" si="53"/>
        <v>22</v>
      </c>
      <c r="BC47" s="5">
        <f t="shared" si="53"/>
        <v>23</v>
      </c>
      <c r="BD47" s="5">
        <f t="shared" si="53"/>
        <v>24</v>
      </c>
      <c r="BE47" s="5">
        <f t="shared" si="53"/>
        <v>25</v>
      </c>
      <c r="BF47" s="5">
        <f t="shared" si="53"/>
        <v>26</v>
      </c>
      <c r="BG47" s="5">
        <f t="shared" si="53"/>
        <v>27</v>
      </c>
      <c r="BH47" s="46"/>
      <c r="BI47" s="4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</row>
    <row r="48" spans="2:92" ht="21.95" hidden="1" customHeight="1" x14ac:dyDescent="0.25">
      <c r="B48" s="139">
        <v>6</v>
      </c>
      <c r="C48" s="140">
        <v>6</v>
      </c>
      <c r="D48" s="139" t="str">
        <f t="shared" si="0"/>
        <v>COUNTDOWN_EAST_B_1_20</v>
      </c>
      <c r="E48" s="140"/>
      <c r="F48" s="142" t="s">
        <v>33</v>
      </c>
      <c r="G48" s="140" t="s">
        <v>18</v>
      </c>
      <c r="H48" s="140" t="s">
        <v>3</v>
      </c>
      <c r="I48" s="140">
        <v>1</v>
      </c>
      <c r="J48" s="144"/>
      <c r="K48" s="144"/>
      <c r="L48" s="14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  <c r="X48" s="230"/>
      <c r="Y48" s="230"/>
      <c r="Z48" s="231"/>
      <c r="AA48" s="82"/>
      <c r="AB48" s="5"/>
      <c r="AC48" s="5"/>
      <c r="AD48" s="5"/>
      <c r="AE48" s="5"/>
      <c r="AF48" s="64"/>
      <c r="AG48" s="179"/>
      <c r="AH48" s="5"/>
      <c r="AI48" s="5"/>
      <c r="AJ48" s="5"/>
      <c r="AK48" s="3"/>
      <c r="AL48" s="3"/>
      <c r="AM48" s="6"/>
      <c r="AN48" s="6"/>
      <c r="AO48" s="46"/>
      <c r="AP48" s="46"/>
      <c r="AQ48" s="56"/>
      <c r="AR48" s="56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</row>
    <row r="49" spans="2:92" ht="21.95" hidden="1" customHeight="1" x14ac:dyDescent="0.25">
      <c r="B49" s="139">
        <v>7</v>
      </c>
      <c r="C49" s="139">
        <v>1</v>
      </c>
      <c r="D49" s="139" t="str">
        <f t="shared" si="0"/>
        <v>SORTING_EAST_E_2_20</v>
      </c>
      <c r="E49" s="139" t="s">
        <v>35</v>
      </c>
      <c r="F49" s="138" t="s">
        <v>45</v>
      </c>
      <c r="G49" s="140" t="s">
        <v>18</v>
      </c>
      <c r="H49" s="140" t="s">
        <v>6</v>
      </c>
      <c r="I49" s="140">
        <v>2</v>
      </c>
      <c r="J49" s="139"/>
      <c r="K49" s="184">
        <f>COUNT(AA49:AZ49)</f>
        <v>14</v>
      </c>
      <c r="L49" s="139"/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  <c r="Z49" s="231"/>
      <c r="AA49" s="82">
        <v>1</v>
      </c>
      <c r="AB49" s="5">
        <f t="shared" ref="AB49:AQ53" si="54">AA49+1</f>
        <v>2</v>
      </c>
      <c r="AC49" s="5">
        <f t="shared" si="54"/>
        <v>3</v>
      </c>
      <c r="AD49" s="5">
        <f t="shared" si="54"/>
        <v>4</v>
      </c>
      <c r="AE49" s="5">
        <f t="shared" si="54"/>
        <v>5</v>
      </c>
      <c r="AF49" s="5">
        <f t="shared" si="54"/>
        <v>6</v>
      </c>
      <c r="AG49" s="5">
        <f t="shared" si="54"/>
        <v>7</v>
      </c>
      <c r="AH49" s="5">
        <f t="shared" si="54"/>
        <v>8</v>
      </c>
      <c r="AI49" s="5">
        <f t="shared" si="54"/>
        <v>9</v>
      </c>
      <c r="AJ49" s="5">
        <f t="shared" si="54"/>
        <v>10</v>
      </c>
      <c r="AK49" s="5">
        <f t="shared" si="54"/>
        <v>11</v>
      </c>
      <c r="AL49" s="5">
        <f t="shared" si="54"/>
        <v>12</v>
      </c>
      <c r="AM49" s="5">
        <f t="shared" si="54"/>
        <v>13</v>
      </c>
      <c r="AN49" s="5">
        <f t="shared" si="54"/>
        <v>14</v>
      </c>
      <c r="AO49" s="180"/>
      <c r="AP49" s="180"/>
      <c r="AQ49" s="3"/>
      <c r="AR49" s="3"/>
      <c r="AS49" s="3"/>
      <c r="AT49" s="3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</row>
    <row r="50" spans="2:92" ht="21.95" hidden="1" customHeight="1" x14ac:dyDescent="0.25">
      <c r="B50" s="139">
        <v>7</v>
      </c>
      <c r="C50" s="139">
        <v>2</v>
      </c>
      <c r="D50" s="139" t="str">
        <f t="shared" si="0"/>
        <v>TRANSFER_EAST_E_2_20</v>
      </c>
      <c r="E50" s="139" t="s">
        <v>21</v>
      </c>
      <c r="F50" s="138" t="s">
        <v>21</v>
      </c>
      <c r="G50" s="140" t="s">
        <v>18</v>
      </c>
      <c r="H50" s="140" t="s">
        <v>6</v>
      </c>
      <c r="I50" s="140">
        <v>2</v>
      </c>
      <c r="J50" s="139"/>
      <c r="K50" s="184">
        <f>COUNT(AA50:AZ50)</f>
        <v>16</v>
      </c>
      <c r="L50" s="139"/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  <c r="Z50" s="231"/>
      <c r="AA50" s="82">
        <v>1</v>
      </c>
      <c r="AB50" s="5">
        <f t="shared" si="54"/>
        <v>2</v>
      </c>
      <c r="AC50" s="5">
        <f t="shared" si="54"/>
        <v>3</v>
      </c>
      <c r="AD50" s="5">
        <f t="shared" si="54"/>
        <v>4</v>
      </c>
      <c r="AE50" s="5">
        <f t="shared" si="54"/>
        <v>5</v>
      </c>
      <c r="AF50" s="5">
        <f t="shared" si="54"/>
        <v>6</v>
      </c>
      <c r="AG50" s="5">
        <f t="shared" si="54"/>
        <v>7</v>
      </c>
      <c r="AH50" s="5">
        <f t="shared" si="54"/>
        <v>8</v>
      </c>
      <c r="AI50" s="5">
        <f t="shared" si="54"/>
        <v>9</v>
      </c>
      <c r="AJ50" s="5">
        <f t="shared" si="54"/>
        <v>10</v>
      </c>
      <c r="AK50" s="5">
        <f t="shared" si="54"/>
        <v>11</v>
      </c>
      <c r="AL50" s="5">
        <f t="shared" si="54"/>
        <v>12</v>
      </c>
      <c r="AM50" s="5">
        <f t="shared" si="54"/>
        <v>13</v>
      </c>
      <c r="AN50" s="5">
        <f t="shared" si="54"/>
        <v>14</v>
      </c>
      <c r="AO50" s="5">
        <f t="shared" si="54"/>
        <v>15</v>
      </c>
      <c r="AP50" s="5">
        <f t="shared" si="54"/>
        <v>16</v>
      </c>
      <c r="AQ50" s="180"/>
      <c r="AR50" s="180"/>
      <c r="AS50" s="3"/>
      <c r="AT50" s="3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</row>
    <row r="51" spans="2:92" ht="21.95" customHeight="1" x14ac:dyDescent="0.25">
      <c r="B51" s="139">
        <v>7</v>
      </c>
      <c r="C51" s="139">
        <v>3</v>
      </c>
      <c r="D51" s="139" t="str">
        <f t="shared" si="0"/>
        <v>PREPARE_EAST_E_2_20</v>
      </c>
      <c r="E51" s="139" t="s">
        <v>0</v>
      </c>
      <c r="F51" s="138" t="s">
        <v>46</v>
      </c>
      <c r="G51" s="140" t="s">
        <v>18</v>
      </c>
      <c r="H51" s="140" t="s">
        <v>6</v>
      </c>
      <c r="I51" s="140">
        <v>2</v>
      </c>
      <c r="J51" s="141"/>
      <c r="K51" s="184">
        <f>COUNT(M51:AZ51)</f>
        <v>31</v>
      </c>
      <c r="L51" s="139"/>
      <c r="M51" s="232">
        <v>1</v>
      </c>
      <c r="N51" s="232">
        <f>M51+1</f>
        <v>2</v>
      </c>
      <c r="O51" s="232">
        <f t="shared" ref="O51:AA51" si="55">N51+1</f>
        <v>3</v>
      </c>
      <c r="P51" s="232">
        <f t="shared" si="55"/>
        <v>4</v>
      </c>
      <c r="Q51" s="232">
        <f t="shared" si="55"/>
        <v>5</v>
      </c>
      <c r="R51" s="232">
        <f t="shared" si="55"/>
        <v>6</v>
      </c>
      <c r="S51" s="232">
        <f t="shared" si="55"/>
        <v>7</v>
      </c>
      <c r="T51" s="232">
        <f t="shared" si="55"/>
        <v>8</v>
      </c>
      <c r="U51" s="232">
        <f t="shared" si="55"/>
        <v>9</v>
      </c>
      <c r="V51" s="232">
        <f t="shared" si="55"/>
        <v>10</v>
      </c>
      <c r="W51" s="232">
        <f t="shared" si="55"/>
        <v>11</v>
      </c>
      <c r="X51" s="232">
        <f t="shared" si="55"/>
        <v>12</v>
      </c>
      <c r="Y51" s="232">
        <f t="shared" si="55"/>
        <v>13</v>
      </c>
      <c r="Z51" s="232">
        <f t="shared" si="55"/>
        <v>14</v>
      </c>
      <c r="AA51" s="232">
        <f t="shared" si="55"/>
        <v>15</v>
      </c>
      <c r="AB51" s="232">
        <f t="shared" si="54"/>
        <v>16</v>
      </c>
      <c r="AC51" s="232">
        <f t="shared" si="54"/>
        <v>17</v>
      </c>
      <c r="AD51" s="232">
        <f t="shared" si="54"/>
        <v>18</v>
      </c>
      <c r="AE51" s="232">
        <f t="shared" si="54"/>
        <v>19</v>
      </c>
      <c r="AF51" s="232">
        <f t="shared" si="54"/>
        <v>20</v>
      </c>
      <c r="AG51" s="232">
        <f t="shared" si="54"/>
        <v>21</v>
      </c>
      <c r="AH51" s="232">
        <f t="shared" si="54"/>
        <v>22</v>
      </c>
      <c r="AI51" s="232">
        <f t="shared" si="54"/>
        <v>23</v>
      </c>
      <c r="AJ51" s="232">
        <f t="shared" si="54"/>
        <v>24</v>
      </c>
      <c r="AK51" s="232">
        <f t="shared" si="54"/>
        <v>25</v>
      </c>
      <c r="AL51" s="232">
        <f t="shared" si="54"/>
        <v>26</v>
      </c>
      <c r="AM51" s="232">
        <f t="shared" si="54"/>
        <v>27</v>
      </c>
      <c r="AN51" s="232">
        <f t="shared" si="54"/>
        <v>28</v>
      </c>
      <c r="AO51" s="232">
        <f t="shared" si="54"/>
        <v>29</v>
      </c>
      <c r="AP51" s="232">
        <f t="shared" si="54"/>
        <v>30</v>
      </c>
      <c r="AQ51" s="232">
        <f t="shared" si="54"/>
        <v>31</v>
      </c>
      <c r="AR51" s="4"/>
      <c r="AS51" s="4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</row>
    <row r="52" spans="2:92" ht="21.95" customHeight="1" x14ac:dyDescent="0.25">
      <c r="B52" s="139">
        <v>7</v>
      </c>
      <c r="C52" s="139">
        <v>4</v>
      </c>
      <c r="D52" s="139" t="str">
        <f t="shared" si="0"/>
        <v>SUPPLY_EAST_E_2_20</v>
      </c>
      <c r="E52" s="139" t="s">
        <v>0</v>
      </c>
      <c r="F52" s="142" t="s">
        <v>0</v>
      </c>
      <c r="G52" s="140" t="s">
        <v>18</v>
      </c>
      <c r="H52" s="140" t="s">
        <v>6</v>
      </c>
      <c r="I52" s="140">
        <v>2</v>
      </c>
      <c r="J52" s="143"/>
      <c r="K52" s="184">
        <f>COUNT(AG52:BT52)</f>
        <v>13</v>
      </c>
      <c r="L52" s="140"/>
      <c r="M52" s="230"/>
      <c r="N52" s="230"/>
      <c r="O52" s="230"/>
      <c r="P52" s="230"/>
      <c r="Q52" s="230"/>
      <c r="R52" s="230"/>
      <c r="S52" s="230"/>
      <c r="T52" s="230"/>
      <c r="U52" s="230"/>
      <c r="V52" s="230"/>
      <c r="W52" s="230"/>
      <c r="X52" s="230"/>
      <c r="Y52" s="230"/>
      <c r="Z52" s="231"/>
      <c r="AA52" s="8"/>
      <c r="AB52" s="3"/>
      <c r="AC52" s="3"/>
      <c r="AD52" s="3"/>
      <c r="AE52" s="3"/>
      <c r="AF52" s="31"/>
      <c r="AG52" s="179">
        <v>1</v>
      </c>
      <c r="AH52" s="5">
        <f t="shared" si="54"/>
        <v>2</v>
      </c>
      <c r="AI52" s="5">
        <f t="shared" si="54"/>
        <v>3</v>
      </c>
      <c r="AJ52" s="5">
        <f t="shared" si="54"/>
        <v>4</v>
      </c>
      <c r="AK52" s="5">
        <f t="shared" si="54"/>
        <v>5</v>
      </c>
      <c r="AL52" s="5">
        <f t="shared" si="54"/>
        <v>6</v>
      </c>
      <c r="AM52" s="5">
        <f t="shared" si="54"/>
        <v>7</v>
      </c>
      <c r="AN52" s="5">
        <f t="shared" si="54"/>
        <v>8</v>
      </c>
      <c r="AO52" s="5">
        <f t="shared" si="54"/>
        <v>9</v>
      </c>
      <c r="AP52" s="5">
        <f t="shared" si="54"/>
        <v>10</v>
      </c>
      <c r="AQ52" s="5">
        <f t="shared" si="54"/>
        <v>11</v>
      </c>
      <c r="AR52" s="5">
        <f t="shared" ref="AR52:BG53" si="56">AQ52+1</f>
        <v>12</v>
      </c>
      <c r="AS52" s="5">
        <f t="shared" si="56"/>
        <v>13</v>
      </c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</row>
    <row r="53" spans="2:92" ht="21.95" customHeight="1" x14ac:dyDescent="0.25">
      <c r="B53" s="139">
        <v>7</v>
      </c>
      <c r="C53" s="140">
        <v>5</v>
      </c>
      <c r="D53" s="139" t="str">
        <f t="shared" si="0"/>
        <v>EMPTY_EAST_E_2_20</v>
      </c>
      <c r="E53" s="140" t="s">
        <v>0</v>
      </c>
      <c r="F53" s="142" t="s">
        <v>32</v>
      </c>
      <c r="G53" s="140" t="s">
        <v>18</v>
      </c>
      <c r="H53" s="140" t="s">
        <v>6</v>
      </c>
      <c r="I53" s="140">
        <v>2</v>
      </c>
      <c r="J53" s="139"/>
      <c r="K53" s="184">
        <f>COUNT(AG53:BT53)</f>
        <v>29</v>
      </c>
      <c r="L53" s="139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  <c r="Y53" s="230"/>
      <c r="Z53" s="231"/>
      <c r="AA53" s="8"/>
      <c r="AB53" s="3"/>
      <c r="AC53" s="3"/>
      <c r="AD53" s="3"/>
      <c r="AE53" s="3"/>
      <c r="AF53" s="31"/>
      <c r="AG53" s="179">
        <v>1</v>
      </c>
      <c r="AH53" s="5">
        <f t="shared" si="54"/>
        <v>2</v>
      </c>
      <c r="AI53" s="5">
        <f t="shared" si="54"/>
        <v>3</v>
      </c>
      <c r="AJ53" s="5">
        <f t="shared" si="54"/>
        <v>4</v>
      </c>
      <c r="AK53" s="5">
        <f t="shared" si="54"/>
        <v>5</v>
      </c>
      <c r="AL53" s="5">
        <f t="shared" si="54"/>
        <v>6</v>
      </c>
      <c r="AM53" s="5">
        <f t="shared" si="54"/>
        <v>7</v>
      </c>
      <c r="AN53" s="5">
        <f t="shared" si="54"/>
        <v>8</v>
      </c>
      <c r="AO53" s="5">
        <f t="shared" si="54"/>
        <v>9</v>
      </c>
      <c r="AP53" s="5">
        <f t="shared" si="54"/>
        <v>10</v>
      </c>
      <c r="AQ53" s="5">
        <f t="shared" si="54"/>
        <v>11</v>
      </c>
      <c r="AR53" s="5">
        <f t="shared" si="56"/>
        <v>12</v>
      </c>
      <c r="AS53" s="5">
        <f t="shared" si="56"/>
        <v>13</v>
      </c>
      <c r="AT53" s="5">
        <f t="shared" si="56"/>
        <v>14</v>
      </c>
      <c r="AU53" s="5">
        <f t="shared" si="56"/>
        <v>15</v>
      </c>
      <c r="AV53" s="5">
        <f t="shared" si="56"/>
        <v>16</v>
      </c>
      <c r="AW53" s="5">
        <f t="shared" si="56"/>
        <v>17</v>
      </c>
      <c r="AX53" s="5">
        <f t="shared" si="56"/>
        <v>18</v>
      </c>
      <c r="AY53" s="5">
        <f t="shared" si="56"/>
        <v>19</v>
      </c>
      <c r="AZ53" s="5">
        <f t="shared" si="56"/>
        <v>20</v>
      </c>
      <c r="BA53" s="5">
        <f t="shared" si="56"/>
        <v>21</v>
      </c>
      <c r="BB53" s="5">
        <f t="shared" si="56"/>
        <v>22</v>
      </c>
      <c r="BC53" s="5">
        <f t="shared" si="56"/>
        <v>23</v>
      </c>
      <c r="BD53" s="5">
        <f t="shared" si="56"/>
        <v>24</v>
      </c>
      <c r="BE53" s="5">
        <f t="shared" si="56"/>
        <v>25</v>
      </c>
      <c r="BF53" s="5">
        <f t="shared" si="56"/>
        <v>26</v>
      </c>
      <c r="BG53" s="5">
        <f t="shared" si="56"/>
        <v>27</v>
      </c>
      <c r="BH53" s="5">
        <f t="shared" ref="BH53:BI53" si="57">BG53+1</f>
        <v>28</v>
      </c>
      <c r="BI53" s="5">
        <f t="shared" si="57"/>
        <v>29</v>
      </c>
      <c r="BJ53" s="46"/>
      <c r="BK53" s="4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</row>
    <row r="54" spans="2:92" ht="21.95" hidden="1" customHeight="1" x14ac:dyDescent="0.25">
      <c r="B54" s="139">
        <v>7</v>
      </c>
      <c r="C54" s="140">
        <v>6</v>
      </c>
      <c r="D54" s="139" t="str">
        <f t="shared" si="0"/>
        <v>COUNTDOWN_EAST_E_2_20</v>
      </c>
      <c r="E54" s="140"/>
      <c r="F54" s="142" t="s">
        <v>33</v>
      </c>
      <c r="G54" s="140" t="s">
        <v>18</v>
      </c>
      <c r="H54" s="140" t="s">
        <v>6</v>
      </c>
      <c r="I54" s="140">
        <v>2</v>
      </c>
      <c r="J54" s="144"/>
      <c r="K54" s="144"/>
      <c r="L54" s="14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1"/>
      <c r="AA54" s="82"/>
      <c r="AB54" s="5"/>
      <c r="AC54" s="5"/>
      <c r="AD54" s="5"/>
      <c r="AE54" s="5"/>
      <c r="AF54" s="64"/>
      <c r="AG54" s="179"/>
      <c r="AH54" s="5"/>
      <c r="AI54" s="5"/>
      <c r="AJ54" s="5"/>
      <c r="AK54" s="5"/>
      <c r="AL54" s="5"/>
      <c r="AM54" s="3"/>
      <c r="AN54" s="3"/>
      <c r="AO54" s="6"/>
      <c r="AP54" s="6"/>
      <c r="AQ54" s="46"/>
      <c r="AR54" s="46"/>
      <c r="AS54" s="56"/>
      <c r="AT54" s="56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</row>
    <row r="55" spans="2:92" ht="21.95" hidden="1" customHeight="1" x14ac:dyDescent="0.25">
      <c r="B55" s="139">
        <v>8</v>
      </c>
      <c r="C55" s="139">
        <v>1</v>
      </c>
      <c r="D55" s="139" t="str">
        <f t="shared" si="0"/>
        <v>SORTING_EAST_D_1_20</v>
      </c>
      <c r="E55" s="139" t="s">
        <v>35</v>
      </c>
      <c r="F55" s="138" t="s">
        <v>45</v>
      </c>
      <c r="G55" s="140" t="s">
        <v>18</v>
      </c>
      <c r="H55" s="140" t="s">
        <v>47</v>
      </c>
      <c r="I55" s="140">
        <v>1</v>
      </c>
      <c r="J55" s="139"/>
      <c r="K55" s="184">
        <f>COUNT(AA55:AZ55)</f>
        <v>16</v>
      </c>
      <c r="L55" s="139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  <c r="Z55" s="231"/>
      <c r="AA55" s="82">
        <v>1</v>
      </c>
      <c r="AB55" s="5">
        <f t="shared" ref="AB55:AQ56" si="58">AA55+1</f>
        <v>2</v>
      </c>
      <c r="AC55" s="5">
        <f t="shared" si="58"/>
        <v>3</v>
      </c>
      <c r="AD55" s="5">
        <f t="shared" si="58"/>
        <v>4</v>
      </c>
      <c r="AE55" s="5">
        <f t="shared" si="58"/>
        <v>5</v>
      </c>
      <c r="AF55" s="5">
        <f t="shared" si="58"/>
        <v>6</v>
      </c>
      <c r="AG55" s="5">
        <f t="shared" si="58"/>
        <v>7</v>
      </c>
      <c r="AH55" s="5">
        <f t="shared" si="58"/>
        <v>8</v>
      </c>
      <c r="AI55" s="5">
        <f t="shared" si="58"/>
        <v>9</v>
      </c>
      <c r="AJ55" s="5">
        <f t="shared" si="58"/>
        <v>10</v>
      </c>
      <c r="AK55" s="5">
        <f t="shared" si="58"/>
        <v>11</v>
      </c>
      <c r="AL55" s="5">
        <f t="shared" si="58"/>
        <v>12</v>
      </c>
      <c r="AM55" s="5">
        <f t="shared" si="58"/>
        <v>13</v>
      </c>
      <c r="AN55" s="5">
        <f t="shared" si="58"/>
        <v>14</v>
      </c>
      <c r="AO55" s="5">
        <f t="shared" si="58"/>
        <v>15</v>
      </c>
      <c r="AP55" s="5">
        <f t="shared" si="58"/>
        <v>16</v>
      </c>
      <c r="AQ55" s="180"/>
      <c r="AR55" s="180"/>
      <c r="AS55" s="3"/>
      <c r="AT55" s="3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</row>
    <row r="56" spans="2:92" ht="21.95" hidden="1" customHeight="1" x14ac:dyDescent="0.25">
      <c r="B56" s="139">
        <v>8</v>
      </c>
      <c r="C56" s="139">
        <v>2</v>
      </c>
      <c r="D56" s="139" t="str">
        <f t="shared" si="0"/>
        <v>TRANSFER_EAST_D_1_20</v>
      </c>
      <c r="E56" s="139" t="s">
        <v>21</v>
      </c>
      <c r="F56" s="138" t="s">
        <v>21</v>
      </c>
      <c r="G56" s="140" t="s">
        <v>18</v>
      </c>
      <c r="H56" s="140" t="s">
        <v>47</v>
      </c>
      <c r="I56" s="140">
        <v>1</v>
      </c>
      <c r="J56" s="139"/>
      <c r="K56" s="184">
        <f>COUNT(AA56:AZ56)</f>
        <v>18</v>
      </c>
      <c r="L56" s="139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1"/>
      <c r="AA56" s="82">
        <v>1</v>
      </c>
      <c r="AB56" s="5">
        <f t="shared" si="58"/>
        <v>2</v>
      </c>
      <c r="AC56" s="5">
        <f t="shared" si="58"/>
        <v>3</v>
      </c>
      <c r="AD56" s="5">
        <f t="shared" si="58"/>
        <v>4</v>
      </c>
      <c r="AE56" s="5">
        <f t="shared" si="58"/>
        <v>5</v>
      </c>
      <c r="AF56" s="5">
        <f t="shared" si="58"/>
        <v>6</v>
      </c>
      <c r="AG56" s="5">
        <f t="shared" si="58"/>
        <v>7</v>
      </c>
      <c r="AH56" s="5">
        <f t="shared" si="58"/>
        <v>8</v>
      </c>
      <c r="AI56" s="5">
        <f t="shared" si="58"/>
        <v>9</v>
      </c>
      <c r="AJ56" s="5">
        <f t="shared" si="58"/>
        <v>10</v>
      </c>
      <c r="AK56" s="5">
        <f t="shared" si="58"/>
        <v>11</v>
      </c>
      <c r="AL56" s="5">
        <f t="shared" si="58"/>
        <v>12</v>
      </c>
      <c r="AM56" s="5">
        <f t="shared" si="58"/>
        <v>13</v>
      </c>
      <c r="AN56" s="5">
        <f t="shared" si="58"/>
        <v>14</v>
      </c>
      <c r="AO56" s="5">
        <f t="shared" si="58"/>
        <v>15</v>
      </c>
      <c r="AP56" s="5">
        <f t="shared" si="58"/>
        <v>16</v>
      </c>
      <c r="AQ56" s="5">
        <f t="shared" si="58"/>
        <v>17</v>
      </c>
      <c r="AR56" s="5">
        <f t="shared" ref="AB56:AR59" si="59">AQ56+1</f>
        <v>18</v>
      </c>
      <c r="AS56" s="180"/>
      <c r="AT56" s="180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</row>
    <row r="57" spans="2:92" ht="21.95" customHeight="1" x14ac:dyDescent="0.25">
      <c r="B57" s="139">
        <v>8</v>
      </c>
      <c r="C57" s="139">
        <v>3</v>
      </c>
      <c r="D57" s="139" t="str">
        <f t="shared" si="0"/>
        <v>PREPARE_EAST_D_1_20</v>
      </c>
      <c r="E57" s="139" t="s">
        <v>0</v>
      </c>
      <c r="F57" s="138" t="s">
        <v>46</v>
      </c>
      <c r="G57" s="140" t="s">
        <v>18</v>
      </c>
      <c r="H57" s="140" t="s">
        <v>47</v>
      </c>
      <c r="I57" s="140">
        <v>1</v>
      </c>
      <c r="J57" s="141"/>
      <c r="K57" s="184">
        <f>COUNT(M57:AZ57)</f>
        <v>33</v>
      </c>
      <c r="L57" s="139"/>
      <c r="M57" s="232">
        <v>1</v>
      </c>
      <c r="N57" s="232">
        <f>M57+1</f>
        <v>2</v>
      </c>
      <c r="O57" s="232">
        <f t="shared" ref="O57:AA57" si="60">N57+1</f>
        <v>3</v>
      </c>
      <c r="P57" s="232">
        <f t="shared" si="60"/>
        <v>4</v>
      </c>
      <c r="Q57" s="232">
        <f t="shared" si="60"/>
        <v>5</v>
      </c>
      <c r="R57" s="232">
        <f t="shared" si="60"/>
        <v>6</v>
      </c>
      <c r="S57" s="232">
        <f t="shared" si="60"/>
        <v>7</v>
      </c>
      <c r="T57" s="232">
        <f t="shared" si="60"/>
        <v>8</v>
      </c>
      <c r="U57" s="232">
        <f t="shared" si="60"/>
        <v>9</v>
      </c>
      <c r="V57" s="232">
        <f t="shared" si="60"/>
        <v>10</v>
      </c>
      <c r="W57" s="232">
        <f t="shared" si="60"/>
        <v>11</v>
      </c>
      <c r="X57" s="232">
        <f t="shared" si="60"/>
        <v>12</v>
      </c>
      <c r="Y57" s="232">
        <f t="shared" si="60"/>
        <v>13</v>
      </c>
      <c r="Z57" s="232">
        <f t="shared" si="60"/>
        <v>14</v>
      </c>
      <c r="AA57" s="232">
        <f t="shared" si="60"/>
        <v>15</v>
      </c>
      <c r="AB57" s="232">
        <f t="shared" si="59"/>
        <v>16</v>
      </c>
      <c r="AC57" s="232">
        <f t="shared" si="59"/>
        <v>17</v>
      </c>
      <c r="AD57" s="232">
        <f t="shared" si="59"/>
        <v>18</v>
      </c>
      <c r="AE57" s="232">
        <f t="shared" si="59"/>
        <v>19</v>
      </c>
      <c r="AF57" s="232">
        <f t="shared" si="59"/>
        <v>20</v>
      </c>
      <c r="AG57" s="232">
        <f t="shared" si="59"/>
        <v>21</v>
      </c>
      <c r="AH57" s="232">
        <f t="shared" si="59"/>
        <v>22</v>
      </c>
      <c r="AI57" s="232">
        <f t="shared" si="59"/>
        <v>23</v>
      </c>
      <c r="AJ57" s="232">
        <f t="shared" si="59"/>
        <v>24</v>
      </c>
      <c r="AK57" s="232">
        <f t="shared" si="59"/>
        <v>25</v>
      </c>
      <c r="AL57" s="232">
        <f t="shared" si="59"/>
        <v>26</v>
      </c>
      <c r="AM57" s="232">
        <f t="shared" si="59"/>
        <v>27</v>
      </c>
      <c r="AN57" s="232">
        <f t="shared" si="59"/>
        <v>28</v>
      </c>
      <c r="AO57" s="232">
        <f t="shared" si="59"/>
        <v>29</v>
      </c>
      <c r="AP57" s="232">
        <f t="shared" si="59"/>
        <v>30</v>
      </c>
      <c r="AQ57" s="232">
        <f t="shared" si="59"/>
        <v>31</v>
      </c>
      <c r="AR57" s="232">
        <f t="shared" si="59"/>
        <v>32</v>
      </c>
      <c r="AS57" s="232">
        <f t="shared" ref="AS57:BH59" si="61">AR57+1</f>
        <v>33</v>
      </c>
      <c r="AT57" s="4"/>
      <c r="AU57" s="4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</row>
    <row r="58" spans="2:92" ht="21.95" customHeight="1" x14ac:dyDescent="0.25">
      <c r="B58" s="139">
        <v>8</v>
      </c>
      <c r="C58" s="139">
        <v>4</v>
      </c>
      <c r="D58" s="139" t="str">
        <f t="shared" si="0"/>
        <v>SUPPLY_EAST_D_1_20</v>
      </c>
      <c r="E58" s="139" t="s">
        <v>0</v>
      </c>
      <c r="F58" s="142" t="s">
        <v>0</v>
      </c>
      <c r="G58" s="140" t="s">
        <v>18</v>
      </c>
      <c r="H58" s="140" t="s">
        <v>47</v>
      </c>
      <c r="I58" s="140">
        <v>1</v>
      </c>
      <c r="J58" s="143"/>
      <c r="K58" s="184">
        <f>COUNT(AG58:BT58)</f>
        <v>15</v>
      </c>
      <c r="L58" s="14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1"/>
      <c r="AA58" s="8"/>
      <c r="AB58" s="3"/>
      <c r="AC58" s="3"/>
      <c r="AD58" s="3"/>
      <c r="AE58" s="3"/>
      <c r="AF58" s="31"/>
      <c r="AG58" s="179">
        <v>1</v>
      </c>
      <c r="AH58" s="5">
        <f t="shared" si="59"/>
        <v>2</v>
      </c>
      <c r="AI58" s="5">
        <f t="shared" si="59"/>
        <v>3</v>
      </c>
      <c r="AJ58" s="5">
        <f t="shared" si="59"/>
        <v>4</v>
      </c>
      <c r="AK58" s="5">
        <f t="shared" si="59"/>
        <v>5</v>
      </c>
      <c r="AL58" s="5">
        <f t="shared" si="59"/>
        <v>6</v>
      </c>
      <c r="AM58" s="5">
        <f t="shared" si="59"/>
        <v>7</v>
      </c>
      <c r="AN58" s="5">
        <f t="shared" si="59"/>
        <v>8</v>
      </c>
      <c r="AO58" s="5">
        <f t="shared" si="59"/>
        <v>9</v>
      </c>
      <c r="AP58" s="5">
        <f t="shared" si="59"/>
        <v>10</v>
      </c>
      <c r="AQ58" s="5">
        <f t="shared" si="59"/>
        <v>11</v>
      </c>
      <c r="AR58" s="5">
        <f t="shared" si="59"/>
        <v>12</v>
      </c>
      <c r="AS58" s="5">
        <f t="shared" si="61"/>
        <v>13</v>
      </c>
      <c r="AT58" s="5">
        <f t="shared" si="61"/>
        <v>14</v>
      </c>
      <c r="AU58" s="5">
        <f t="shared" si="61"/>
        <v>15</v>
      </c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3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</row>
    <row r="59" spans="2:92" ht="21.95" customHeight="1" x14ac:dyDescent="0.25">
      <c r="B59" s="139">
        <v>8</v>
      </c>
      <c r="C59" s="140">
        <v>5</v>
      </c>
      <c r="D59" s="139" t="str">
        <f t="shared" si="0"/>
        <v>EMPTY_EAST_D_1_20</v>
      </c>
      <c r="E59" s="140" t="s">
        <v>0</v>
      </c>
      <c r="F59" s="142" t="s">
        <v>32</v>
      </c>
      <c r="G59" s="140" t="s">
        <v>18</v>
      </c>
      <c r="H59" s="140" t="s">
        <v>47</v>
      </c>
      <c r="I59" s="140">
        <v>1</v>
      </c>
      <c r="J59" s="139"/>
      <c r="K59" s="184">
        <f>COUNT(AG59:BT59)</f>
        <v>31</v>
      </c>
      <c r="L59" s="139"/>
      <c r="M59" s="230"/>
      <c r="N59" s="230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  <c r="Z59" s="231"/>
      <c r="AA59" s="8"/>
      <c r="AB59" s="3"/>
      <c r="AC59" s="3"/>
      <c r="AD59" s="3"/>
      <c r="AE59" s="3"/>
      <c r="AF59" s="31"/>
      <c r="AG59" s="179">
        <v>1</v>
      </c>
      <c r="AH59" s="5">
        <f t="shared" si="59"/>
        <v>2</v>
      </c>
      <c r="AI59" s="5">
        <f t="shared" si="59"/>
        <v>3</v>
      </c>
      <c r="AJ59" s="5">
        <f t="shared" si="59"/>
        <v>4</v>
      </c>
      <c r="AK59" s="5">
        <f t="shared" si="59"/>
        <v>5</v>
      </c>
      <c r="AL59" s="5">
        <f t="shared" si="59"/>
        <v>6</v>
      </c>
      <c r="AM59" s="5">
        <f t="shared" si="59"/>
        <v>7</v>
      </c>
      <c r="AN59" s="5">
        <f t="shared" si="59"/>
        <v>8</v>
      </c>
      <c r="AO59" s="5">
        <f t="shared" si="59"/>
        <v>9</v>
      </c>
      <c r="AP59" s="5">
        <f t="shared" si="59"/>
        <v>10</v>
      </c>
      <c r="AQ59" s="5">
        <f t="shared" si="59"/>
        <v>11</v>
      </c>
      <c r="AR59" s="5">
        <f t="shared" si="59"/>
        <v>12</v>
      </c>
      <c r="AS59" s="5">
        <f t="shared" si="61"/>
        <v>13</v>
      </c>
      <c r="AT59" s="5">
        <f t="shared" si="61"/>
        <v>14</v>
      </c>
      <c r="AU59" s="5">
        <f t="shared" si="61"/>
        <v>15</v>
      </c>
      <c r="AV59" s="5">
        <f t="shared" si="61"/>
        <v>16</v>
      </c>
      <c r="AW59" s="5">
        <f t="shared" si="61"/>
        <v>17</v>
      </c>
      <c r="AX59" s="5">
        <f t="shared" si="61"/>
        <v>18</v>
      </c>
      <c r="AY59" s="5">
        <f t="shared" si="61"/>
        <v>19</v>
      </c>
      <c r="AZ59" s="5">
        <f t="shared" si="61"/>
        <v>20</v>
      </c>
      <c r="BA59" s="5">
        <f t="shared" si="61"/>
        <v>21</v>
      </c>
      <c r="BB59" s="5">
        <f t="shared" si="61"/>
        <v>22</v>
      </c>
      <c r="BC59" s="5">
        <f t="shared" si="61"/>
        <v>23</v>
      </c>
      <c r="BD59" s="5">
        <f t="shared" si="61"/>
        <v>24</v>
      </c>
      <c r="BE59" s="5">
        <f t="shared" si="61"/>
        <v>25</v>
      </c>
      <c r="BF59" s="5">
        <f t="shared" si="61"/>
        <v>26</v>
      </c>
      <c r="BG59" s="5">
        <f t="shared" si="61"/>
        <v>27</v>
      </c>
      <c r="BH59" s="5">
        <f t="shared" si="61"/>
        <v>28</v>
      </c>
      <c r="BI59" s="5">
        <f t="shared" ref="BI59:BK59" si="62">BH59+1</f>
        <v>29</v>
      </c>
      <c r="BJ59" s="5">
        <f t="shared" si="62"/>
        <v>30</v>
      </c>
      <c r="BK59" s="5">
        <f t="shared" si="62"/>
        <v>31</v>
      </c>
      <c r="BL59" s="46"/>
      <c r="BM59" s="4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</row>
    <row r="60" spans="2:92" ht="21.95" hidden="1" customHeight="1" x14ac:dyDescent="0.25">
      <c r="B60" s="139">
        <v>8</v>
      </c>
      <c r="C60" s="140">
        <v>6</v>
      </c>
      <c r="D60" s="139" t="str">
        <f t="shared" si="0"/>
        <v>COUNTDOWN_EAST_D_1_20</v>
      </c>
      <c r="E60" s="140"/>
      <c r="F60" s="142" t="s">
        <v>33</v>
      </c>
      <c r="G60" s="140" t="s">
        <v>18</v>
      </c>
      <c r="H60" s="140" t="s">
        <v>47</v>
      </c>
      <c r="I60" s="140">
        <v>1</v>
      </c>
      <c r="J60" s="144"/>
      <c r="K60" s="144"/>
      <c r="L60" s="14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  <c r="Z60" s="231"/>
      <c r="AA60" s="82"/>
      <c r="AB60" s="5"/>
      <c r="AC60" s="5"/>
      <c r="AD60" s="5"/>
      <c r="AE60" s="5"/>
      <c r="AF60" s="64"/>
      <c r="AG60" s="179"/>
      <c r="AH60" s="5"/>
      <c r="AI60" s="5"/>
      <c r="AJ60" s="5"/>
      <c r="AK60" s="5"/>
      <c r="AL60" s="5"/>
      <c r="AM60" s="5"/>
      <c r="AN60" s="5"/>
      <c r="AO60" s="3"/>
      <c r="AP60" s="6"/>
      <c r="AQ60" s="6"/>
      <c r="AR60" s="46"/>
      <c r="AS60" s="46"/>
      <c r="AT60" s="56"/>
      <c r="AU60" s="56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</row>
    <row r="61" spans="2:92" ht="21.95" hidden="1" customHeight="1" x14ac:dyDescent="0.25">
      <c r="B61" s="139">
        <v>9</v>
      </c>
      <c r="C61" s="139">
        <v>1</v>
      </c>
      <c r="D61" s="139" t="str">
        <f t="shared" si="0"/>
        <v>SORTING_EAST_K_2_20</v>
      </c>
      <c r="E61" s="139" t="s">
        <v>35</v>
      </c>
      <c r="F61" s="138" t="s">
        <v>45</v>
      </c>
      <c r="G61" s="140" t="s">
        <v>18</v>
      </c>
      <c r="H61" s="140" t="s">
        <v>12</v>
      </c>
      <c r="I61" s="140">
        <v>2</v>
      </c>
      <c r="J61" s="139"/>
      <c r="K61" s="184">
        <f>COUNT(AA61:AZ61)</f>
        <v>18</v>
      </c>
      <c r="L61" s="139"/>
      <c r="M61" s="230"/>
      <c r="N61" s="230"/>
      <c r="O61" s="230"/>
      <c r="P61" s="230"/>
      <c r="Q61" s="230"/>
      <c r="R61" s="230"/>
      <c r="S61" s="230"/>
      <c r="T61" s="230"/>
      <c r="U61" s="230"/>
      <c r="V61" s="230"/>
      <c r="W61" s="230"/>
      <c r="X61" s="230"/>
      <c r="Y61" s="230"/>
      <c r="Z61" s="231"/>
      <c r="AA61" s="82">
        <v>1</v>
      </c>
      <c r="AB61" s="5">
        <f t="shared" ref="AB61:AR65" si="63">AA61+1</f>
        <v>2</v>
      </c>
      <c r="AC61" s="5">
        <f t="shared" si="63"/>
        <v>3</v>
      </c>
      <c r="AD61" s="5">
        <f t="shared" si="63"/>
        <v>4</v>
      </c>
      <c r="AE61" s="5">
        <f t="shared" si="63"/>
        <v>5</v>
      </c>
      <c r="AF61" s="5">
        <f t="shared" si="63"/>
        <v>6</v>
      </c>
      <c r="AG61" s="5">
        <f t="shared" si="63"/>
        <v>7</v>
      </c>
      <c r="AH61" s="5">
        <f t="shared" si="63"/>
        <v>8</v>
      </c>
      <c r="AI61" s="5">
        <f t="shared" si="63"/>
        <v>9</v>
      </c>
      <c r="AJ61" s="5">
        <f t="shared" si="63"/>
        <v>10</v>
      </c>
      <c r="AK61" s="5">
        <f t="shared" si="63"/>
        <v>11</v>
      </c>
      <c r="AL61" s="5">
        <f t="shared" si="63"/>
        <v>12</v>
      </c>
      <c r="AM61" s="5">
        <f t="shared" si="63"/>
        <v>13</v>
      </c>
      <c r="AN61" s="5">
        <f t="shared" si="63"/>
        <v>14</v>
      </c>
      <c r="AO61" s="5">
        <f t="shared" si="63"/>
        <v>15</v>
      </c>
      <c r="AP61" s="5">
        <f t="shared" si="63"/>
        <v>16</v>
      </c>
      <c r="AQ61" s="5">
        <f t="shared" si="63"/>
        <v>17</v>
      </c>
      <c r="AR61" s="5">
        <f t="shared" si="63"/>
        <v>18</v>
      </c>
      <c r="AS61" s="180"/>
      <c r="AT61" s="180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</row>
    <row r="62" spans="2:92" ht="21.95" hidden="1" customHeight="1" x14ac:dyDescent="0.25">
      <c r="B62" s="139">
        <v>9</v>
      </c>
      <c r="C62" s="139">
        <v>2</v>
      </c>
      <c r="D62" s="139" t="str">
        <f t="shared" si="0"/>
        <v>TRANSFER_EAST_K_2_20</v>
      </c>
      <c r="E62" s="139" t="s">
        <v>21</v>
      </c>
      <c r="F62" s="138" t="s">
        <v>21</v>
      </c>
      <c r="G62" s="140" t="s">
        <v>18</v>
      </c>
      <c r="H62" s="140" t="s">
        <v>12</v>
      </c>
      <c r="I62" s="140">
        <v>2</v>
      </c>
      <c r="J62" s="139"/>
      <c r="K62" s="184">
        <f>COUNT(AA62:AZ62)</f>
        <v>20</v>
      </c>
      <c r="L62" s="139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0"/>
      <c r="Z62" s="231"/>
      <c r="AA62" s="82">
        <v>1</v>
      </c>
      <c r="AB62" s="5">
        <f t="shared" si="63"/>
        <v>2</v>
      </c>
      <c r="AC62" s="5">
        <f t="shared" si="63"/>
        <v>3</v>
      </c>
      <c r="AD62" s="5">
        <f t="shared" si="63"/>
        <v>4</v>
      </c>
      <c r="AE62" s="5">
        <f t="shared" si="63"/>
        <v>5</v>
      </c>
      <c r="AF62" s="5">
        <f t="shared" si="63"/>
        <v>6</v>
      </c>
      <c r="AG62" s="5">
        <f t="shared" si="63"/>
        <v>7</v>
      </c>
      <c r="AH62" s="5">
        <f t="shared" si="63"/>
        <v>8</v>
      </c>
      <c r="AI62" s="5">
        <f t="shared" si="63"/>
        <v>9</v>
      </c>
      <c r="AJ62" s="5">
        <f t="shared" si="63"/>
        <v>10</v>
      </c>
      <c r="AK62" s="5">
        <f t="shared" si="63"/>
        <v>11</v>
      </c>
      <c r="AL62" s="5">
        <f t="shared" si="63"/>
        <v>12</v>
      </c>
      <c r="AM62" s="5">
        <f t="shared" si="63"/>
        <v>13</v>
      </c>
      <c r="AN62" s="5">
        <f t="shared" si="63"/>
        <v>14</v>
      </c>
      <c r="AO62" s="5">
        <f t="shared" si="63"/>
        <v>15</v>
      </c>
      <c r="AP62" s="5">
        <f t="shared" si="63"/>
        <v>16</v>
      </c>
      <c r="AQ62" s="5">
        <f t="shared" si="63"/>
        <v>17</v>
      </c>
      <c r="AR62" s="5">
        <f t="shared" si="63"/>
        <v>18</v>
      </c>
      <c r="AS62" s="5">
        <f t="shared" ref="AS62:BH65" si="64">AR62+1</f>
        <v>19</v>
      </c>
      <c r="AT62" s="5">
        <f t="shared" si="64"/>
        <v>20</v>
      </c>
      <c r="AU62" s="4"/>
      <c r="AV62" s="4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</row>
    <row r="63" spans="2:92" ht="21.95" customHeight="1" x14ac:dyDescent="0.25">
      <c r="B63" s="139">
        <v>9</v>
      </c>
      <c r="C63" s="139">
        <v>3</v>
      </c>
      <c r="D63" s="139" t="str">
        <f t="shared" si="0"/>
        <v>PREPARE_EAST_K_2_20</v>
      </c>
      <c r="E63" s="139" t="s">
        <v>0</v>
      </c>
      <c r="F63" s="138" t="s">
        <v>46</v>
      </c>
      <c r="G63" s="140" t="s">
        <v>18</v>
      </c>
      <c r="H63" s="140" t="s">
        <v>12</v>
      </c>
      <c r="I63" s="140">
        <v>2</v>
      </c>
      <c r="J63" s="141"/>
      <c r="K63" s="184">
        <f>COUNT(M63:AZ63)</f>
        <v>36</v>
      </c>
      <c r="L63" s="139"/>
      <c r="M63" s="232">
        <v>1</v>
      </c>
      <c r="N63" s="232">
        <f>M63+1</f>
        <v>2</v>
      </c>
      <c r="O63" s="232">
        <f t="shared" ref="O63:AA63" si="65">N63+1</f>
        <v>3</v>
      </c>
      <c r="P63" s="232">
        <f t="shared" si="65"/>
        <v>4</v>
      </c>
      <c r="Q63" s="232">
        <f t="shared" si="65"/>
        <v>5</v>
      </c>
      <c r="R63" s="232">
        <f t="shared" si="65"/>
        <v>6</v>
      </c>
      <c r="S63" s="232">
        <f t="shared" si="65"/>
        <v>7</v>
      </c>
      <c r="T63" s="232">
        <f t="shared" si="65"/>
        <v>8</v>
      </c>
      <c r="U63" s="232">
        <f t="shared" si="65"/>
        <v>9</v>
      </c>
      <c r="V63" s="232">
        <f t="shared" si="65"/>
        <v>10</v>
      </c>
      <c r="W63" s="232">
        <f t="shared" si="65"/>
        <v>11</v>
      </c>
      <c r="X63" s="232">
        <f t="shared" si="65"/>
        <v>12</v>
      </c>
      <c r="Y63" s="232">
        <f t="shared" si="65"/>
        <v>13</v>
      </c>
      <c r="Z63" s="232">
        <f t="shared" si="65"/>
        <v>14</v>
      </c>
      <c r="AA63" s="232">
        <f t="shared" si="65"/>
        <v>15</v>
      </c>
      <c r="AB63" s="232">
        <f t="shared" si="63"/>
        <v>16</v>
      </c>
      <c r="AC63" s="232">
        <f t="shared" si="63"/>
        <v>17</v>
      </c>
      <c r="AD63" s="232">
        <f t="shared" si="63"/>
        <v>18</v>
      </c>
      <c r="AE63" s="232">
        <f t="shared" si="63"/>
        <v>19</v>
      </c>
      <c r="AF63" s="232">
        <f t="shared" si="63"/>
        <v>20</v>
      </c>
      <c r="AG63" s="232">
        <f t="shared" si="63"/>
        <v>21</v>
      </c>
      <c r="AH63" s="232">
        <f t="shared" si="63"/>
        <v>22</v>
      </c>
      <c r="AI63" s="232">
        <f t="shared" si="63"/>
        <v>23</v>
      </c>
      <c r="AJ63" s="232">
        <f t="shared" si="63"/>
        <v>24</v>
      </c>
      <c r="AK63" s="232">
        <f t="shared" si="63"/>
        <v>25</v>
      </c>
      <c r="AL63" s="232">
        <f t="shared" si="63"/>
        <v>26</v>
      </c>
      <c r="AM63" s="232">
        <f t="shared" si="63"/>
        <v>27</v>
      </c>
      <c r="AN63" s="232">
        <f t="shared" si="63"/>
        <v>28</v>
      </c>
      <c r="AO63" s="232">
        <f t="shared" si="63"/>
        <v>29</v>
      </c>
      <c r="AP63" s="232">
        <f t="shared" si="63"/>
        <v>30</v>
      </c>
      <c r="AQ63" s="232">
        <f t="shared" si="63"/>
        <v>31</v>
      </c>
      <c r="AR63" s="232">
        <f t="shared" si="63"/>
        <v>32</v>
      </c>
      <c r="AS63" s="232">
        <f t="shared" si="64"/>
        <v>33</v>
      </c>
      <c r="AT63" s="232">
        <f t="shared" si="64"/>
        <v>34</v>
      </c>
      <c r="AU63" s="232">
        <f t="shared" si="64"/>
        <v>35</v>
      </c>
      <c r="AV63" s="232">
        <f t="shared" si="64"/>
        <v>36</v>
      </c>
      <c r="AW63" s="4"/>
      <c r="AX63" s="4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</row>
    <row r="64" spans="2:92" ht="21.95" customHeight="1" x14ac:dyDescent="0.25">
      <c r="B64" s="139">
        <v>9</v>
      </c>
      <c r="C64" s="139">
        <v>4</v>
      </c>
      <c r="D64" s="139" t="str">
        <f t="shared" si="0"/>
        <v>SUPPLY_EAST_K_2_20</v>
      </c>
      <c r="E64" s="139" t="s">
        <v>0</v>
      </c>
      <c r="F64" s="142" t="s">
        <v>0</v>
      </c>
      <c r="G64" s="140" t="s">
        <v>18</v>
      </c>
      <c r="H64" s="140" t="s">
        <v>12</v>
      </c>
      <c r="I64" s="140">
        <v>2</v>
      </c>
      <c r="J64" s="143"/>
      <c r="K64" s="184">
        <f>COUNT(AG64:BT64)</f>
        <v>18</v>
      </c>
      <c r="L64" s="140"/>
      <c r="M64" s="230"/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230"/>
      <c r="Y64" s="230"/>
      <c r="Z64" s="231"/>
      <c r="AA64" s="8"/>
      <c r="AB64" s="3"/>
      <c r="AC64" s="3"/>
      <c r="AD64" s="3"/>
      <c r="AE64" s="3"/>
      <c r="AF64" s="31"/>
      <c r="AG64" s="179">
        <v>1</v>
      </c>
      <c r="AH64" s="5">
        <f t="shared" si="63"/>
        <v>2</v>
      </c>
      <c r="AI64" s="5">
        <f t="shared" si="63"/>
        <v>3</v>
      </c>
      <c r="AJ64" s="5">
        <f t="shared" si="63"/>
        <v>4</v>
      </c>
      <c r="AK64" s="5">
        <f t="shared" si="63"/>
        <v>5</v>
      </c>
      <c r="AL64" s="5">
        <f t="shared" si="63"/>
        <v>6</v>
      </c>
      <c r="AM64" s="5">
        <f t="shared" si="63"/>
        <v>7</v>
      </c>
      <c r="AN64" s="5">
        <f t="shared" si="63"/>
        <v>8</v>
      </c>
      <c r="AO64" s="5">
        <f t="shared" si="63"/>
        <v>9</v>
      </c>
      <c r="AP64" s="5">
        <f t="shared" si="63"/>
        <v>10</v>
      </c>
      <c r="AQ64" s="5">
        <f t="shared" si="63"/>
        <v>11</v>
      </c>
      <c r="AR64" s="5">
        <f t="shared" si="63"/>
        <v>12</v>
      </c>
      <c r="AS64" s="5">
        <f t="shared" si="64"/>
        <v>13</v>
      </c>
      <c r="AT64" s="5">
        <f t="shared" si="64"/>
        <v>14</v>
      </c>
      <c r="AU64" s="5">
        <f t="shared" si="64"/>
        <v>15</v>
      </c>
      <c r="AV64" s="5">
        <f t="shared" si="64"/>
        <v>16</v>
      </c>
      <c r="AW64" s="5">
        <f t="shared" si="64"/>
        <v>17</v>
      </c>
      <c r="AX64" s="5">
        <f t="shared" si="64"/>
        <v>18</v>
      </c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</row>
    <row r="65" spans="2:92" ht="21.95" customHeight="1" x14ac:dyDescent="0.25">
      <c r="B65" s="139">
        <v>9</v>
      </c>
      <c r="C65" s="140">
        <v>5</v>
      </c>
      <c r="D65" s="139" t="str">
        <f t="shared" si="0"/>
        <v>EMPTY_EAST_K_2_20</v>
      </c>
      <c r="E65" s="140" t="s">
        <v>0</v>
      </c>
      <c r="F65" s="142" t="s">
        <v>32</v>
      </c>
      <c r="G65" s="140" t="s">
        <v>18</v>
      </c>
      <c r="H65" s="140" t="s">
        <v>12</v>
      </c>
      <c r="I65" s="140">
        <v>2</v>
      </c>
      <c r="J65" s="139"/>
      <c r="K65" s="184">
        <f>COUNT(AG65:BT65)</f>
        <v>33</v>
      </c>
      <c r="L65" s="139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  <c r="Z65" s="231"/>
      <c r="AA65" s="8"/>
      <c r="AB65" s="3"/>
      <c r="AC65" s="3"/>
      <c r="AD65" s="3"/>
      <c r="AE65" s="3"/>
      <c r="AF65" s="31"/>
      <c r="AG65" s="179">
        <v>1</v>
      </c>
      <c r="AH65" s="5">
        <f t="shared" si="63"/>
        <v>2</v>
      </c>
      <c r="AI65" s="5">
        <f t="shared" si="63"/>
        <v>3</v>
      </c>
      <c r="AJ65" s="5">
        <f t="shared" si="63"/>
        <v>4</v>
      </c>
      <c r="AK65" s="5">
        <f t="shared" si="63"/>
        <v>5</v>
      </c>
      <c r="AL65" s="5">
        <f t="shared" si="63"/>
        <v>6</v>
      </c>
      <c r="AM65" s="5">
        <f t="shared" si="63"/>
        <v>7</v>
      </c>
      <c r="AN65" s="5">
        <f t="shared" si="63"/>
        <v>8</v>
      </c>
      <c r="AO65" s="5">
        <f t="shared" si="63"/>
        <v>9</v>
      </c>
      <c r="AP65" s="5">
        <f t="shared" si="63"/>
        <v>10</v>
      </c>
      <c r="AQ65" s="5">
        <f t="shared" si="63"/>
        <v>11</v>
      </c>
      <c r="AR65" s="5">
        <f t="shared" si="63"/>
        <v>12</v>
      </c>
      <c r="AS65" s="5">
        <f t="shared" si="64"/>
        <v>13</v>
      </c>
      <c r="AT65" s="5">
        <f t="shared" si="64"/>
        <v>14</v>
      </c>
      <c r="AU65" s="5">
        <f t="shared" si="64"/>
        <v>15</v>
      </c>
      <c r="AV65" s="5">
        <f t="shared" si="64"/>
        <v>16</v>
      </c>
      <c r="AW65" s="5">
        <f t="shared" si="64"/>
        <v>17</v>
      </c>
      <c r="AX65" s="5">
        <f t="shared" si="64"/>
        <v>18</v>
      </c>
      <c r="AY65" s="5">
        <f t="shared" si="64"/>
        <v>19</v>
      </c>
      <c r="AZ65" s="5">
        <f t="shared" si="64"/>
        <v>20</v>
      </c>
      <c r="BA65" s="5">
        <f t="shared" si="64"/>
        <v>21</v>
      </c>
      <c r="BB65" s="5">
        <f t="shared" si="64"/>
        <v>22</v>
      </c>
      <c r="BC65" s="5">
        <f t="shared" si="64"/>
        <v>23</v>
      </c>
      <c r="BD65" s="5">
        <f t="shared" si="64"/>
        <v>24</v>
      </c>
      <c r="BE65" s="5">
        <f t="shared" si="64"/>
        <v>25</v>
      </c>
      <c r="BF65" s="5">
        <f t="shared" si="64"/>
        <v>26</v>
      </c>
      <c r="BG65" s="5">
        <f t="shared" si="64"/>
        <v>27</v>
      </c>
      <c r="BH65" s="5">
        <f t="shared" si="64"/>
        <v>28</v>
      </c>
      <c r="BI65" s="5">
        <f t="shared" ref="BI65:BM65" si="66">BH65+1</f>
        <v>29</v>
      </c>
      <c r="BJ65" s="5">
        <f t="shared" si="66"/>
        <v>30</v>
      </c>
      <c r="BK65" s="5">
        <f t="shared" si="66"/>
        <v>31</v>
      </c>
      <c r="BL65" s="5">
        <f t="shared" si="66"/>
        <v>32</v>
      </c>
      <c r="BM65" s="5">
        <f t="shared" si="66"/>
        <v>33</v>
      </c>
      <c r="BN65" s="46"/>
      <c r="BO65" s="4"/>
      <c r="BP65" s="4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</row>
    <row r="66" spans="2:92" ht="21.95" hidden="1" customHeight="1" x14ac:dyDescent="0.25">
      <c r="B66" s="139">
        <v>9</v>
      </c>
      <c r="C66" s="140">
        <v>6</v>
      </c>
      <c r="D66" s="139" t="str">
        <f t="shared" si="0"/>
        <v>COUNTDOWN_EAST_K_2_20</v>
      </c>
      <c r="E66" s="140"/>
      <c r="F66" s="142" t="s">
        <v>33</v>
      </c>
      <c r="G66" s="140" t="s">
        <v>18</v>
      </c>
      <c r="H66" s="140" t="s">
        <v>12</v>
      </c>
      <c r="I66" s="140">
        <v>2</v>
      </c>
      <c r="J66" s="144"/>
      <c r="K66" s="144"/>
      <c r="L66" s="140"/>
      <c r="M66" s="230"/>
      <c r="N66" s="230"/>
      <c r="O66" s="230"/>
      <c r="P66" s="230"/>
      <c r="Q66" s="230"/>
      <c r="R66" s="230"/>
      <c r="S66" s="230"/>
      <c r="T66" s="230"/>
      <c r="U66" s="230"/>
      <c r="V66" s="230"/>
      <c r="W66" s="230"/>
      <c r="X66" s="230"/>
      <c r="Y66" s="230"/>
      <c r="Z66" s="231"/>
      <c r="AA66" s="82"/>
      <c r="AB66" s="5"/>
      <c r="AC66" s="5"/>
      <c r="AD66" s="5"/>
      <c r="AE66" s="5"/>
      <c r="AF66" s="64"/>
      <c r="AG66" s="179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6"/>
      <c r="AT66" s="6"/>
      <c r="AU66" s="46"/>
      <c r="AV66" s="46"/>
      <c r="AW66" s="56"/>
      <c r="AX66" s="56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</row>
    <row r="67" spans="2:92" ht="21.95" hidden="1" customHeight="1" x14ac:dyDescent="0.25">
      <c r="B67" s="139">
        <v>10</v>
      </c>
      <c r="C67" s="139">
        <v>1</v>
      </c>
      <c r="D67" s="139" t="str">
        <f t="shared" si="0"/>
        <v>SORTING_WEST_H_1_20</v>
      </c>
      <c r="E67" s="139" t="s">
        <v>35</v>
      </c>
      <c r="F67" s="138" t="s">
        <v>45</v>
      </c>
      <c r="G67" s="140" t="s">
        <v>19</v>
      </c>
      <c r="H67" s="140" t="s">
        <v>9</v>
      </c>
      <c r="I67" s="140">
        <v>1</v>
      </c>
      <c r="J67" s="139"/>
      <c r="K67" s="184">
        <f>COUNT(AA67:AZ67)</f>
        <v>0</v>
      </c>
      <c r="L67" s="139"/>
      <c r="M67" s="230"/>
      <c r="N67" s="230"/>
      <c r="O67" s="230"/>
      <c r="P67" s="230"/>
      <c r="Q67" s="230"/>
      <c r="R67" s="230"/>
      <c r="S67" s="230"/>
      <c r="T67" s="230"/>
      <c r="U67" s="230"/>
      <c r="V67" s="230"/>
      <c r="W67" s="230"/>
      <c r="X67" s="230"/>
      <c r="Y67" s="230"/>
      <c r="Z67" s="231"/>
      <c r="AA67" s="197"/>
      <c r="AB67" s="198"/>
      <c r="AC67" s="199"/>
      <c r="AD67" s="199"/>
      <c r="AE67" s="199"/>
      <c r="AF67" s="200"/>
      <c r="AG67" s="201"/>
      <c r="AH67" s="199"/>
      <c r="AI67" s="199"/>
      <c r="AJ67" s="199"/>
      <c r="AK67" s="199"/>
      <c r="AL67" s="199"/>
      <c r="AM67" s="199"/>
      <c r="AN67" s="199"/>
      <c r="AO67" s="199"/>
      <c r="AP67" s="199"/>
      <c r="AQ67" s="199"/>
      <c r="AR67" s="199"/>
      <c r="AS67" s="199"/>
      <c r="AT67" s="199"/>
      <c r="AU67" s="199"/>
      <c r="AV67" s="199"/>
      <c r="AW67" s="199"/>
      <c r="AX67" s="199"/>
      <c r="AY67" s="199"/>
      <c r="AZ67" s="199"/>
      <c r="BA67" s="199"/>
      <c r="BB67" s="199"/>
      <c r="BC67" s="199"/>
      <c r="BD67" s="199"/>
      <c r="BE67" s="199"/>
      <c r="BF67" s="199"/>
      <c r="BG67" s="199"/>
      <c r="BH67" s="199"/>
      <c r="BI67" s="199"/>
      <c r="BJ67" s="199"/>
      <c r="BK67" s="199"/>
      <c r="BL67" s="199"/>
      <c r="BM67" s="199"/>
      <c r="BN67" s="199"/>
      <c r="BO67" s="199"/>
      <c r="BP67" s="199"/>
      <c r="BQ67" s="199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</row>
    <row r="68" spans="2:92" ht="21.95" hidden="1" customHeight="1" x14ac:dyDescent="0.25">
      <c r="B68" s="139">
        <v>10</v>
      </c>
      <c r="C68" s="139">
        <v>2</v>
      </c>
      <c r="D68" s="139" t="str">
        <f t="shared" si="0"/>
        <v>TRANSFER_WEST_H_1_20</v>
      </c>
      <c r="E68" s="139" t="s">
        <v>21</v>
      </c>
      <c r="F68" s="138" t="s">
        <v>21</v>
      </c>
      <c r="G68" s="140" t="s">
        <v>19</v>
      </c>
      <c r="H68" s="140" t="s">
        <v>9</v>
      </c>
      <c r="I68" s="140">
        <v>1</v>
      </c>
      <c r="J68" s="139"/>
      <c r="K68" s="184">
        <f>COUNT(AA68:AZ68)</f>
        <v>2</v>
      </c>
      <c r="L68" s="139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  <c r="Z68" s="231"/>
      <c r="AA68" s="234">
        <v>1</v>
      </c>
      <c r="AB68" s="232">
        <f>AA68+1</f>
        <v>2</v>
      </c>
      <c r="AC68" s="235"/>
      <c r="AD68" s="235"/>
      <c r="AE68" s="232"/>
      <c r="AF68" s="236"/>
      <c r="AG68" s="237"/>
      <c r="AH68" s="232"/>
      <c r="AI68" s="232"/>
      <c r="AJ68" s="232"/>
      <c r="AK68" s="232"/>
      <c r="AL68" s="232"/>
      <c r="AM68" s="232"/>
      <c r="AN68" s="232"/>
      <c r="AO68" s="232"/>
      <c r="AP68" s="232"/>
      <c r="AQ68" s="232"/>
      <c r="AR68" s="232"/>
      <c r="AS68" s="232"/>
      <c r="AT68" s="232"/>
      <c r="AU68" s="232"/>
      <c r="AV68" s="232"/>
      <c r="AW68" s="232"/>
      <c r="AX68" s="232"/>
      <c r="AY68" s="232"/>
      <c r="AZ68" s="232"/>
      <c r="BA68" s="232"/>
      <c r="BB68" s="232"/>
      <c r="BC68" s="232"/>
      <c r="BD68" s="232"/>
      <c r="BE68" s="232"/>
      <c r="BF68" s="232"/>
      <c r="BG68" s="232"/>
      <c r="BH68" s="232"/>
      <c r="BI68" s="232"/>
      <c r="BJ68" s="232"/>
      <c r="BK68" s="232"/>
      <c r="BL68" s="232"/>
      <c r="BM68" s="232"/>
      <c r="BN68" s="232"/>
      <c r="BO68" s="232"/>
      <c r="BP68" s="232"/>
      <c r="BQ68" s="232"/>
      <c r="BR68" s="232"/>
      <c r="BS68" s="232"/>
      <c r="BT68" s="232"/>
      <c r="BU68" s="232"/>
      <c r="BV68" s="232"/>
      <c r="BW68" s="232"/>
      <c r="BX68" s="232"/>
      <c r="BY68" s="232"/>
      <c r="BZ68" s="232"/>
      <c r="CA68" s="232"/>
      <c r="CB68" s="232"/>
      <c r="CC68" s="232"/>
      <c r="CD68" s="232"/>
      <c r="CE68" s="232"/>
      <c r="CF68" s="232"/>
      <c r="CG68" s="232"/>
      <c r="CH68" s="232"/>
      <c r="CI68" s="232"/>
      <c r="CJ68" s="232"/>
      <c r="CK68" s="232"/>
      <c r="CL68" s="232"/>
      <c r="CM68" s="232"/>
      <c r="CN68" s="232"/>
    </row>
    <row r="69" spans="2:92" ht="21.95" customHeight="1" x14ac:dyDescent="0.25">
      <c r="B69" s="139">
        <v>10</v>
      </c>
      <c r="C69" s="139">
        <v>3</v>
      </c>
      <c r="D69" s="139" t="str">
        <f t="shared" si="0"/>
        <v>PREPARE_WEST_H_1_20</v>
      </c>
      <c r="E69" s="139" t="s">
        <v>0</v>
      </c>
      <c r="F69" s="138" t="s">
        <v>46</v>
      </c>
      <c r="G69" s="140" t="s">
        <v>19</v>
      </c>
      <c r="H69" s="140" t="s">
        <v>9</v>
      </c>
      <c r="I69" s="140">
        <v>1</v>
      </c>
      <c r="J69" s="141"/>
      <c r="K69" s="184">
        <f>COUNT(M69:AZ69)</f>
        <v>19</v>
      </c>
      <c r="L69" s="139"/>
      <c r="M69" s="232">
        <v>1</v>
      </c>
      <c r="N69" s="232">
        <f>M69+1</f>
        <v>2</v>
      </c>
      <c r="O69" s="232">
        <f t="shared" ref="O69:AE69" si="67">N69+1</f>
        <v>3</v>
      </c>
      <c r="P69" s="232">
        <f t="shared" si="67"/>
        <v>4</v>
      </c>
      <c r="Q69" s="232">
        <f t="shared" si="67"/>
        <v>5</v>
      </c>
      <c r="R69" s="232">
        <f t="shared" si="67"/>
        <v>6</v>
      </c>
      <c r="S69" s="232">
        <f t="shared" si="67"/>
        <v>7</v>
      </c>
      <c r="T69" s="232">
        <f t="shared" si="67"/>
        <v>8</v>
      </c>
      <c r="U69" s="232">
        <f t="shared" si="67"/>
        <v>9</v>
      </c>
      <c r="V69" s="232">
        <f t="shared" si="67"/>
        <v>10</v>
      </c>
      <c r="W69" s="232">
        <f t="shared" si="67"/>
        <v>11</v>
      </c>
      <c r="X69" s="232">
        <f t="shared" si="67"/>
        <v>12</v>
      </c>
      <c r="Y69" s="232">
        <f t="shared" si="67"/>
        <v>13</v>
      </c>
      <c r="Z69" s="232">
        <f t="shared" si="67"/>
        <v>14</v>
      </c>
      <c r="AA69" s="232">
        <f t="shared" si="67"/>
        <v>15</v>
      </c>
      <c r="AB69" s="232">
        <f t="shared" si="67"/>
        <v>16</v>
      </c>
      <c r="AC69" s="232">
        <f t="shared" si="67"/>
        <v>17</v>
      </c>
      <c r="AD69" s="232">
        <f t="shared" si="67"/>
        <v>18</v>
      </c>
      <c r="AE69" s="232">
        <f t="shared" si="67"/>
        <v>19</v>
      </c>
      <c r="AF69" s="238"/>
      <c r="AG69" s="239"/>
      <c r="AH69" s="230"/>
      <c r="AI69" s="232"/>
      <c r="AJ69" s="232"/>
      <c r="AK69" s="232"/>
      <c r="AL69" s="232"/>
      <c r="AM69" s="232"/>
      <c r="AN69" s="232"/>
      <c r="AO69" s="232"/>
      <c r="AP69" s="232"/>
      <c r="AQ69" s="232"/>
      <c r="AR69" s="232"/>
      <c r="AS69" s="232"/>
      <c r="AT69" s="232"/>
      <c r="AU69" s="232"/>
      <c r="AV69" s="232"/>
      <c r="AW69" s="232"/>
      <c r="AX69" s="232"/>
      <c r="AY69" s="232"/>
      <c r="AZ69" s="232"/>
      <c r="BA69" s="232"/>
      <c r="BB69" s="232"/>
      <c r="BC69" s="232"/>
      <c r="BD69" s="232"/>
      <c r="BE69" s="232"/>
      <c r="BF69" s="232"/>
      <c r="BG69" s="232"/>
      <c r="BH69" s="232"/>
      <c r="BI69" s="232"/>
      <c r="BJ69" s="232"/>
      <c r="BK69" s="232"/>
      <c r="BL69" s="232"/>
      <c r="BM69" s="232"/>
      <c r="BN69" s="232"/>
      <c r="BO69" s="232"/>
      <c r="BP69" s="232"/>
      <c r="BQ69" s="232"/>
      <c r="BR69" s="232"/>
      <c r="BS69" s="232"/>
      <c r="BT69" s="232"/>
      <c r="BU69" s="232"/>
      <c r="BV69" s="232"/>
      <c r="BW69" s="232"/>
      <c r="BX69" s="232"/>
      <c r="BY69" s="232"/>
      <c r="BZ69" s="232"/>
      <c r="CA69" s="232"/>
      <c r="CB69" s="232"/>
      <c r="CC69" s="232"/>
      <c r="CD69" s="232"/>
      <c r="CE69" s="232"/>
      <c r="CF69" s="232"/>
      <c r="CG69" s="232"/>
      <c r="CH69" s="232"/>
      <c r="CI69" s="232"/>
      <c r="CJ69" s="232"/>
      <c r="CK69" s="232"/>
      <c r="CL69" s="232"/>
      <c r="CM69" s="232"/>
      <c r="CN69" s="232"/>
    </row>
    <row r="70" spans="2:92" ht="21.95" customHeight="1" x14ac:dyDescent="0.25">
      <c r="B70" s="139">
        <v>10</v>
      </c>
      <c r="C70" s="139">
        <v>4</v>
      </c>
      <c r="D70" s="139" t="str">
        <f t="shared" si="0"/>
        <v>SUPPLY_WEST_H_1_20</v>
      </c>
      <c r="E70" s="139" t="s">
        <v>0</v>
      </c>
      <c r="F70" s="142" t="s">
        <v>0</v>
      </c>
      <c r="G70" s="140" t="s">
        <v>19</v>
      </c>
      <c r="H70" s="140" t="s">
        <v>9</v>
      </c>
      <c r="I70" s="140">
        <v>1</v>
      </c>
      <c r="J70" s="143"/>
      <c r="K70" s="184">
        <f>COUNT(AG70:BT70)</f>
        <v>0</v>
      </c>
      <c r="L70" s="140"/>
      <c r="M70" s="230"/>
      <c r="N70" s="230"/>
      <c r="O70" s="230"/>
      <c r="P70" s="230"/>
      <c r="Q70" s="230"/>
      <c r="R70" s="230"/>
      <c r="S70" s="230"/>
      <c r="T70" s="230"/>
      <c r="U70" s="230"/>
      <c r="V70" s="230"/>
      <c r="W70" s="230"/>
      <c r="X70" s="230"/>
      <c r="Y70" s="230"/>
      <c r="Z70" s="231"/>
      <c r="AA70" s="240"/>
      <c r="AB70" s="230"/>
      <c r="AC70" s="230"/>
      <c r="AD70" s="230"/>
      <c r="AE70" s="230"/>
      <c r="AF70" s="241"/>
      <c r="AG70" s="242"/>
      <c r="AH70" s="235"/>
      <c r="AI70" s="235"/>
      <c r="AJ70" s="235"/>
      <c r="AK70" s="235"/>
      <c r="AL70" s="235"/>
      <c r="AM70" s="235"/>
      <c r="AN70" s="235"/>
      <c r="AO70" s="235"/>
      <c r="AP70" s="235"/>
      <c r="AQ70" s="235"/>
      <c r="AR70" s="235"/>
      <c r="AS70" s="235"/>
      <c r="AT70" s="235"/>
      <c r="AU70" s="235"/>
      <c r="AV70" s="235"/>
      <c r="AW70" s="235"/>
      <c r="AX70" s="232"/>
      <c r="AY70" s="232"/>
      <c r="AZ70" s="232"/>
      <c r="BA70" s="232"/>
      <c r="BB70" s="232"/>
      <c r="BC70" s="232"/>
      <c r="BD70" s="232"/>
      <c r="BE70" s="232"/>
      <c r="BF70" s="232"/>
      <c r="BG70" s="232"/>
      <c r="BH70" s="232"/>
      <c r="BI70" s="232"/>
      <c r="BJ70" s="232"/>
      <c r="BK70" s="232"/>
      <c r="BL70" s="232"/>
      <c r="BM70" s="232"/>
      <c r="BN70" s="232"/>
      <c r="BO70" s="232"/>
      <c r="BP70" s="232"/>
      <c r="BQ70" s="232"/>
      <c r="BR70" s="232"/>
      <c r="BS70" s="232"/>
      <c r="BT70" s="232"/>
      <c r="BU70" s="232"/>
      <c r="BV70" s="232"/>
      <c r="BW70" s="232"/>
      <c r="BX70" s="232"/>
      <c r="BY70" s="232"/>
      <c r="BZ70" s="232"/>
      <c r="CA70" s="232"/>
      <c r="CB70" s="232"/>
      <c r="CC70" s="232"/>
      <c r="CD70" s="232"/>
      <c r="CE70" s="232"/>
      <c r="CF70" s="232"/>
      <c r="CG70" s="232"/>
      <c r="CH70" s="232"/>
      <c r="CI70" s="232"/>
      <c r="CJ70" s="232"/>
      <c r="CK70" s="232"/>
      <c r="CL70" s="232"/>
      <c r="CM70" s="232"/>
      <c r="CN70" s="232"/>
    </row>
    <row r="71" spans="2:92" ht="21.95" customHeight="1" x14ac:dyDescent="0.25">
      <c r="B71" s="139">
        <v>10</v>
      </c>
      <c r="C71" s="140">
        <v>5</v>
      </c>
      <c r="D71" s="139" t="str">
        <f t="shared" si="0"/>
        <v>EMPTY_WEST_H_1_20</v>
      </c>
      <c r="E71" s="140" t="s">
        <v>0</v>
      </c>
      <c r="F71" s="142" t="s">
        <v>32</v>
      </c>
      <c r="G71" s="140" t="s">
        <v>19</v>
      </c>
      <c r="H71" s="140" t="s">
        <v>9</v>
      </c>
      <c r="I71" s="140">
        <v>1</v>
      </c>
      <c r="J71" s="139"/>
      <c r="K71" s="184">
        <f>COUNT(AG71:BT71)</f>
        <v>17</v>
      </c>
      <c r="L71" s="139"/>
      <c r="M71" s="230"/>
      <c r="N71" s="230"/>
      <c r="O71" s="230"/>
      <c r="P71" s="230"/>
      <c r="Q71" s="230"/>
      <c r="R71" s="230"/>
      <c r="S71" s="230"/>
      <c r="T71" s="230"/>
      <c r="U71" s="230"/>
      <c r="V71" s="230"/>
      <c r="W71" s="230"/>
      <c r="X71" s="230"/>
      <c r="Y71" s="230"/>
      <c r="Z71" s="231"/>
      <c r="AA71" s="240"/>
      <c r="AB71" s="230"/>
      <c r="AC71" s="230"/>
      <c r="AD71" s="230"/>
      <c r="AE71" s="230"/>
      <c r="AF71" s="241"/>
      <c r="AG71" s="237">
        <v>1</v>
      </c>
      <c r="AH71" s="232">
        <f t="shared" ref="AH71:AW71" si="68">AG71+1</f>
        <v>2</v>
      </c>
      <c r="AI71" s="232">
        <f t="shared" si="68"/>
        <v>3</v>
      </c>
      <c r="AJ71" s="232">
        <f t="shared" si="68"/>
        <v>4</v>
      </c>
      <c r="AK71" s="232">
        <f t="shared" si="68"/>
        <v>5</v>
      </c>
      <c r="AL71" s="232">
        <f t="shared" si="68"/>
        <v>6</v>
      </c>
      <c r="AM71" s="232">
        <f t="shared" si="68"/>
        <v>7</v>
      </c>
      <c r="AN71" s="232">
        <f t="shared" si="68"/>
        <v>8</v>
      </c>
      <c r="AO71" s="232">
        <f t="shared" si="68"/>
        <v>9</v>
      </c>
      <c r="AP71" s="232">
        <f t="shared" si="68"/>
        <v>10</v>
      </c>
      <c r="AQ71" s="232">
        <f t="shared" si="68"/>
        <v>11</v>
      </c>
      <c r="AR71" s="232">
        <f t="shared" si="68"/>
        <v>12</v>
      </c>
      <c r="AS71" s="232">
        <f t="shared" si="68"/>
        <v>13</v>
      </c>
      <c r="AT71" s="232">
        <f t="shared" si="68"/>
        <v>14</v>
      </c>
      <c r="AU71" s="232">
        <f t="shared" si="68"/>
        <v>15</v>
      </c>
      <c r="AV71" s="232">
        <f t="shared" si="68"/>
        <v>16</v>
      </c>
      <c r="AW71" s="232">
        <f t="shared" si="68"/>
        <v>17</v>
      </c>
      <c r="AX71" s="349"/>
      <c r="AY71" s="235"/>
      <c r="AZ71" s="232"/>
      <c r="BA71" s="232"/>
      <c r="BB71" s="232"/>
      <c r="BC71" s="232"/>
      <c r="BD71" s="232"/>
      <c r="BE71" s="232"/>
      <c r="BF71" s="232"/>
      <c r="BG71" s="232"/>
      <c r="BH71" s="232"/>
      <c r="BI71" s="232"/>
      <c r="BJ71" s="232"/>
      <c r="BK71" s="232"/>
      <c r="BL71" s="232"/>
      <c r="BM71" s="232"/>
      <c r="BN71" s="232"/>
      <c r="BO71" s="232"/>
      <c r="BP71" s="232"/>
      <c r="BQ71" s="232"/>
      <c r="BR71" s="232"/>
      <c r="BS71" s="232"/>
      <c r="BT71" s="232"/>
      <c r="BU71" s="232"/>
      <c r="BV71" s="232"/>
      <c r="BW71" s="232"/>
      <c r="BX71" s="232"/>
      <c r="BY71" s="232"/>
      <c r="BZ71" s="232"/>
      <c r="CA71" s="232"/>
      <c r="CB71" s="232"/>
      <c r="CC71" s="232"/>
      <c r="CD71" s="232"/>
      <c r="CE71" s="232"/>
      <c r="CF71" s="232"/>
      <c r="CG71" s="232"/>
      <c r="CH71" s="232"/>
      <c r="CI71" s="232"/>
      <c r="CJ71" s="232"/>
      <c r="CK71" s="232"/>
      <c r="CL71" s="232"/>
      <c r="CM71" s="232"/>
      <c r="CN71" s="232"/>
    </row>
    <row r="72" spans="2:92" ht="21.95" hidden="1" customHeight="1" x14ac:dyDescent="0.25">
      <c r="B72" s="139">
        <v>10</v>
      </c>
      <c r="C72" s="140">
        <v>6</v>
      </c>
      <c r="D72" s="139" t="str">
        <f t="shared" si="0"/>
        <v>COUNTDOWN_WEST_H_1_20</v>
      </c>
      <c r="E72" s="140"/>
      <c r="F72" s="142" t="s">
        <v>33</v>
      </c>
      <c r="G72" s="140" t="s">
        <v>19</v>
      </c>
      <c r="H72" s="140" t="s">
        <v>9</v>
      </c>
      <c r="I72" s="140">
        <v>1</v>
      </c>
      <c r="J72" s="144"/>
      <c r="K72" s="144"/>
      <c r="L72" s="140"/>
      <c r="M72" s="230"/>
      <c r="N72" s="230"/>
      <c r="O72" s="230"/>
      <c r="P72" s="230"/>
      <c r="Q72" s="230"/>
      <c r="R72" s="230"/>
      <c r="S72" s="230"/>
      <c r="T72" s="230"/>
      <c r="U72" s="230"/>
      <c r="V72" s="230"/>
      <c r="W72" s="230"/>
      <c r="X72" s="230"/>
      <c r="Y72" s="230"/>
      <c r="Z72" s="231"/>
      <c r="AA72" s="205"/>
      <c r="AB72" s="206"/>
      <c r="AC72" s="196"/>
      <c r="AD72" s="196"/>
      <c r="AE72" s="207"/>
      <c r="AF72" s="208"/>
      <c r="AG72" s="201"/>
      <c r="AH72" s="199"/>
      <c r="AI72" s="199"/>
      <c r="AJ72" s="199"/>
      <c r="AK72" s="199"/>
      <c r="AL72" s="199"/>
      <c r="AM72" s="199"/>
      <c r="AN72" s="199"/>
      <c r="AO72" s="199"/>
      <c r="AP72" s="199"/>
      <c r="AQ72" s="199"/>
      <c r="AR72" s="199"/>
      <c r="AS72" s="199"/>
      <c r="AT72" s="199"/>
      <c r="AU72" s="199"/>
      <c r="AV72" s="199"/>
      <c r="AW72" s="199"/>
      <c r="AX72" s="199"/>
      <c r="AY72" s="199"/>
      <c r="AZ72" s="199"/>
      <c r="BA72" s="199"/>
      <c r="BB72" s="199"/>
      <c r="BC72" s="199"/>
      <c r="BD72" s="199"/>
      <c r="BE72" s="199"/>
      <c r="BF72" s="199"/>
      <c r="BG72" s="199"/>
      <c r="BH72" s="199"/>
      <c r="BI72" s="199"/>
      <c r="BJ72" s="199"/>
      <c r="BK72" s="199"/>
      <c r="BL72" s="199"/>
      <c r="BM72" s="199"/>
      <c r="BN72" s="199"/>
      <c r="BO72" s="199"/>
      <c r="BP72" s="199"/>
      <c r="BQ72" s="199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</row>
    <row r="73" spans="2:92" ht="21.95" hidden="1" customHeight="1" x14ac:dyDescent="0.25">
      <c r="B73" s="139">
        <v>11</v>
      </c>
      <c r="C73" s="139">
        <v>1</v>
      </c>
      <c r="D73" s="139" t="str">
        <f t="shared" si="0"/>
        <v>SORTING_WEST_P_2_20</v>
      </c>
      <c r="E73" s="139" t="s">
        <v>35</v>
      </c>
      <c r="F73" s="138" t="s">
        <v>45</v>
      </c>
      <c r="G73" s="140" t="s">
        <v>19</v>
      </c>
      <c r="H73" s="140" t="s">
        <v>41</v>
      </c>
      <c r="I73" s="140">
        <v>2</v>
      </c>
      <c r="J73" s="139"/>
      <c r="K73" s="184">
        <f>COUNT(AA73:AZ73)</f>
        <v>2</v>
      </c>
      <c r="L73" s="139"/>
      <c r="M73" s="230"/>
      <c r="N73" s="230"/>
      <c r="O73" s="230"/>
      <c r="P73" s="230"/>
      <c r="Q73" s="230"/>
      <c r="R73" s="230"/>
      <c r="S73" s="230"/>
      <c r="T73" s="230"/>
      <c r="U73" s="230"/>
      <c r="V73" s="230"/>
      <c r="W73" s="230"/>
      <c r="X73" s="230"/>
      <c r="Y73" s="230"/>
      <c r="Z73" s="231"/>
      <c r="AA73" s="234">
        <v>1</v>
      </c>
      <c r="AB73" s="232">
        <f>AA73+1</f>
        <v>2</v>
      </c>
      <c r="AC73" s="235"/>
      <c r="AD73" s="235"/>
      <c r="AE73" s="232"/>
      <c r="AF73" s="236"/>
      <c r="AG73" s="237"/>
      <c r="AH73" s="232"/>
      <c r="AI73" s="232"/>
      <c r="AJ73" s="232"/>
      <c r="AK73" s="232"/>
      <c r="AL73" s="232"/>
      <c r="AM73" s="232"/>
      <c r="AN73" s="232"/>
      <c r="AO73" s="232"/>
      <c r="AP73" s="232"/>
      <c r="AQ73" s="232"/>
      <c r="AR73" s="232"/>
      <c r="AS73" s="232"/>
      <c r="AT73" s="232"/>
      <c r="AU73" s="232"/>
      <c r="AV73" s="232"/>
      <c r="AW73" s="232"/>
      <c r="AX73" s="232"/>
      <c r="AY73" s="232"/>
      <c r="AZ73" s="232"/>
      <c r="BA73" s="232"/>
      <c r="BB73" s="232"/>
      <c r="BC73" s="232"/>
      <c r="BD73" s="232"/>
      <c r="BE73" s="232"/>
      <c r="BF73" s="232"/>
      <c r="BG73" s="232"/>
      <c r="BH73" s="232"/>
      <c r="BI73" s="232"/>
      <c r="BJ73" s="232"/>
      <c r="BK73" s="232"/>
      <c r="BL73" s="232"/>
      <c r="BM73" s="232"/>
      <c r="BN73" s="232"/>
      <c r="BO73" s="232"/>
      <c r="BP73" s="232"/>
      <c r="BQ73" s="232"/>
      <c r="BR73" s="232"/>
      <c r="BS73" s="232"/>
      <c r="BT73" s="232"/>
      <c r="BU73" s="232"/>
      <c r="BV73" s="232"/>
      <c r="BW73" s="232"/>
      <c r="BX73" s="232"/>
      <c r="BY73" s="232"/>
      <c r="BZ73" s="232"/>
      <c r="CA73" s="232"/>
      <c r="CB73" s="232"/>
      <c r="CC73" s="232"/>
      <c r="CD73" s="232"/>
      <c r="CE73" s="232"/>
      <c r="CF73" s="232"/>
      <c r="CG73" s="232"/>
      <c r="CH73" s="232"/>
      <c r="CI73" s="232"/>
      <c r="CJ73" s="232"/>
      <c r="CK73" s="232"/>
      <c r="CL73" s="232"/>
      <c r="CM73" s="232"/>
      <c r="CN73" s="232"/>
    </row>
    <row r="74" spans="2:92" ht="21.95" hidden="1" customHeight="1" x14ac:dyDescent="0.25">
      <c r="B74" s="139">
        <v>11</v>
      </c>
      <c r="C74" s="139">
        <v>2</v>
      </c>
      <c r="D74" s="139" t="str">
        <f t="shared" si="0"/>
        <v>TRANSFER_WEST_P_2_20</v>
      </c>
      <c r="E74" s="139" t="s">
        <v>21</v>
      </c>
      <c r="F74" s="138" t="s">
        <v>21</v>
      </c>
      <c r="G74" s="140" t="s">
        <v>19</v>
      </c>
      <c r="H74" s="140" t="s">
        <v>41</v>
      </c>
      <c r="I74" s="140">
        <v>2</v>
      </c>
      <c r="J74" s="139"/>
      <c r="K74" s="184">
        <f>COUNT(AA74:AZ74)</f>
        <v>4</v>
      </c>
      <c r="L74" s="139"/>
      <c r="M74" s="230"/>
      <c r="N74" s="230"/>
      <c r="O74" s="230"/>
      <c r="P74" s="230"/>
      <c r="Q74" s="230"/>
      <c r="R74" s="230"/>
      <c r="S74" s="230"/>
      <c r="T74" s="230"/>
      <c r="U74" s="230"/>
      <c r="V74" s="230"/>
      <c r="W74" s="230"/>
      <c r="X74" s="230"/>
      <c r="Y74" s="230"/>
      <c r="Z74" s="231"/>
      <c r="AA74" s="234">
        <v>1</v>
      </c>
      <c r="AB74" s="232">
        <f>AA74+1</f>
        <v>2</v>
      </c>
      <c r="AC74" s="232">
        <f t="shared" ref="AC74:AG75" si="69">AB74+1</f>
        <v>3</v>
      </c>
      <c r="AD74" s="232">
        <f t="shared" si="69"/>
        <v>4</v>
      </c>
      <c r="AE74" s="235"/>
      <c r="AF74" s="238"/>
      <c r="AG74" s="230"/>
      <c r="AH74" s="230"/>
      <c r="AI74" s="230"/>
      <c r="AJ74" s="230"/>
      <c r="AK74" s="230"/>
      <c r="AL74" s="230"/>
      <c r="AM74" s="230"/>
      <c r="AN74" s="230"/>
      <c r="AO74" s="230"/>
      <c r="AP74" s="230"/>
      <c r="AQ74" s="230"/>
      <c r="AR74" s="230"/>
      <c r="AS74" s="230"/>
      <c r="AT74" s="230"/>
      <c r="AU74" s="230"/>
      <c r="AV74" s="232"/>
      <c r="AW74" s="232"/>
      <c r="AX74" s="232"/>
      <c r="AY74" s="232"/>
      <c r="AZ74" s="232"/>
      <c r="BA74" s="232"/>
      <c r="BB74" s="232"/>
      <c r="BC74" s="232"/>
      <c r="BD74" s="232"/>
      <c r="BE74" s="232"/>
      <c r="BF74" s="232"/>
      <c r="BG74" s="232"/>
      <c r="BH74" s="232"/>
      <c r="BI74" s="232"/>
      <c r="BJ74" s="232"/>
      <c r="BK74" s="232"/>
      <c r="BL74" s="232"/>
      <c r="BM74" s="232"/>
      <c r="BN74" s="232"/>
      <c r="BO74" s="232"/>
      <c r="BP74" s="232"/>
      <c r="BQ74" s="232"/>
      <c r="BR74" s="232"/>
      <c r="BS74" s="232"/>
      <c r="BT74" s="232"/>
      <c r="BU74" s="232"/>
      <c r="BV74" s="232"/>
      <c r="BW74" s="232"/>
      <c r="BX74" s="232"/>
      <c r="BY74" s="232"/>
      <c r="BZ74" s="232"/>
      <c r="CA74" s="232"/>
      <c r="CB74" s="232"/>
      <c r="CC74" s="232"/>
      <c r="CD74" s="232"/>
      <c r="CE74" s="232"/>
      <c r="CF74" s="232"/>
      <c r="CG74" s="232"/>
      <c r="CH74" s="232"/>
      <c r="CI74" s="232"/>
      <c r="CJ74" s="232"/>
      <c r="CK74" s="232"/>
      <c r="CL74" s="232"/>
      <c r="CM74" s="232"/>
      <c r="CN74" s="232"/>
    </row>
    <row r="75" spans="2:92" ht="21.95" customHeight="1" x14ac:dyDescent="0.25">
      <c r="B75" s="139">
        <v>11</v>
      </c>
      <c r="C75" s="139">
        <v>3</v>
      </c>
      <c r="D75" s="139" t="str">
        <f t="shared" si="0"/>
        <v>PREPARE_WEST_P_2_20</v>
      </c>
      <c r="E75" s="139" t="s">
        <v>0</v>
      </c>
      <c r="F75" s="138" t="s">
        <v>46</v>
      </c>
      <c r="G75" s="140" t="s">
        <v>19</v>
      </c>
      <c r="H75" s="140" t="s">
        <v>41</v>
      </c>
      <c r="I75" s="140">
        <v>2</v>
      </c>
      <c r="J75" s="141"/>
      <c r="K75" s="184">
        <f>COUNT(M75:AZ75)</f>
        <v>21</v>
      </c>
      <c r="L75" s="139"/>
      <c r="M75" s="232">
        <v>1</v>
      </c>
      <c r="N75" s="232">
        <f>M75+1</f>
        <v>2</v>
      </c>
      <c r="O75" s="232">
        <f t="shared" ref="O75:AB75" si="70">N75+1</f>
        <v>3</v>
      </c>
      <c r="P75" s="232">
        <f t="shared" si="70"/>
        <v>4</v>
      </c>
      <c r="Q75" s="232">
        <f t="shared" si="70"/>
        <v>5</v>
      </c>
      <c r="R75" s="232">
        <f t="shared" si="70"/>
        <v>6</v>
      </c>
      <c r="S75" s="232">
        <f t="shared" si="70"/>
        <v>7</v>
      </c>
      <c r="T75" s="232">
        <f t="shared" si="70"/>
        <v>8</v>
      </c>
      <c r="U75" s="232">
        <f t="shared" si="70"/>
        <v>9</v>
      </c>
      <c r="V75" s="232">
        <f t="shared" si="70"/>
        <v>10</v>
      </c>
      <c r="W75" s="232">
        <f t="shared" si="70"/>
        <v>11</v>
      </c>
      <c r="X75" s="232">
        <f t="shared" si="70"/>
        <v>12</v>
      </c>
      <c r="Y75" s="232">
        <f t="shared" si="70"/>
        <v>13</v>
      </c>
      <c r="Z75" s="232">
        <f t="shared" si="70"/>
        <v>14</v>
      </c>
      <c r="AA75" s="232">
        <f t="shared" si="70"/>
        <v>15</v>
      </c>
      <c r="AB75" s="232">
        <f t="shared" si="70"/>
        <v>16</v>
      </c>
      <c r="AC75" s="232">
        <f t="shared" si="69"/>
        <v>17</v>
      </c>
      <c r="AD75" s="232">
        <f t="shared" si="69"/>
        <v>18</v>
      </c>
      <c r="AE75" s="232">
        <f t="shared" si="69"/>
        <v>19</v>
      </c>
      <c r="AF75" s="232">
        <f t="shared" si="69"/>
        <v>20</v>
      </c>
      <c r="AG75" s="232">
        <f t="shared" si="69"/>
        <v>21</v>
      </c>
      <c r="AH75" s="235"/>
      <c r="AI75" s="235"/>
      <c r="AJ75" s="230"/>
      <c r="AK75" s="232"/>
      <c r="AL75" s="232"/>
      <c r="AM75" s="232"/>
      <c r="AN75" s="232"/>
      <c r="AO75" s="232"/>
      <c r="AP75" s="232"/>
      <c r="AQ75" s="232"/>
      <c r="AR75" s="232"/>
      <c r="AS75" s="232"/>
      <c r="AT75" s="232"/>
      <c r="AU75" s="232"/>
      <c r="AV75" s="232"/>
      <c r="AW75" s="232"/>
      <c r="AX75" s="232"/>
      <c r="AY75" s="232"/>
      <c r="AZ75" s="232"/>
      <c r="BA75" s="232"/>
      <c r="BB75" s="232"/>
      <c r="BC75" s="232"/>
      <c r="BD75" s="232"/>
      <c r="BE75" s="232"/>
      <c r="BF75" s="232"/>
      <c r="BG75" s="232"/>
      <c r="BH75" s="232"/>
      <c r="BI75" s="232"/>
      <c r="BJ75" s="232"/>
      <c r="BK75" s="232"/>
      <c r="BL75" s="232"/>
      <c r="BM75" s="232"/>
      <c r="BN75" s="232"/>
      <c r="BO75" s="232"/>
      <c r="BP75" s="232"/>
      <c r="BQ75" s="232"/>
      <c r="BR75" s="232"/>
      <c r="BS75" s="232"/>
      <c r="BT75" s="232"/>
      <c r="BU75" s="232"/>
      <c r="BV75" s="232"/>
      <c r="BW75" s="232"/>
      <c r="BX75" s="232"/>
      <c r="BY75" s="232"/>
      <c r="BZ75" s="232"/>
      <c r="CA75" s="232"/>
      <c r="CB75" s="232"/>
      <c r="CC75" s="232"/>
      <c r="CD75" s="232"/>
      <c r="CE75" s="232"/>
      <c r="CF75" s="232"/>
      <c r="CG75" s="232"/>
      <c r="CH75" s="232"/>
      <c r="CI75" s="232"/>
      <c r="CJ75" s="232"/>
      <c r="CK75" s="232"/>
      <c r="CL75" s="232"/>
      <c r="CM75" s="232"/>
      <c r="CN75" s="232"/>
    </row>
    <row r="76" spans="2:92" ht="21.95" customHeight="1" x14ac:dyDescent="0.25">
      <c r="B76" s="139">
        <v>11</v>
      </c>
      <c r="C76" s="139">
        <v>4</v>
      </c>
      <c r="D76" s="139" t="str">
        <f t="shared" si="0"/>
        <v>SUPPLY_WEST_P_2_20</v>
      </c>
      <c r="E76" s="139" t="s">
        <v>0</v>
      </c>
      <c r="F76" s="142" t="s">
        <v>0</v>
      </c>
      <c r="G76" s="140" t="s">
        <v>19</v>
      </c>
      <c r="H76" s="140" t="s">
        <v>41</v>
      </c>
      <c r="I76" s="140">
        <v>2</v>
      </c>
      <c r="J76" s="143"/>
      <c r="K76" s="184">
        <f>COUNT(AG76:BT76)</f>
        <v>3</v>
      </c>
      <c r="L76" s="140"/>
      <c r="M76" s="230"/>
      <c r="N76" s="230"/>
      <c r="O76" s="230"/>
      <c r="P76" s="230"/>
      <c r="Q76" s="230"/>
      <c r="R76" s="230"/>
      <c r="S76" s="230"/>
      <c r="T76" s="230"/>
      <c r="U76" s="230"/>
      <c r="V76" s="230"/>
      <c r="W76" s="230"/>
      <c r="X76" s="230"/>
      <c r="Y76" s="230"/>
      <c r="Z76" s="231"/>
      <c r="AA76" s="240"/>
      <c r="AB76" s="230"/>
      <c r="AC76" s="230"/>
      <c r="AD76" s="230"/>
      <c r="AE76" s="230"/>
      <c r="AF76" s="241"/>
      <c r="AG76" s="237">
        <v>1</v>
      </c>
      <c r="AH76" s="232">
        <f t="shared" ref="AH76:AW77" si="71">AG76+1</f>
        <v>2</v>
      </c>
      <c r="AI76" s="232">
        <f t="shared" si="71"/>
        <v>3</v>
      </c>
      <c r="AJ76" s="235"/>
      <c r="AK76" s="235"/>
      <c r="AL76" s="235"/>
      <c r="AM76" s="235"/>
      <c r="AN76" s="235"/>
      <c r="AO76" s="235"/>
      <c r="AP76" s="235"/>
      <c r="AQ76" s="235"/>
      <c r="AR76" s="235"/>
      <c r="AS76" s="235"/>
      <c r="AT76" s="235"/>
      <c r="AU76" s="235"/>
      <c r="AV76" s="235"/>
      <c r="AW76" s="235"/>
      <c r="AX76" s="235"/>
      <c r="AY76" s="235"/>
      <c r="AZ76" s="232"/>
      <c r="BA76" s="232"/>
      <c r="BB76" s="232"/>
      <c r="BC76" s="232"/>
      <c r="BD76" s="232"/>
      <c r="BE76" s="232"/>
      <c r="BF76" s="232"/>
      <c r="BG76" s="232"/>
      <c r="BH76" s="232"/>
      <c r="BI76" s="232"/>
      <c r="BJ76" s="232"/>
      <c r="BK76" s="232"/>
      <c r="BL76" s="232"/>
      <c r="BM76" s="232"/>
      <c r="BN76" s="232"/>
      <c r="BO76" s="232"/>
      <c r="BP76" s="232"/>
      <c r="BQ76" s="232"/>
      <c r="BR76" s="232"/>
      <c r="BS76" s="232"/>
      <c r="BT76" s="232"/>
      <c r="BU76" s="232"/>
      <c r="BV76" s="232"/>
      <c r="BW76" s="232"/>
      <c r="BX76" s="232"/>
      <c r="BY76" s="232"/>
      <c r="BZ76" s="232"/>
      <c r="CA76" s="232"/>
      <c r="CB76" s="232"/>
      <c r="CC76" s="232"/>
      <c r="CD76" s="232"/>
      <c r="CE76" s="232"/>
      <c r="CF76" s="232"/>
      <c r="CG76" s="232"/>
      <c r="CH76" s="232"/>
      <c r="CI76" s="232"/>
      <c r="CJ76" s="232"/>
      <c r="CK76" s="232"/>
      <c r="CL76" s="232"/>
      <c r="CM76" s="232"/>
      <c r="CN76" s="232"/>
    </row>
    <row r="77" spans="2:92" ht="21.95" customHeight="1" x14ac:dyDescent="0.25">
      <c r="B77" s="139">
        <v>11</v>
      </c>
      <c r="C77" s="140">
        <v>5</v>
      </c>
      <c r="D77" s="139" t="str">
        <f t="shared" si="0"/>
        <v>EMPTY_WEST_P_2_20</v>
      </c>
      <c r="E77" s="140" t="s">
        <v>0</v>
      </c>
      <c r="F77" s="142" t="s">
        <v>32</v>
      </c>
      <c r="G77" s="140" t="s">
        <v>19</v>
      </c>
      <c r="H77" s="140" t="s">
        <v>41</v>
      </c>
      <c r="I77" s="140">
        <v>2</v>
      </c>
      <c r="J77" s="139"/>
      <c r="K77" s="184">
        <f>COUNT(AG77:BT77)</f>
        <v>19</v>
      </c>
      <c r="L77" s="139"/>
      <c r="M77" s="230"/>
      <c r="N77" s="230"/>
      <c r="O77" s="230"/>
      <c r="P77" s="230"/>
      <c r="Q77" s="230"/>
      <c r="R77" s="230"/>
      <c r="S77" s="230"/>
      <c r="T77" s="230"/>
      <c r="U77" s="230"/>
      <c r="V77" s="230"/>
      <c r="W77" s="230"/>
      <c r="X77" s="230"/>
      <c r="Y77" s="230"/>
      <c r="Z77" s="231"/>
      <c r="AA77" s="240"/>
      <c r="AB77" s="230"/>
      <c r="AC77" s="230"/>
      <c r="AD77" s="230"/>
      <c r="AE77" s="230"/>
      <c r="AF77" s="241"/>
      <c r="AG77" s="237">
        <v>1</v>
      </c>
      <c r="AH77" s="232">
        <f t="shared" si="71"/>
        <v>2</v>
      </c>
      <c r="AI77" s="232">
        <f t="shared" si="71"/>
        <v>3</v>
      </c>
      <c r="AJ77" s="232">
        <f t="shared" si="71"/>
        <v>4</v>
      </c>
      <c r="AK77" s="232">
        <f t="shared" si="71"/>
        <v>5</v>
      </c>
      <c r="AL77" s="232">
        <f t="shared" si="71"/>
        <v>6</v>
      </c>
      <c r="AM77" s="232">
        <f t="shared" si="71"/>
        <v>7</v>
      </c>
      <c r="AN77" s="232">
        <f t="shared" si="71"/>
        <v>8</v>
      </c>
      <c r="AO77" s="232">
        <f t="shared" si="71"/>
        <v>9</v>
      </c>
      <c r="AP77" s="232">
        <f t="shared" si="71"/>
        <v>10</v>
      </c>
      <c r="AQ77" s="232">
        <f t="shared" si="71"/>
        <v>11</v>
      </c>
      <c r="AR77" s="232">
        <f t="shared" si="71"/>
        <v>12</v>
      </c>
      <c r="AS77" s="232">
        <f t="shared" si="71"/>
        <v>13</v>
      </c>
      <c r="AT77" s="232">
        <f t="shared" si="71"/>
        <v>14</v>
      </c>
      <c r="AU77" s="232">
        <f t="shared" si="71"/>
        <v>15</v>
      </c>
      <c r="AV77" s="232">
        <f t="shared" si="71"/>
        <v>16</v>
      </c>
      <c r="AW77" s="232">
        <f t="shared" si="71"/>
        <v>17</v>
      </c>
      <c r="AX77" s="232">
        <f t="shared" ref="AX77:AY77" si="72">AW77+1</f>
        <v>18</v>
      </c>
      <c r="AY77" s="232">
        <f t="shared" si="72"/>
        <v>19</v>
      </c>
      <c r="AZ77" s="349"/>
      <c r="BA77" s="235"/>
      <c r="BB77" s="230"/>
      <c r="BC77" s="232"/>
      <c r="BD77" s="232"/>
      <c r="BE77" s="232"/>
      <c r="BF77" s="232"/>
      <c r="BG77" s="232"/>
      <c r="BH77" s="232"/>
      <c r="BI77" s="232"/>
      <c r="BJ77" s="232"/>
      <c r="BK77" s="232"/>
      <c r="BL77" s="232"/>
      <c r="BM77" s="232"/>
      <c r="BN77" s="232"/>
      <c r="BO77" s="232"/>
      <c r="BP77" s="232"/>
      <c r="BQ77" s="232"/>
      <c r="BR77" s="232"/>
      <c r="BS77" s="232"/>
      <c r="BT77" s="232"/>
      <c r="BU77" s="232"/>
      <c r="BV77" s="232"/>
      <c r="BW77" s="232"/>
      <c r="BX77" s="232"/>
      <c r="BY77" s="232"/>
      <c r="BZ77" s="232"/>
      <c r="CA77" s="232"/>
      <c r="CB77" s="232"/>
      <c r="CC77" s="232"/>
      <c r="CD77" s="232"/>
      <c r="CE77" s="232"/>
      <c r="CF77" s="232"/>
      <c r="CG77" s="232"/>
      <c r="CH77" s="232"/>
      <c r="CI77" s="232"/>
      <c r="CJ77" s="232"/>
      <c r="CK77" s="232"/>
      <c r="CL77" s="232"/>
      <c r="CM77" s="232"/>
      <c r="CN77" s="232"/>
    </row>
    <row r="78" spans="2:92" ht="21.95" hidden="1" customHeight="1" x14ac:dyDescent="0.25">
      <c r="B78" s="139">
        <v>11</v>
      </c>
      <c r="C78" s="140">
        <v>6</v>
      </c>
      <c r="D78" s="139" t="str">
        <f t="shared" ref="D78:D120" si="73">F78&amp;"_"&amp;G78&amp;"_"&amp;H78&amp;"_"&amp;I78&amp;"_"&amp;$D$1</f>
        <v>COUNTDOWN_WEST_P_2_20</v>
      </c>
      <c r="E78" s="140"/>
      <c r="F78" s="142" t="s">
        <v>33</v>
      </c>
      <c r="G78" s="140" t="s">
        <v>19</v>
      </c>
      <c r="H78" s="140" t="s">
        <v>41</v>
      </c>
      <c r="I78" s="140">
        <v>2</v>
      </c>
      <c r="J78" s="144"/>
      <c r="K78" s="144"/>
      <c r="L78" s="140"/>
      <c r="M78" s="230"/>
      <c r="N78" s="230"/>
      <c r="O78" s="230"/>
      <c r="P78" s="230"/>
      <c r="Q78" s="230"/>
      <c r="R78" s="230"/>
      <c r="S78" s="230"/>
      <c r="T78" s="230"/>
      <c r="U78" s="230"/>
      <c r="V78" s="230"/>
      <c r="W78" s="230"/>
      <c r="X78" s="230"/>
      <c r="Y78" s="230"/>
      <c r="Z78" s="231"/>
      <c r="AA78" s="202"/>
      <c r="AB78" s="199"/>
      <c r="AC78" s="206"/>
      <c r="AD78" s="206"/>
      <c r="AE78" s="196"/>
      <c r="AF78" s="204"/>
      <c r="AG78" s="210"/>
      <c r="AH78" s="207"/>
      <c r="AI78" s="199"/>
      <c r="AJ78" s="199"/>
      <c r="AK78" s="199"/>
      <c r="AL78" s="199"/>
      <c r="AM78" s="199"/>
      <c r="AN78" s="199"/>
      <c r="AO78" s="199"/>
      <c r="AP78" s="199"/>
      <c r="AQ78" s="199"/>
      <c r="AR78" s="199"/>
      <c r="AS78" s="199"/>
      <c r="AT78" s="199"/>
      <c r="AU78" s="199"/>
      <c r="AV78" s="199"/>
      <c r="AW78" s="199"/>
      <c r="AX78" s="199"/>
      <c r="AY78" s="199"/>
      <c r="AZ78" s="199"/>
      <c r="BA78" s="199"/>
      <c r="BB78" s="199"/>
      <c r="BC78" s="199"/>
      <c r="BD78" s="199"/>
      <c r="BE78" s="199"/>
      <c r="BF78" s="199"/>
      <c r="BG78" s="199"/>
      <c r="BH78" s="199"/>
      <c r="BI78" s="199"/>
      <c r="BJ78" s="199"/>
      <c r="BK78" s="199"/>
      <c r="BL78" s="199"/>
      <c r="BM78" s="199"/>
      <c r="BN78" s="199"/>
      <c r="BO78" s="199"/>
      <c r="BP78" s="199"/>
      <c r="BQ78" s="199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</row>
    <row r="79" spans="2:92" ht="21.95" hidden="1" customHeight="1" x14ac:dyDescent="0.25">
      <c r="B79" s="139">
        <v>12</v>
      </c>
      <c r="C79" s="139">
        <v>1</v>
      </c>
      <c r="D79" s="139" t="str">
        <f t="shared" si="73"/>
        <v>SORTING_WEST_O_1_20</v>
      </c>
      <c r="E79" s="139" t="s">
        <v>35</v>
      </c>
      <c r="F79" s="138" t="s">
        <v>45</v>
      </c>
      <c r="G79" s="140" t="s">
        <v>19</v>
      </c>
      <c r="H79" s="140" t="s">
        <v>40</v>
      </c>
      <c r="I79" s="140">
        <v>1</v>
      </c>
      <c r="J79" s="139"/>
      <c r="K79" s="184">
        <f>COUNT(AA79:AZ79)</f>
        <v>4</v>
      </c>
      <c r="L79" s="139"/>
      <c r="M79" s="230"/>
      <c r="N79" s="230"/>
      <c r="O79" s="230"/>
      <c r="P79" s="230"/>
      <c r="Q79" s="230"/>
      <c r="R79" s="230"/>
      <c r="S79" s="230"/>
      <c r="T79" s="230"/>
      <c r="U79" s="230"/>
      <c r="V79" s="230"/>
      <c r="W79" s="230"/>
      <c r="X79" s="230"/>
      <c r="Y79" s="230"/>
      <c r="Z79" s="231"/>
      <c r="AA79" s="234">
        <v>1</v>
      </c>
      <c r="AB79" s="232">
        <f t="shared" ref="AB79:AQ83" si="74">AA79+1</f>
        <v>2</v>
      </c>
      <c r="AC79" s="232">
        <f t="shared" si="74"/>
        <v>3</v>
      </c>
      <c r="AD79" s="232">
        <f t="shared" si="74"/>
        <v>4</v>
      </c>
      <c r="AE79" s="235"/>
      <c r="AF79" s="238"/>
      <c r="AG79" s="230"/>
      <c r="AH79" s="230"/>
      <c r="AI79" s="230"/>
      <c r="AJ79" s="230"/>
      <c r="AK79" s="230"/>
      <c r="AL79" s="230"/>
      <c r="AM79" s="230"/>
      <c r="AN79" s="230"/>
      <c r="AO79" s="230"/>
      <c r="AP79" s="230"/>
      <c r="AQ79" s="230"/>
      <c r="AR79" s="230"/>
      <c r="AS79" s="230"/>
      <c r="AT79" s="230"/>
      <c r="AU79" s="230"/>
      <c r="AV79" s="232"/>
      <c r="AW79" s="232"/>
      <c r="AX79" s="232"/>
      <c r="AY79" s="232"/>
      <c r="AZ79" s="232"/>
      <c r="BA79" s="232"/>
      <c r="BB79" s="232"/>
      <c r="BC79" s="232"/>
      <c r="BD79" s="232"/>
      <c r="BE79" s="232"/>
      <c r="BF79" s="232"/>
      <c r="BG79" s="232"/>
      <c r="BH79" s="232"/>
      <c r="BI79" s="232"/>
      <c r="BJ79" s="232"/>
      <c r="BK79" s="232"/>
      <c r="BL79" s="232"/>
      <c r="BM79" s="232"/>
      <c r="BN79" s="232"/>
      <c r="BO79" s="232"/>
      <c r="BP79" s="232"/>
      <c r="BQ79" s="232"/>
      <c r="BR79" s="232"/>
      <c r="BS79" s="232"/>
      <c r="BT79" s="232"/>
      <c r="BU79" s="232"/>
      <c r="BV79" s="232"/>
      <c r="BW79" s="232"/>
      <c r="BX79" s="232"/>
      <c r="BY79" s="232"/>
      <c r="BZ79" s="232"/>
      <c r="CA79" s="232"/>
      <c r="CB79" s="232"/>
      <c r="CC79" s="232"/>
      <c r="CD79" s="232"/>
      <c r="CE79" s="232"/>
      <c r="CF79" s="232"/>
      <c r="CG79" s="232"/>
      <c r="CH79" s="232"/>
      <c r="CI79" s="232"/>
      <c r="CJ79" s="232"/>
      <c r="CK79" s="232"/>
      <c r="CL79" s="232"/>
      <c r="CM79" s="232"/>
      <c r="CN79" s="232"/>
    </row>
    <row r="80" spans="2:92" ht="21.95" hidden="1" customHeight="1" x14ac:dyDescent="0.25">
      <c r="B80" s="139">
        <v>12</v>
      </c>
      <c r="C80" s="139">
        <v>2</v>
      </c>
      <c r="D80" s="139" t="str">
        <f t="shared" si="73"/>
        <v>TRANSFER_WEST_O_1_20</v>
      </c>
      <c r="E80" s="139" t="s">
        <v>21</v>
      </c>
      <c r="F80" s="138" t="s">
        <v>21</v>
      </c>
      <c r="G80" s="140" t="s">
        <v>19</v>
      </c>
      <c r="H80" s="140" t="s">
        <v>40</v>
      </c>
      <c r="I80" s="140">
        <v>1</v>
      </c>
      <c r="J80" s="139"/>
      <c r="K80" s="184">
        <f>COUNT(AA80:AZ80)</f>
        <v>6</v>
      </c>
      <c r="L80" s="139"/>
      <c r="M80" s="230"/>
      <c r="N80" s="230"/>
      <c r="O80" s="230"/>
      <c r="P80" s="230"/>
      <c r="Q80" s="230"/>
      <c r="R80" s="230"/>
      <c r="S80" s="230"/>
      <c r="T80" s="230"/>
      <c r="U80" s="230"/>
      <c r="V80" s="230"/>
      <c r="W80" s="230"/>
      <c r="X80" s="230"/>
      <c r="Y80" s="230"/>
      <c r="Z80" s="231"/>
      <c r="AA80" s="234">
        <v>1</v>
      </c>
      <c r="AB80" s="232">
        <f>AA80+1</f>
        <v>2</v>
      </c>
      <c r="AC80" s="232">
        <f t="shared" si="74"/>
        <v>3</v>
      </c>
      <c r="AD80" s="232">
        <f t="shared" si="74"/>
        <v>4</v>
      </c>
      <c r="AE80" s="232">
        <f t="shared" si="74"/>
        <v>5</v>
      </c>
      <c r="AF80" s="232">
        <f t="shared" si="74"/>
        <v>6</v>
      </c>
      <c r="AG80" s="235"/>
      <c r="AH80" s="235"/>
      <c r="AI80" s="230"/>
      <c r="AJ80" s="230"/>
      <c r="AK80" s="230"/>
      <c r="AL80" s="230"/>
      <c r="AM80" s="230"/>
      <c r="AN80" s="230"/>
      <c r="AO80" s="230"/>
      <c r="AP80" s="230"/>
      <c r="AQ80" s="230"/>
      <c r="AR80" s="230"/>
      <c r="AS80" s="230"/>
      <c r="AT80" s="230"/>
      <c r="AU80" s="230"/>
      <c r="AV80" s="232"/>
      <c r="AW80" s="232"/>
      <c r="AX80" s="232"/>
      <c r="AY80" s="232"/>
      <c r="AZ80" s="232"/>
      <c r="BA80" s="232"/>
      <c r="BB80" s="232"/>
      <c r="BC80" s="232"/>
      <c r="BD80" s="232"/>
      <c r="BE80" s="232"/>
      <c r="BF80" s="232"/>
      <c r="BG80" s="232"/>
      <c r="BH80" s="232"/>
      <c r="BI80" s="232"/>
      <c r="BJ80" s="232"/>
      <c r="BK80" s="232"/>
      <c r="BL80" s="232"/>
      <c r="BM80" s="232"/>
      <c r="BN80" s="232"/>
      <c r="BO80" s="232"/>
      <c r="BP80" s="232"/>
      <c r="BQ80" s="232"/>
      <c r="BR80" s="232"/>
      <c r="BS80" s="232"/>
      <c r="BT80" s="232"/>
      <c r="BU80" s="232"/>
      <c r="BV80" s="232"/>
      <c r="BW80" s="232"/>
      <c r="BX80" s="232"/>
      <c r="BY80" s="232"/>
      <c r="BZ80" s="232"/>
      <c r="CA80" s="232"/>
      <c r="CB80" s="232"/>
      <c r="CC80" s="232"/>
      <c r="CD80" s="232"/>
      <c r="CE80" s="232"/>
      <c r="CF80" s="232"/>
      <c r="CG80" s="232"/>
      <c r="CH80" s="232"/>
      <c r="CI80" s="232"/>
      <c r="CJ80" s="232"/>
      <c r="CK80" s="232"/>
      <c r="CL80" s="232"/>
      <c r="CM80" s="232"/>
      <c r="CN80" s="232"/>
    </row>
    <row r="81" spans="2:92" ht="21.95" customHeight="1" x14ac:dyDescent="0.25">
      <c r="B81" s="139">
        <v>12</v>
      </c>
      <c r="C81" s="139">
        <v>3</v>
      </c>
      <c r="D81" s="139" t="str">
        <f t="shared" si="73"/>
        <v>PREPARE_WEST_O_1_20</v>
      </c>
      <c r="E81" s="139" t="s">
        <v>0</v>
      </c>
      <c r="F81" s="138" t="s">
        <v>46</v>
      </c>
      <c r="G81" s="140" t="s">
        <v>19</v>
      </c>
      <c r="H81" s="140" t="s">
        <v>40</v>
      </c>
      <c r="I81" s="140">
        <v>1</v>
      </c>
      <c r="J81" s="141"/>
      <c r="K81" s="184">
        <f>COUNT(M81:AZ81)</f>
        <v>24</v>
      </c>
      <c r="L81" s="139"/>
      <c r="M81" s="232">
        <v>1</v>
      </c>
      <c r="N81" s="232">
        <f>M81+1</f>
        <v>2</v>
      </c>
      <c r="O81" s="232">
        <f t="shared" ref="O81:AB81" si="75">N81+1</f>
        <v>3</v>
      </c>
      <c r="P81" s="232">
        <f t="shared" si="75"/>
        <v>4</v>
      </c>
      <c r="Q81" s="232">
        <f t="shared" si="75"/>
        <v>5</v>
      </c>
      <c r="R81" s="232">
        <f t="shared" si="75"/>
        <v>6</v>
      </c>
      <c r="S81" s="232">
        <f t="shared" si="75"/>
        <v>7</v>
      </c>
      <c r="T81" s="232">
        <f t="shared" si="75"/>
        <v>8</v>
      </c>
      <c r="U81" s="232">
        <f t="shared" si="75"/>
        <v>9</v>
      </c>
      <c r="V81" s="232">
        <f t="shared" si="75"/>
        <v>10</v>
      </c>
      <c r="W81" s="232">
        <f t="shared" si="75"/>
        <v>11</v>
      </c>
      <c r="X81" s="232">
        <f t="shared" si="75"/>
        <v>12</v>
      </c>
      <c r="Y81" s="232">
        <f t="shared" si="75"/>
        <v>13</v>
      </c>
      <c r="Z81" s="232">
        <f t="shared" si="75"/>
        <v>14</v>
      </c>
      <c r="AA81" s="232">
        <f t="shared" si="75"/>
        <v>15</v>
      </c>
      <c r="AB81" s="232">
        <f t="shared" si="75"/>
        <v>16</v>
      </c>
      <c r="AC81" s="232">
        <f t="shared" si="74"/>
        <v>17</v>
      </c>
      <c r="AD81" s="232">
        <f t="shared" si="74"/>
        <v>18</v>
      </c>
      <c r="AE81" s="232">
        <f t="shared" si="74"/>
        <v>19</v>
      </c>
      <c r="AF81" s="232">
        <f t="shared" si="74"/>
        <v>20</v>
      </c>
      <c r="AG81" s="232">
        <f t="shared" si="74"/>
        <v>21</v>
      </c>
      <c r="AH81" s="232">
        <f t="shared" si="74"/>
        <v>22</v>
      </c>
      <c r="AI81" s="232">
        <f t="shared" si="74"/>
        <v>23</v>
      </c>
      <c r="AJ81" s="232">
        <f t="shared" si="74"/>
        <v>24</v>
      </c>
      <c r="AK81" s="235"/>
      <c r="AL81" s="235"/>
      <c r="AM81" s="232"/>
      <c r="AN81" s="232"/>
      <c r="AO81" s="232"/>
      <c r="AP81" s="232"/>
      <c r="AQ81" s="232"/>
      <c r="AR81" s="232"/>
      <c r="AS81" s="232"/>
      <c r="AT81" s="232"/>
      <c r="AU81" s="232"/>
      <c r="AV81" s="232"/>
      <c r="AW81" s="232"/>
      <c r="AX81" s="232"/>
      <c r="AY81" s="232"/>
      <c r="AZ81" s="232"/>
      <c r="BA81" s="232"/>
      <c r="BB81" s="232"/>
      <c r="BC81" s="232"/>
      <c r="BD81" s="232"/>
      <c r="BE81" s="232"/>
      <c r="BF81" s="232"/>
      <c r="BG81" s="232"/>
      <c r="BH81" s="232"/>
      <c r="BI81" s="232"/>
      <c r="BJ81" s="232"/>
      <c r="BK81" s="232"/>
      <c r="BL81" s="232"/>
      <c r="BM81" s="232"/>
      <c r="BN81" s="232"/>
      <c r="BO81" s="232"/>
      <c r="BP81" s="232"/>
      <c r="BQ81" s="232"/>
      <c r="BR81" s="232"/>
      <c r="BS81" s="232"/>
      <c r="BT81" s="232"/>
      <c r="BU81" s="232"/>
      <c r="BV81" s="232"/>
      <c r="BW81" s="232"/>
      <c r="BX81" s="232"/>
      <c r="BY81" s="232"/>
      <c r="BZ81" s="232"/>
      <c r="CA81" s="232"/>
      <c r="CB81" s="232"/>
      <c r="CC81" s="232"/>
      <c r="CD81" s="232"/>
      <c r="CE81" s="232"/>
      <c r="CF81" s="232"/>
      <c r="CG81" s="232"/>
      <c r="CH81" s="232"/>
      <c r="CI81" s="232"/>
      <c r="CJ81" s="232"/>
      <c r="CK81" s="232"/>
      <c r="CL81" s="232"/>
      <c r="CM81" s="232"/>
      <c r="CN81" s="232"/>
    </row>
    <row r="82" spans="2:92" ht="21.95" customHeight="1" x14ac:dyDescent="0.25">
      <c r="B82" s="139">
        <v>12</v>
      </c>
      <c r="C82" s="139">
        <v>4</v>
      </c>
      <c r="D82" s="139" t="str">
        <f t="shared" si="73"/>
        <v>SUPPLY_WEST_O_1_20</v>
      </c>
      <c r="E82" s="139" t="s">
        <v>0</v>
      </c>
      <c r="F82" s="142" t="s">
        <v>0</v>
      </c>
      <c r="G82" s="140" t="s">
        <v>19</v>
      </c>
      <c r="H82" s="140" t="s">
        <v>40</v>
      </c>
      <c r="I82" s="140">
        <v>1</v>
      </c>
      <c r="J82" s="143"/>
      <c r="K82" s="184">
        <f>COUNT(AG82:BT82)</f>
        <v>6</v>
      </c>
      <c r="L82" s="140"/>
      <c r="M82" s="230"/>
      <c r="N82" s="230"/>
      <c r="O82" s="230"/>
      <c r="P82" s="230"/>
      <c r="Q82" s="230"/>
      <c r="R82" s="230"/>
      <c r="S82" s="230"/>
      <c r="T82" s="230"/>
      <c r="U82" s="230"/>
      <c r="V82" s="230"/>
      <c r="W82" s="230"/>
      <c r="X82" s="230"/>
      <c r="Y82" s="230"/>
      <c r="Z82" s="231"/>
      <c r="AA82" s="240"/>
      <c r="AB82" s="230"/>
      <c r="AC82" s="230"/>
      <c r="AD82" s="230"/>
      <c r="AE82" s="230"/>
      <c r="AF82" s="241"/>
      <c r="AG82" s="237">
        <v>1</v>
      </c>
      <c r="AH82" s="232">
        <f t="shared" si="74"/>
        <v>2</v>
      </c>
      <c r="AI82" s="232">
        <f t="shared" si="74"/>
        <v>3</v>
      </c>
      <c r="AJ82" s="232">
        <f t="shared" si="74"/>
        <v>4</v>
      </c>
      <c r="AK82" s="232">
        <f t="shared" si="74"/>
        <v>5</v>
      </c>
      <c r="AL82" s="232">
        <f t="shared" si="74"/>
        <v>6</v>
      </c>
      <c r="AM82" s="235"/>
      <c r="AN82" s="235"/>
      <c r="AO82" s="235"/>
      <c r="AP82" s="235"/>
      <c r="AQ82" s="235"/>
      <c r="AR82" s="235"/>
      <c r="AS82" s="235"/>
      <c r="AT82" s="235"/>
      <c r="AU82" s="235"/>
      <c r="AV82" s="235"/>
      <c r="AW82" s="235"/>
      <c r="AX82" s="235"/>
      <c r="AY82" s="235"/>
      <c r="AZ82" s="235"/>
      <c r="BA82" s="235"/>
      <c r="BB82" s="230"/>
      <c r="BC82" s="232"/>
      <c r="BD82" s="232"/>
      <c r="BE82" s="232"/>
      <c r="BF82" s="232"/>
      <c r="BG82" s="232"/>
      <c r="BH82" s="232"/>
      <c r="BI82" s="232"/>
      <c r="BJ82" s="232"/>
      <c r="BK82" s="232"/>
      <c r="BL82" s="232"/>
      <c r="BM82" s="232"/>
      <c r="BN82" s="232"/>
      <c r="BO82" s="232"/>
      <c r="BP82" s="232"/>
      <c r="BQ82" s="232"/>
      <c r="BR82" s="232"/>
      <c r="BS82" s="232"/>
      <c r="BT82" s="232"/>
      <c r="BU82" s="232"/>
      <c r="BV82" s="232"/>
      <c r="BW82" s="232"/>
      <c r="BX82" s="232"/>
      <c r="BY82" s="232"/>
      <c r="BZ82" s="232"/>
      <c r="CA82" s="232"/>
      <c r="CB82" s="232"/>
      <c r="CC82" s="232"/>
      <c r="CD82" s="232"/>
      <c r="CE82" s="232"/>
      <c r="CF82" s="232"/>
      <c r="CG82" s="232"/>
      <c r="CH82" s="232"/>
      <c r="CI82" s="232"/>
      <c r="CJ82" s="232"/>
      <c r="CK82" s="232"/>
      <c r="CL82" s="232"/>
      <c r="CM82" s="232"/>
      <c r="CN82" s="232"/>
    </row>
    <row r="83" spans="2:92" ht="21.95" customHeight="1" x14ac:dyDescent="0.25">
      <c r="B83" s="139">
        <v>12</v>
      </c>
      <c r="C83" s="140">
        <v>5</v>
      </c>
      <c r="D83" s="139" t="str">
        <f t="shared" si="73"/>
        <v>EMPTY_WEST_O_1_20</v>
      </c>
      <c r="E83" s="140" t="s">
        <v>0</v>
      </c>
      <c r="F83" s="142" t="s">
        <v>32</v>
      </c>
      <c r="G83" s="140" t="s">
        <v>19</v>
      </c>
      <c r="H83" s="140" t="s">
        <v>40</v>
      </c>
      <c r="I83" s="140">
        <v>1</v>
      </c>
      <c r="J83" s="139"/>
      <c r="K83" s="184">
        <f>COUNT(AG83:BT83)</f>
        <v>21</v>
      </c>
      <c r="L83" s="139"/>
      <c r="M83" s="230"/>
      <c r="N83" s="230"/>
      <c r="O83" s="230"/>
      <c r="P83" s="230"/>
      <c r="Q83" s="230"/>
      <c r="R83" s="230"/>
      <c r="S83" s="230"/>
      <c r="T83" s="230"/>
      <c r="U83" s="230"/>
      <c r="V83" s="230"/>
      <c r="W83" s="230"/>
      <c r="X83" s="230"/>
      <c r="Y83" s="230"/>
      <c r="Z83" s="231"/>
      <c r="AA83" s="240"/>
      <c r="AB83" s="230"/>
      <c r="AC83" s="230"/>
      <c r="AD83" s="230"/>
      <c r="AE83" s="230"/>
      <c r="AF83" s="241"/>
      <c r="AG83" s="237">
        <v>1</v>
      </c>
      <c r="AH83" s="232">
        <f t="shared" si="74"/>
        <v>2</v>
      </c>
      <c r="AI83" s="232">
        <f t="shared" si="74"/>
        <v>3</v>
      </c>
      <c r="AJ83" s="232">
        <f t="shared" si="74"/>
        <v>4</v>
      </c>
      <c r="AK83" s="232">
        <f t="shared" si="74"/>
        <v>5</v>
      </c>
      <c r="AL83" s="232">
        <f t="shared" si="74"/>
        <v>6</v>
      </c>
      <c r="AM83" s="232">
        <f t="shared" si="74"/>
        <v>7</v>
      </c>
      <c r="AN83" s="232">
        <f t="shared" si="74"/>
        <v>8</v>
      </c>
      <c r="AO83" s="232">
        <f t="shared" si="74"/>
        <v>9</v>
      </c>
      <c r="AP83" s="232">
        <f t="shared" si="74"/>
        <v>10</v>
      </c>
      <c r="AQ83" s="232">
        <f t="shared" si="74"/>
        <v>11</v>
      </c>
      <c r="AR83" s="232">
        <f t="shared" ref="AR83:BA83" si="76">AQ83+1</f>
        <v>12</v>
      </c>
      <c r="AS83" s="232">
        <f t="shared" si="76"/>
        <v>13</v>
      </c>
      <c r="AT83" s="232">
        <f t="shared" si="76"/>
        <v>14</v>
      </c>
      <c r="AU83" s="232">
        <f t="shared" si="76"/>
        <v>15</v>
      </c>
      <c r="AV83" s="232">
        <f t="shared" si="76"/>
        <v>16</v>
      </c>
      <c r="AW83" s="232">
        <f t="shared" si="76"/>
        <v>17</v>
      </c>
      <c r="AX83" s="232">
        <f t="shared" si="76"/>
        <v>18</v>
      </c>
      <c r="AY83" s="232">
        <f t="shared" si="76"/>
        <v>19</v>
      </c>
      <c r="AZ83" s="232">
        <f t="shared" si="76"/>
        <v>20</v>
      </c>
      <c r="BA83" s="232">
        <f t="shared" si="76"/>
        <v>21</v>
      </c>
      <c r="BB83" s="349"/>
      <c r="BC83" s="235"/>
      <c r="BD83" s="235"/>
      <c r="BE83" s="232"/>
      <c r="BF83" s="232"/>
      <c r="BG83" s="232"/>
      <c r="BH83" s="232"/>
      <c r="BI83" s="232"/>
      <c r="BJ83" s="232"/>
      <c r="BK83" s="232"/>
      <c r="BL83" s="232"/>
      <c r="BM83" s="232"/>
      <c r="BN83" s="232"/>
      <c r="BO83" s="232"/>
      <c r="BP83" s="232"/>
      <c r="BQ83" s="232"/>
      <c r="BR83" s="232"/>
      <c r="BS83" s="232"/>
      <c r="BT83" s="232"/>
      <c r="BU83" s="232"/>
      <c r="BV83" s="232"/>
      <c r="BW83" s="232"/>
      <c r="BX83" s="232"/>
      <c r="BY83" s="232"/>
      <c r="BZ83" s="232"/>
      <c r="CA83" s="232"/>
      <c r="CB83" s="232"/>
      <c r="CC83" s="232"/>
      <c r="CD83" s="232"/>
      <c r="CE83" s="232"/>
      <c r="CF83" s="232"/>
      <c r="CG83" s="232"/>
      <c r="CH83" s="232"/>
      <c r="CI83" s="232"/>
      <c r="CJ83" s="232"/>
      <c r="CK83" s="232"/>
      <c r="CL83" s="232"/>
      <c r="CM83" s="232"/>
      <c r="CN83" s="232"/>
    </row>
    <row r="84" spans="2:92" ht="21.95" hidden="1" customHeight="1" x14ac:dyDescent="0.25">
      <c r="B84" s="139">
        <v>12</v>
      </c>
      <c r="C84" s="140">
        <v>6</v>
      </c>
      <c r="D84" s="139" t="str">
        <f t="shared" si="73"/>
        <v>COUNTDOWN_WEST_O_1_20</v>
      </c>
      <c r="E84" s="140"/>
      <c r="F84" s="142" t="s">
        <v>33</v>
      </c>
      <c r="G84" s="140" t="s">
        <v>19</v>
      </c>
      <c r="H84" s="140" t="s">
        <v>40</v>
      </c>
      <c r="I84" s="140">
        <v>1</v>
      </c>
      <c r="J84" s="144"/>
      <c r="K84" s="144"/>
      <c r="L84" s="140"/>
      <c r="M84" s="230"/>
      <c r="N84" s="230"/>
      <c r="O84" s="230"/>
      <c r="P84" s="230"/>
      <c r="Q84" s="230"/>
      <c r="R84" s="230"/>
      <c r="S84" s="230"/>
      <c r="T84" s="230"/>
      <c r="U84" s="230"/>
      <c r="V84" s="230"/>
      <c r="W84" s="230"/>
      <c r="X84" s="230"/>
      <c r="Y84" s="230"/>
      <c r="Z84" s="231"/>
      <c r="AA84" s="202"/>
      <c r="AB84" s="199"/>
      <c r="AC84" s="199"/>
      <c r="AD84" s="199"/>
      <c r="AE84" s="206"/>
      <c r="AF84" s="211"/>
      <c r="AG84" s="212"/>
      <c r="AH84" s="196"/>
      <c r="AI84" s="207"/>
      <c r="AJ84" s="207"/>
      <c r="AK84" s="199"/>
      <c r="AL84" s="199"/>
      <c r="AM84" s="199"/>
      <c r="AN84" s="199"/>
      <c r="AO84" s="199"/>
      <c r="AP84" s="199"/>
      <c r="AQ84" s="199"/>
      <c r="AR84" s="199"/>
      <c r="AS84" s="199"/>
      <c r="AT84" s="199"/>
      <c r="AU84" s="199"/>
      <c r="AV84" s="199"/>
      <c r="AW84" s="199"/>
      <c r="AX84" s="199"/>
      <c r="AY84" s="199"/>
      <c r="AZ84" s="199"/>
      <c r="BA84" s="199"/>
      <c r="BB84" s="199"/>
      <c r="BC84" s="199"/>
      <c r="BD84" s="199"/>
      <c r="BE84" s="199"/>
      <c r="BF84" s="199"/>
      <c r="BG84" s="199"/>
      <c r="BH84" s="199"/>
      <c r="BI84" s="199"/>
      <c r="BJ84" s="199"/>
      <c r="BK84" s="199"/>
      <c r="BL84" s="199"/>
      <c r="BM84" s="199"/>
      <c r="BN84" s="199"/>
      <c r="BO84" s="199"/>
      <c r="BP84" s="199"/>
      <c r="BQ84" s="199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</row>
    <row r="85" spans="2:92" ht="21.95" hidden="1" customHeight="1" x14ac:dyDescent="0.25">
      <c r="B85" s="139">
        <v>13</v>
      </c>
      <c r="C85" s="139">
        <v>1</v>
      </c>
      <c r="D85" s="139" t="str">
        <f t="shared" si="73"/>
        <v>SORTING_WEST_L_2_20</v>
      </c>
      <c r="E85" s="139" t="s">
        <v>35</v>
      </c>
      <c r="F85" s="138" t="s">
        <v>45</v>
      </c>
      <c r="G85" s="140" t="s">
        <v>19</v>
      </c>
      <c r="H85" s="140" t="s">
        <v>13</v>
      </c>
      <c r="I85" s="140">
        <v>2</v>
      </c>
      <c r="J85" s="139"/>
      <c r="K85" s="184">
        <f>COUNT(AA85:AZ85)</f>
        <v>6</v>
      </c>
      <c r="L85" s="139"/>
      <c r="M85" s="230"/>
      <c r="N85" s="230"/>
      <c r="O85" s="230"/>
      <c r="P85" s="230"/>
      <c r="Q85" s="230"/>
      <c r="R85" s="230"/>
      <c r="S85" s="230"/>
      <c r="T85" s="230"/>
      <c r="U85" s="230"/>
      <c r="V85" s="230"/>
      <c r="W85" s="230"/>
      <c r="X85" s="230"/>
      <c r="Y85" s="230"/>
      <c r="Z85" s="231"/>
      <c r="AA85" s="234">
        <v>1</v>
      </c>
      <c r="AB85" s="232">
        <f t="shared" ref="AB85:AQ89" si="77">AA85+1</f>
        <v>2</v>
      </c>
      <c r="AC85" s="232">
        <f t="shared" si="77"/>
        <v>3</v>
      </c>
      <c r="AD85" s="232">
        <f t="shared" si="77"/>
        <v>4</v>
      </c>
      <c r="AE85" s="232">
        <f t="shared" si="77"/>
        <v>5</v>
      </c>
      <c r="AF85" s="232">
        <f t="shared" si="77"/>
        <v>6</v>
      </c>
      <c r="AG85" s="235"/>
      <c r="AH85" s="235"/>
      <c r="AI85" s="230"/>
      <c r="AJ85" s="230"/>
      <c r="AK85" s="230"/>
      <c r="AL85" s="230"/>
      <c r="AM85" s="230"/>
      <c r="AN85" s="230"/>
      <c r="AO85" s="230"/>
      <c r="AP85" s="230"/>
      <c r="AQ85" s="230"/>
      <c r="AR85" s="230"/>
      <c r="AS85" s="230"/>
      <c r="AT85" s="230"/>
      <c r="AU85" s="230"/>
      <c r="AV85" s="232"/>
      <c r="AW85" s="232"/>
      <c r="AX85" s="232"/>
      <c r="AY85" s="232"/>
      <c r="AZ85" s="232"/>
      <c r="BA85" s="232"/>
      <c r="BB85" s="232"/>
      <c r="BC85" s="232"/>
      <c r="BD85" s="232"/>
      <c r="BE85" s="232"/>
      <c r="BF85" s="232"/>
      <c r="BG85" s="232"/>
      <c r="BH85" s="232"/>
      <c r="BI85" s="232"/>
      <c r="BJ85" s="232"/>
      <c r="BK85" s="232"/>
      <c r="BL85" s="232"/>
      <c r="BM85" s="232"/>
      <c r="BN85" s="232"/>
      <c r="BO85" s="232"/>
      <c r="BP85" s="232"/>
      <c r="BQ85" s="232"/>
      <c r="BR85" s="232"/>
      <c r="BS85" s="232"/>
      <c r="BT85" s="232"/>
      <c r="BU85" s="232"/>
      <c r="BV85" s="232"/>
      <c r="BW85" s="232"/>
      <c r="BX85" s="232"/>
      <c r="BY85" s="232"/>
      <c r="BZ85" s="232"/>
      <c r="CA85" s="232"/>
      <c r="CB85" s="232"/>
      <c r="CC85" s="232"/>
      <c r="CD85" s="232"/>
      <c r="CE85" s="232"/>
      <c r="CF85" s="232"/>
      <c r="CG85" s="232"/>
      <c r="CH85" s="232"/>
      <c r="CI85" s="232"/>
      <c r="CJ85" s="232"/>
      <c r="CK85" s="232"/>
      <c r="CL85" s="232"/>
      <c r="CM85" s="232"/>
      <c r="CN85" s="232"/>
    </row>
    <row r="86" spans="2:92" ht="21.95" hidden="1" customHeight="1" x14ac:dyDescent="0.25">
      <c r="B86" s="139">
        <v>13</v>
      </c>
      <c r="C86" s="139">
        <v>2</v>
      </c>
      <c r="D86" s="139" t="str">
        <f t="shared" si="73"/>
        <v>TRANSFER_WEST_L_2_20</v>
      </c>
      <c r="E86" s="139" t="s">
        <v>21</v>
      </c>
      <c r="F86" s="138" t="s">
        <v>21</v>
      </c>
      <c r="G86" s="140" t="s">
        <v>19</v>
      </c>
      <c r="H86" s="140" t="s">
        <v>13</v>
      </c>
      <c r="I86" s="140">
        <v>2</v>
      </c>
      <c r="J86" s="139"/>
      <c r="K86" s="184">
        <f>COUNT(AA86:AZ86)</f>
        <v>8</v>
      </c>
      <c r="L86" s="139"/>
      <c r="M86" s="230"/>
      <c r="N86" s="230"/>
      <c r="O86" s="230"/>
      <c r="P86" s="230"/>
      <c r="Q86" s="230"/>
      <c r="R86" s="230"/>
      <c r="S86" s="230"/>
      <c r="T86" s="230"/>
      <c r="U86" s="230"/>
      <c r="V86" s="230"/>
      <c r="W86" s="230"/>
      <c r="X86" s="230"/>
      <c r="Y86" s="230"/>
      <c r="Z86" s="231"/>
      <c r="AA86" s="234">
        <v>1</v>
      </c>
      <c r="AB86" s="232">
        <f>AA86+1</f>
        <v>2</v>
      </c>
      <c r="AC86" s="232">
        <f t="shared" si="77"/>
        <v>3</v>
      </c>
      <c r="AD86" s="232">
        <f t="shared" si="77"/>
        <v>4</v>
      </c>
      <c r="AE86" s="232">
        <f t="shared" si="77"/>
        <v>5</v>
      </c>
      <c r="AF86" s="232">
        <f t="shared" si="77"/>
        <v>6</v>
      </c>
      <c r="AG86" s="232">
        <f t="shared" si="77"/>
        <v>7</v>
      </c>
      <c r="AH86" s="232">
        <f t="shared" si="77"/>
        <v>8</v>
      </c>
      <c r="AI86" s="235"/>
      <c r="AJ86" s="235"/>
      <c r="AK86" s="230"/>
      <c r="AL86" s="230"/>
      <c r="AM86" s="230"/>
      <c r="AN86" s="230"/>
      <c r="AO86" s="230"/>
      <c r="AP86" s="230"/>
      <c r="AQ86" s="230"/>
      <c r="AR86" s="230"/>
      <c r="AS86" s="230"/>
      <c r="AT86" s="230"/>
      <c r="AU86" s="230"/>
      <c r="AV86" s="232"/>
      <c r="AW86" s="232"/>
      <c r="AX86" s="232"/>
      <c r="AY86" s="232"/>
      <c r="AZ86" s="232"/>
      <c r="BA86" s="232"/>
      <c r="BB86" s="232"/>
      <c r="BC86" s="232"/>
      <c r="BD86" s="232"/>
      <c r="BE86" s="232"/>
      <c r="BF86" s="232"/>
      <c r="BG86" s="232"/>
      <c r="BH86" s="232"/>
      <c r="BI86" s="232"/>
      <c r="BJ86" s="232"/>
      <c r="BK86" s="232"/>
      <c r="BL86" s="232"/>
      <c r="BM86" s="232"/>
      <c r="BN86" s="232"/>
      <c r="BO86" s="232"/>
      <c r="BP86" s="232"/>
      <c r="BQ86" s="232"/>
      <c r="BR86" s="232"/>
      <c r="BS86" s="232"/>
      <c r="BT86" s="232"/>
      <c r="BU86" s="232"/>
      <c r="BV86" s="232"/>
      <c r="BW86" s="232"/>
      <c r="BX86" s="232"/>
      <c r="BY86" s="232"/>
      <c r="BZ86" s="232"/>
      <c r="CA86" s="232"/>
      <c r="CB86" s="232"/>
      <c r="CC86" s="232"/>
      <c r="CD86" s="232"/>
      <c r="CE86" s="232"/>
      <c r="CF86" s="232"/>
      <c r="CG86" s="232"/>
      <c r="CH86" s="232"/>
      <c r="CI86" s="232"/>
      <c r="CJ86" s="232"/>
      <c r="CK86" s="232"/>
      <c r="CL86" s="232"/>
      <c r="CM86" s="232"/>
      <c r="CN86" s="232"/>
    </row>
    <row r="87" spans="2:92" ht="21.95" customHeight="1" x14ac:dyDescent="0.25">
      <c r="B87" s="139">
        <v>13</v>
      </c>
      <c r="C87" s="139">
        <v>3</v>
      </c>
      <c r="D87" s="139" t="str">
        <f t="shared" si="73"/>
        <v>PREPARE_WEST_L_2_20</v>
      </c>
      <c r="E87" s="139" t="s">
        <v>0</v>
      </c>
      <c r="F87" s="138" t="s">
        <v>46</v>
      </c>
      <c r="G87" s="140" t="s">
        <v>19</v>
      </c>
      <c r="H87" s="140" t="s">
        <v>13</v>
      </c>
      <c r="I87" s="140">
        <v>2</v>
      </c>
      <c r="J87" s="141"/>
      <c r="K87" s="184">
        <f>COUNT(M87:AZ87)</f>
        <v>26</v>
      </c>
      <c r="L87" s="139"/>
      <c r="M87" s="232">
        <v>1</v>
      </c>
      <c r="N87" s="232">
        <f>M87+1</f>
        <v>2</v>
      </c>
      <c r="O87" s="232">
        <f t="shared" ref="O87:AB87" si="78">N87+1</f>
        <v>3</v>
      </c>
      <c r="P87" s="232">
        <f t="shared" si="78"/>
        <v>4</v>
      </c>
      <c r="Q87" s="232">
        <f t="shared" si="78"/>
        <v>5</v>
      </c>
      <c r="R87" s="232">
        <f t="shared" si="78"/>
        <v>6</v>
      </c>
      <c r="S87" s="232">
        <f t="shared" si="78"/>
        <v>7</v>
      </c>
      <c r="T87" s="232">
        <f t="shared" si="78"/>
        <v>8</v>
      </c>
      <c r="U87" s="232">
        <f t="shared" si="78"/>
        <v>9</v>
      </c>
      <c r="V87" s="232">
        <f t="shared" si="78"/>
        <v>10</v>
      </c>
      <c r="W87" s="232">
        <f t="shared" si="78"/>
        <v>11</v>
      </c>
      <c r="X87" s="232">
        <f t="shared" si="78"/>
        <v>12</v>
      </c>
      <c r="Y87" s="232">
        <f t="shared" si="78"/>
        <v>13</v>
      </c>
      <c r="Z87" s="232">
        <f t="shared" si="78"/>
        <v>14</v>
      </c>
      <c r="AA87" s="232">
        <f t="shared" si="78"/>
        <v>15</v>
      </c>
      <c r="AB87" s="232">
        <f t="shared" si="78"/>
        <v>16</v>
      </c>
      <c r="AC87" s="232">
        <f t="shared" si="77"/>
        <v>17</v>
      </c>
      <c r="AD87" s="232">
        <f t="shared" si="77"/>
        <v>18</v>
      </c>
      <c r="AE87" s="232">
        <f t="shared" si="77"/>
        <v>19</v>
      </c>
      <c r="AF87" s="232">
        <f t="shared" si="77"/>
        <v>20</v>
      </c>
      <c r="AG87" s="232">
        <f t="shared" si="77"/>
        <v>21</v>
      </c>
      <c r="AH87" s="232">
        <f t="shared" si="77"/>
        <v>22</v>
      </c>
      <c r="AI87" s="232">
        <f t="shared" si="77"/>
        <v>23</v>
      </c>
      <c r="AJ87" s="232">
        <f t="shared" si="77"/>
        <v>24</v>
      </c>
      <c r="AK87" s="232">
        <f t="shared" si="77"/>
        <v>25</v>
      </c>
      <c r="AL87" s="232">
        <f t="shared" si="77"/>
        <v>26</v>
      </c>
      <c r="AM87" s="235"/>
      <c r="AN87" s="235"/>
      <c r="AO87" s="232"/>
      <c r="AP87" s="232"/>
      <c r="AQ87" s="232"/>
      <c r="AR87" s="232"/>
      <c r="AS87" s="232"/>
      <c r="AT87" s="232"/>
      <c r="AU87" s="232"/>
      <c r="AV87" s="232"/>
      <c r="AW87" s="232"/>
      <c r="AX87" s="232"/>
      <c r="AY87" s="232"/>
      <c r="AZ87" s="232"/>
      <c r="BA87" s="232"/>
      <c r="BB87" s="232"/>
      <c r="BC87" s="232"/>
      <c r="BD87" s="232"/>
      <c r="BE87" s="232"/>
      <c r="BF87" s="232"/>
      <c r="BG87" s="232"/>
      <c r="BH87" s="232"/>
      <c r="BI87" s="232"/>
      <c r="BJ87" s="232"/>
      <c r="BK87" s="232"/>
      <c r="BL87" s="232"/>
      <c r="BM87" s="232"/>
      <c r="BN87" s="232"/>
      <c r="BO87" s="232"/>
      <c r="BP87" s="232"/>
      <c r="BQ87" s="232"/>
      <c r="BR87" s="232"/>
      <c r="BS87" s="232"/>
      <c r="BT87" s="232"/>
      <c r="BU87" s="232"/>
      <c r="BV87" s="232"/>
      <c r="BW87" s="232"/>
      <c r="BX87" s="232"/>
      <c r="BY87" s="232"/>
      <c r="BZ87" s="232"/>
      <c r="CA87" s="232"/>
      <c r="CB87" s="232"/>
      <c r="CC87" s="232"/>
      <c r="CD87" s="232"/>
      <c r="CE87" s="232"/>
      <c r="CF87" s="232"/>
      <c r="CG87" s="232"/>
      <c r="CH87" s="232"/>
      <c r="CI87" s="232"/>
      <c r="CJ87" s="232"/>
      <c r="CK87" s="232"/>
      <c r="CL87" s="232"/>
      <c r="CM87" s="232"/>
      <c r="CN87" s="232"/>
    </row>
    <row r="88" spans="2:92" ht="21.95" customHeight="1" x14ac:dyDescent="0.25">
      <c r="B88" s="139">
        <v>13</v>
      </c>
      <c r="C88" s="139">
        <v>4</v>
      </c>
      <c r="D88" s="139" t="str">
        <f t="shared" si="73"/>
        <v>SUPPLY_WEST_L_2_20</v>
      </c>
      <c r="E88" s="139" t="s">
        <v>0</v>
      </c>
      <c r="F88" s="142" t="s">
        <v>0</v>
      </c>
      <c r="G88" s="140" t="s">
        <v>19</v>
      </c>
      <c r="H88" s="140" t="s">
        <v>13</v>
      </c>
      <c r="I88" s="140">
        <v>2</v>
      </c>
      <c r="J88" s="143"/>
      <c r="K88" s="184">
        <f>COUNT(AG88:BT88)</f>
        <v>8</v>
      </c>
      <c r="L88" s="140"/>
      <c r="M88" s="230"/>
      <c r="N88" s="230"/>
      <c r="O88" s="230"/>
      <c r="P88" s="230"/>
      <c r="Q88" s="230"/>
      <c r="R88" s="230"/>
      <c r="S88" s="230"/>
      <c r="T88" s="230"/>
      <c r="U88" s="230"/>
      <c r="V88" s="230"/>
      <c r="W88" s="230"/>
      <c r="X88" s="230"/>
      <c r="Y88" s="230"/>
      <c r="Z88" s="231"/>
      <c r="AA88" s="240"/>
      <c r="AB88" s="230"/>
      <c r="AC88" s="230"/>
      <c r="AD88" s="230"/>
      <c r="AE88" s="230"/>
      <c r="AF88" s="241"/>
      <c r="AG88" s="237">
        <v>1</v>
      </c>
      <c r="AH88" s="232">
        <f t="shared" si="77"/>
        <v>2</v>
      </c>
      <c r="AI88" s="232">
        <f t="shared" si="77"/>
        <v>3</v>
      </c>
      <c r="AJ88" s="232">
        <f t="shared" si="77"/>
        <v>4</v>
      </c>
      <c r="AK88" s="232">
        <f t="shared" si="77"/>
        <v>5</v>
      </c>
      <c r="AL88" s="232">
        <f t="shared" si="77"/>
        <v>6</v>
      </c>
      <c r="AM88" s="232">
        <f t="shared" si="77"/>
        <v>7</v>
      </c>
      <c r="AN88" s="232">
        <f t="shared" si="77"/>
        <v>8</v>
      </c>
      <c r="AO88" s="235"/>
      <c r="AP88" s="235"/>
      <c r="AQ88" s="235"/>
      <c r="AR88" s="235"/>
      <c r="AS88" s="235"/>
      <c r="AT88" s="235"/>
      <c r="AU88" s="235"/>
      <c r="AV88" s="235"/>
      <c r="AW88" s="235"/>
      <c r="AX88" s="235"/>
      <c r="AY88" s="235"/>
      <c r="AZ88" s="235"/>
      <c r="BA88" s="235"/>
      <c r="BB88" s="235"/>
      <c r="BC88" s="235"/>
      <c r="BD88" s="232"/>
      <c r="BE88" s="232"/>
      <c r="BF88" s="232"/>
      <c r="BG88" s="232"/>
      <c r="BH88" s="232"/>
      <c r="BI88" s="232"/>
      <c r="BJ88" s="232"/>
      <c r="BK88" s="232"/>
      <c r="BL88" s="232"/>
      <c r="BM88" s="232"/>
      <c r="BN88" s="232"/>
      <c r="BO88" s="232"/>
      <c r="BP88" s="232"/>
      <c r="BQ88" s="232"/>
      <c r="BR88" s="232"/>
      <c r="BS88" s="232"/>
      <c r="BT88" s="232"/>
      <c r="BU88" s="232"/>
      <c r="BV88" s="232"/>
      <c r="BW88" s="232"/>
      <c r="BX88" s="232"/>
      <c r="BY88" s="232"/>
      <c r="BZ88" s="232"/>
      <c r="CA88" s="232"/>
      <c r="CB88" s="232"/>
      <c r="CC88" s="232"/>
      <c r="CD88" s="232"/>
      <c r="CE88" s="232"/>
      <c r="CF88" s="232"/>
      <c r="CG88" s="232"/>
      <c r="CH88" s="232"/>
      <c r="CI88" s="232"/>
      <c r="CJ88" s="232"/>
      <c r="CK88" s="232"/>
      <c r="CL88" s="232"/>
      <c r="CM88" s="232"/>
      <c r="CN88" s="232"/>
    </row>
    <row r="89" spans="2:92" ht="21.95" customHeight="1" x14ac:dyDescent="0.25">
      <c r="B89" s="139">
        <v>13</v>
      </c>
      <c r="C89" s="140">
        <v>5</v>
      </c>
      <c r="D89" s="139" t="str">
        <f t="shared" si="73"/>
        <v>EMPTY_WEST_L_2_20</v>
      </c>
      <c r="E89" s="140" t="s">
        <v>0</v>
      </c>
      <c r="F89" s="142" t="s">
        <v>32</v>
      </c>
      <c r="G89" s="140" t="s">
        <v>19</v>
      </c>
      <c r="H89" s="140" t="s">
        <v>13</v>
      </c>
      <c r="I89" s="140">
        <v>2</v>
      </c>
      <c r="J89" s="139"/>
      <c r="K89" s="184">
        <f>COUNT(AG89:BT89)</f>
        <v>23</v>
      </c>
      <c r="L89" s="139"/>
      <c r="M89" s="230"/>
      <c r="N89" s="230"/>
      <c r="O89" s="230"/>
      <c r="P89" s="230"/>
      <c r="Q89" s="230"/>
      <c r="R89" s="230"/>
      <c r="S89" s="230"/>
      <c r="T89" s="230"/>
      <c r="U89" s="230"/>
      <c r="V89" s="230"/>
      <c r="W89" s="230"/>
      <c r="X89" s="230"/>
      <c r="Y89" s="230"/>
      <c r="Z89" s="231"/>
      <c r="AA89" s="240"/>
      <c r="AB89" s="230"/>
      <c r="AC89" s="230"/>
      <c r="AD89" s="230"/>
      <c r="AE89" s="230"/>
      <c r="AF89" s="241"/>
      <c r="AG89" s="237">
        <v>1</v>
      </c>
      <c r="AH89" s="232">
        <f t="shared" si="77"/>
        <v>2</v>
      </c>
      <c r="AI89" s="232">
        <f t="shared" si="77"/>
        <v>3</v>
      </c>
      <c r="AJ89" s="232">
        <f t="shared" si="77"/>
        <v>4</v>
      </c>
      <c r="AK89" s="232">
        <f t="shared" si="77"/>
        <v>5</v>
      </c>
      <c r="AL89" s="232">
        <f t="shared" si="77"/>
        <v>6</v>
      </c>
      <c r="AM89" s="232">
        <f t="shared" si="77"/>
        <v>7</v>
      </c>
      <c r="AN89" s="232">
        <f t="shared" si="77"/>
        <v>8</v>
      </c>
      <c r="AO89" s="232">
        <f t="shared" si="77"/>
        <v>9</v>
      </c>
      <c r="AP89" s="232">
        <f t="shared" si="77"/>
        <v>10</v>
      </c>
      <c r="AQ89" s="232">
        <f t="shared" si="77"/>
        <v>11</v>
      </c>
      <c r="AR89" s="232">
        <f t="shared" ref="AR89:BC89" si="79">AQ89+1</f>
        <v>12</v>
      </c>
      <c r="AS89" s="232">
        <f t="shared" si="79"/>
        <v>13</v>
      </c>
      <c r="AT89" s="232">
        <f t="shared" si="79"/>
        <v>14</v>
      </c>
      <c r="AU89" s="232">
        <f t="shared" si="79"/>
        <v>15</v>
      </c>
      <c r="AV89" s="232">
        <f t="shared" si="79"/>
        <v>16</v>
      </c>
      <c r="AW89" s="232">
        <f t="shared" si="79"/>
        <v>17</v>
      </c>
      <c r="AX89" s="232">
        <f t="shared" si="79"/>
        <v>18</v>
      </c>
      <c r="AY89" s="232">
        <f t="shared" si="79"/>
        <v>19</v>
      </c>
      <c r="AZ89" s="232">
        <f t="shared" si="79"/>
        <v>20</v>
      </c>
      <c r="BA89" s="232">
        <f t="shared" si="79"/>
        <v>21</v>
      </c>
      <c r="BB89" s="232">
        <f t="shared" si="79"/>
        <v>22</v>
      </c>
      <c r="BC89" s="232">
        <f t="shared" si="79"/>
        <v>23</v>
      </c>
      <c r="BD89" s="349"/>
      <c r="BE89" s="235"/>
      <c r="BF89" s="235"/>
      <c r="BG89" s="232"/>
      <c r="BH89" s="232"/>
      <c r="BI89" s="232"/>
      <c r="BJ89" s="232"/>
      <c r="BK89" s="232"/>
      <c r="BL89" s="232"/>
      <c r="BM89" s="232"/>
      <c r="BN89" s="232"/>
      <c r="BO89" s="232"/>
      <c r="BP89" s="232"/>
      <c r="BQ89" s="232"/>
      <c r="BR89" s="232"/>
      <c r="BS89" s="232"/>
      <c r="BT89" s="232"/>
      <c r="BU89" s="232"/>
      <c r="BV89" s="232"/>
      <c r="BW89" s="232"/>
      <c r="BX89" s="232"/>
      <c r="BY89" s="232"/>
      <c r="BZ89" s="232"/>
      <c r="CA89" s="232"/>
      <c r="CB89" s="232"/>
      <c r="CC89" s="232"/>
      <c r="CD89" s="232"/>
      <c r="CE89" s="232"/>
      <c r="CF89" s="232"/>
      <c r="CG89" s="232"/>
      <c r="CH89" s="232"/>
      <c r="CI89" s="232"/>
      <c r="CJ89" s="232"/>
      <c r="CK89" s="232"/>
      <c r="CL89" s="232"/>
      <c r="CM89" s="232"/>
      <c r="CN89" s="232"/>
    </row>
    <row r="90" spans="2:92" ht="21.95" hidden="1" customHeight="1" x14ac:dyDescent="0.25">
      <c r="B90" s="139">
        <v>13</v>
      </c>
      <c r="C90" s="140">
        <v>6</v>
      </c>
      <c r="D90" s="139" t="str">
        <f t="shared" si="73"/>
        <v>COUNTDOWN_WEST_L_2_20</v>
      </c>
      <c r="E90" s="140"/>
      <c r="F90" s="142" t="s">
        <v>33</v>
      </c>
      <c r="G90" s="140" t="s">
        <v>19</v>
      </c>
      <c r="H90" s="140" t="s">
        <v>13</v>
      </c>
      <c r="I90" s="140">
        <v>2</v>
      </c>
      <c r="J90" s="144"/>
      <c r="K90" s="144"/>
      <c r="L90" s="140"/>
      <c r="M90" s="230"/>
      <c r="N90" s="230"/>
      <c r="O90" s="230"/>
      <c r="P90" s="230"/>
      <c r="Q90" s="230"/>
      <c r="R90" s="230"/>
      <c r="S90" s="230"/>
      <c r="T90" s="230"/>
      <c r="U90" s="230"/>
      <c r="V90" s="230"/>
      <c r="W90" s="230"/>
      <c r="X90" s="230"/>
      <c r="Y90" s="230"/>
      <c r="Z90" s="231"/>
      <c r="AA90" s="202"/>
      <c r="AB90" s="199"/>
      <c r="AC90" s="199"/>
      <c r="AD90" s="199"/>
      <c r="AE90" s="199"/>
      <c r="AF90" s="200"/>
      <c r="AG90" s="213"/>
      <c r="AH90" s="206"/>
      <c r="AI90" s="196"/>
      <c r="AJ90" s="196"/>
      <c r="AK90" s="207"/>
      <c r="AL90" s="207"/>
      <c r="AM90" s="199"/>
      <c r="AN90" s="199"/>
      <c r="AO90" s="199"/>
      <c r="AP90" s="199"/>
      <c r="AQ90" s="199"/>
      <c r="AR90" s="199"/>
      <c r="AS90" s="199"/>
      <c r="AT90" s="199"/>
      <c r="AU90" s="199"/>
      <c r="AV90" s="199"/>
      <c r="AW90" s="199"/>
      <c r="AX90" s="199"/>
      <c r="AY90" s="199"/>
      <c r="AZ90" s="199"/>
      <c r="BA90" s="199"/>
      <c r="BB90" s="199"/>
      <c r="BC90" s="199"/>
      <c r="BD90" s="199"/>
      <c r="BE90" s="199"/>
      <c r="BF90" s="199"/>
      <c r="BG90" s="199"/>
      <c r="BH90" s="199"/>
      <c r="BI90" s="199"/>
      <c r="BJ90" s="199"/>
      <c r="BK90" s="199"/>
      <c r="BL90" s="199"/>
      <c r="BM90" s="199"/>
      <c r="BN90" s="199"/>
      <c r="BO90" s="199"/>
      <c r="BP90" s="199"/>
      <c r="BQ90" s="199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</row>
    <row r="91" spans="2:92" ht="21.95" hidden="1" customHeight="1" x14ac:dyDescent="0.25">
      <c r="B91" s="139">
        <v>14</v>
      </c>
      <c r="C91" s="139">
        <v>1</v>
      </c>
      <c r="D91" s="139" t="str">
        <f t="shared" si="73"/>
        <v>SORTING_WEST_N_1_20</v>
      </c>
      <c r="E91" s="139" t="s">
        <v>35</v>
      </c>
      <c r="F91" s="138" t="s">
        <v>45</v>
      </c>
      <c r="G91" s="140" t="s">
        <v>19</v>
      </c>
      <c r="H91" s="140" t="s">
        <v>15</v>
      </c>
      <c r="I91" s="140">
        <v>1</v>
      </c>
      <c r="J91" s="139"/>
      <c r="K91" s="184">
        <f>COUNT(AA91:AZ91)</f>
        <v>8</v>
      </c>
      <c r="L91" s="139"/>
      <c r="M91" s="230"/>
      <c r="N91" s="230"/>
      <c r="O91" s="230"/>
      <c r="P91" s="230"/>
      <c r="Q91" s="230"/>
      <c r="R91" s="230"/>
      <c r="S91" s="230"/>
      <c r="T91" s="230"/>
      <c r="U91" s="230"/>
      <c r="V91" s="230"/>
      <c r="W91" s="230"/>
      <c r="X91" s="230"/>
      <c r="Y91" s="230"/>
      <c r="Z91" s="231"/>
      <c r="AA91" s="234">
        <v>1</v>
      </c>
      <c r="AB91" s="232">
        <f t="shared" ref="AB91:AQ95" si="80">AA91+1</f>
        <v>2</v>
      </c>
      <c r="AC91" s="232">
        <f t="shared" si="80"/>
        <v>3</v>
      </c>
      <c r="AD91" s="232">
        <f t="shared" si="80"/>
        <v>4</v>
      </c>
      <c r="AE91" s="232">
        <f t="shared" si="80"/>
        <v>5</v>
      </c>
      <c r="AF91" s="232">
        <f t="shared" si="80"/>
        <v>6</v>
      </c>
      <c r="AG91" s="232">
        <f t="shared" si="80"/>
        <v>7</v>
      </c>
      <c r="AH91" s="232">
        <f t="shared" si="80"/>
        <v>8</v>
      </c>
      <c r="AI91" s="235"/>
      <c r="AJ91" s="235"/>
      <c r="AK91" s="230"/>
      <c r="AL91" s="230"/>
      <c r="AM91" s="230"/>
      <c r="AN91" s="230"/>
      <c r="AO91" s="230"/>
      <c r="AP91" s="230"/>
      <c r="AQ91" s="230"/>
      <c r="AR91" s="230"/>
      <c r="AS91" s="230"/>
      <c r="AT91" s="230"/>
      <c r="AU91" s="230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232"/>
      <c r="BH91" s="232"/>
      <c r="BI91" s="232"/>
      <c r="BJ91" s="232"/>
      <c r="BK91" s="232"/>
      <c r="BL91" s="232"/>
      <c r="BM91" s="232"/>
      <c r="BN91" s="232"/>
      <c r="BO91" s="232"/>
      <c r="BP91" s="232"/>
      <c r="BQ91" s="232"/>
      <c r="BR91" s="232"/>
      <c r="BS91" s="232"/>
      <c r="BT91" s="232"/>
      <c r="BU91" s="232"/>
      <c r="BV91" s="232"/>
      <c r="BW91" s="232"/>
      <c r="BX91" s="232"/>
      <c r="BY91" s="232"/>
      <c r="BZ91" s="232"/>
      <c r="CA91" s="232"/>
      <c r="CB91" s="232"/>
      <c r="CC91" s="232"/>
      <c r="CD91" s="232"/>
      <c r="CE91" s="232"/>
      <c r="CF91" s="232"/>
      <c r="CG91" s="232"/>
      <c r="CH91" s="232"/>
      <c r="CI91" s="232"/>
      <c r="CJ91" s="232"/>
      <c r="CK91" s="232"/>
      <c r="CL91" s="232"/>
      <c r="CM91" s="232"/>
      <c r="CN91" s="232"/>
    </row>
    <row r="92" spans="2:92" ht="21.95" hidden="1" customHeight="1" x14ac:dyDescent="0.25">
      <c r="B92" s="139">
        <v>14</v>
      </c>
      <c r="C92" s="139">
        <v>2</v>
      </c>
      <c r="D92" s="139" t="str">
        <f t="shared" si="73"/>
        <v>TRANSFER_WEST_N_1_20</v>
      </c>
      <c r="E92" s="139" t="s">
        <v>21</v>
      </c>
      <c r="F92" s="138" t="s">
        <v>21</v>
      </c>
      <c r="G92" s="140" t="s">
        <v>19</v>
      </c>
      <c r="H92" s="140" t="s">
        <v>15</v>
      </c>
      <c r="I92" s="140">
        <v>1</v>
      </c>
      <c r="J92" s="139"/>
      <c r="K92" s="184">
        <f>COUNT(AA92:AZ92)</f>
        <v>10</v>
      </c>
      <c r="L92" s="139"/>
      <c r="M92" s="230"/>
      <c r="N92" s="230"/>
      <c r="O92" s="230"/>
      <c r="P92" s="230"/>
      <c r="Q92" s="230"/>
      <c r="R92" s="230"/>
      <c r="S92" s="230"/>
      <c r="T92" s="230"/>
      <c r="U92" s="230"/>
      <c r="V92" s="230"/>
      <c r="W92" s="230"/>
      <c r="X92" s="230"/>
      <c r="Y92" s="230"/>
      <c r="Z92" s="231"/>
      <c r="AA92" s="234">
        <v>1</v>
      </c>
      <c r="AB92" s="232">
        <f>AA92+1</f>
        <v>2</v>
      </c>
      <c r="AC92" s="232">
        <f t="shared" si="80"/>
        <v>3</v>
      </c>
      <c r="AD92" s="232">
        <f t="shared" si="80"/>
        <v>4</v>
      </c>
      <c r="AE92" s="232">
        <f t="shared" si="80"/>
        <v>5</v>
      </c>
      <c r="AF92" s="232">
        <f t="shared" si="80"/>
        <v>6</v>
      </c>
      <c r="AG92" s="232">
        <f t="shared" si="80"/>
        <v>7</v>
      </c>
      <c r="AH92" s="232">
        <f t="shared" si="80"/>
        <v>8</v>
      </c>
      <c r="AI92" s="232">
        <f t="shared" si="80"/>
        <v>9</v>
      </c>
      <c r="AJ92" s="232">
        <f t="shared" si="80"/>
        <v>10</v>
      </c>
      <c r="AK92" s="235"/>
      <c r="AL92" s="235"/>
      <c r="AM92" s="230"/>
      <c r="AN92" s="230"/>
      <c r="AO92" s="230"/>
      <c r="AP92" s="230"/>
      <c r="AQ92" s="230"/>
      <c r="AR92" s="230"/>
      <c r="AS92" s="230"/>
      <c r="AT92" s="230"/>
      <c r="AU92" s="230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232"/>
      <c r="BH92" s="232"/>
      <c r="BI92" s="232"/>
      <c r="BJ92" s="232"/>
      <c r="BK92" s="232"/>
      <c r="BL92" s="232"/>
      <c r="BM92" s="232"/>
      <c r="BN92" s="232"/>
      <c r="BO92" s="232"/>
      <c r="BP92" s="232"/>
      <c r="BQ92" s="232"/>
      <c r="BR92" s="232"/>
      <c r="BS92" s="232"/>
      <c r="BT92" s="232"/>
      <c r="BU92" s="232"/>
      <c r="BV92" s="232"/>
      <c r="BW92" s="232"/>
      <c r="BX92" s="232"/>
      <c r="BY92" s="232"/>
      <c r="BZ92" s="232"/>
      <c r="CA92" s="232"/>
      <c r="CB92" s="232"/>
      <c r="CC92" s="232"/>
      <c r="CD92" s="232"/>
      <c r="CE92" s="232"/>
      <c r="CF92" s="232"/>
      <c r="CG92" s="232"/>
      <c r="CH92" s="232"/>
      <c r="CI92" s="232"/>
      <c r="CJ92" s="232"/>
      <c r="CK92" s="232"/>
      <c r="CL92" s="232"/>
      <c r="CM92" s="232"/>
      <c r="CN92" s="232"/>
    </row>
    <row r="93" spans="2:92" ht="21.95" customHeight="1" x14ac:dyDescent="0.25">
      <c r="B93" s="139">
        <v>14</v>
      </c>
      <c r="C93" s="139">
        <v>3</v>
      </c>
      <c r="D93" s="139" t="str">
        <f t="shared" si="73"/>
        <v>PREPARE_WEST_N_1_20</v>
      </c>
      <c r="E93" s="139" t="s">
        <v>0</v>
      </c>
      <c r="F93" s="138" t="s">
        <v>46</v>
      </c>
      <c r="G93" s="140" t="s">
        <v>19</v>
      </c>
      <c r="H93" s="140" t="s">
        <v>15</v>
      </c>
      <c r="I93" s="140">
        <v>1</v>
      </c>
      <c r="J93" s="141"/>
      <c r="K93" s="184">
        <f>COUNT(M93:AZ93)</f>
        <v>29</v>
      </c>
      <c r="L93" s="139"/>
      <c r="M93" s="232">
        <v>1</v>
      </c>
      <c r="N93" s="232">
        <f>M93+1</f>
        <v>2</v>
      </c>
      <c r="O93" s="232">
        <f t="shared" ref="O93:AB93" si="81">N93+1</f>
        <v>3</v>
      </c>
      <c r="P93" s="232">
        <f t="shared" si="81"/>
        <v>4</v>
      </c>
      <c r="Q93" s="232">
        <f t="shared" si="81"/>
        <v>5</v>
      </c>
      <c r="R93" s="232">
        <f t="shared" si="81"/>
        <v>6</v>
      </c>
      <c r="S93" s="232">
        <f t="shared" si="81"/>
        <v>7</v>
      </c>
      <c r="T93" s="232">
        <f t="shared" si="81"/>
        <v>8</v>
      </c>
      <c r="U93" s="232">
        <f t="shared" si="81"/>
        <v>9</v>
      </c>
      <c r="V93" s="232">
        <f t="shared" si="81"/>
        <v>10</v>
      </c>
      <c r="W93" s="232">
        <f t="shared" si="81"/>
        <v>11</v>
      </c>
      <c r="X93" s="232">
        <f t="shared" si="81"/>
        <v>12</v>
      </c>
      <c r="Y93" s="232">
        <f t="shared" si="81"/>
        <v>13</v>
      </c>
      <c r="Z93" s="232">
        <f t="shared" si="81"/>
        <v>14</v>
      </c>
      <c r="AA93" s="232">
        <f t="shared" si="81"/>
        <v>15</v>
      </c>
      <c r="AB93" s="232">
        <f t="shared" si="81"/>
        <v>16</v>
      </c>
      <c r="AC93" s="232">
        <f t="shared" si="80"/>
        <v>17</v>
      </c>
      <c r="AD93" s="232">
        <f t="shared" si="80"/>
        <v>18</v>
      </c>
      <c r="AE93" s="232">
        <f t="shared" si="80"/>
        <v>19</v>
      </c>
      <c r="AF93" s="232">
        <f t="shared" si="80"/>
        <v>20</v>
      </c>
      <c r="AG93" s="232">
        <f t="shared" si="80"/>
        <v>21</v>
      </c>
      <c r="AH93" s="232">
        <f t="shared" si="80"/>
        <v>22</v>
      </c>
      <c r="AI93" s="232">
        <f t="shared" si="80"/>
        <v>23</v>
      </c>
      <c r="AJ93" s="232">
        <f t="shared" si="80"/>
        <v>24</v>
      </c>
      <c r="AK93" s="232">
        <f t="shared" si="80"/>
        <v>25</v>
      </c>
      <c r="AL93" s="232">
        <f t="shared" si="80"/>
        <v>26</v>
      </c>
      <c r="AM93" s="232">
        <f t="shared" si="80"/>
        <v>27</v>
      </c>
      <c r="AN93" s="232">
        <f t="shared" si="80"/>
        <v>28</v>
      </c>
      <c r="AO93" s="232">
        <f t="shared" si="80"/>
        <v>29</v>
      </c>
      <c r="AP93" s="235"/>
      <c r="AQ93" s="235"/>
      <c r="AR93" s="232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232"/>
      <c r="BH93" s="232"/>
      <c r="BI93" s="232"/>
      <c r="BJ93" s="232"/>
      <c r="BK93" s="232"/>
      <c r="BL93" s="232"/>
      <c r="BM93" s="232"/>
      <c r="BN93" s="232"/>
      <c r="BO93" s="232"/>
      <c r="BP93" s="232"/>
      <c r="BQ93" s="232"/>
      <c r="BR93" s="232"/>
      <c r="BS93" s="232"/>
      <c r="BT93" s="232"/>
      <c r="BU93" s="232"/>
      <c r="BV93" s="232"/>
      <c r="BW93" s="232"/>
      <c r="BX93" s="232"/>
      <c r="BY93" s="232"/>
      <c r="BZ93" s="232"/>
      <c r="CA93" s="232"/>
      <c r="CB93" s="232"/>
      <c r="CC93" s="232"/>
      <c r="CD93" s="232"/>
      <c r="CE93" s="232"/>
      <c r="CF93" s="232"/>
      <c r="CG93" s="232"/>
      <c r="CH93" s="232"/>
      <c r="CI93" s="232"/>
      <c r="CJ93" s="232"/>
      <c r="CK93" s="232"/>
      <c r="CL93" s="232"/>
      <c r="CM93" s="232"/>
      <c r="CN93" s="232"/>
    </row>
    <row r="94" spans="2:92" ht="21.95" customHeight="1" x14ac:dyDescent="0.25">
      <c r="B94" s="139">
        <v>14</v>
      </c>
      <c r="C94" s="139">
        <v>4</v>
      </c>
      <c r="D94" s="139" t="str">
        <f t="shared" si="73"/>
        <v>SUPPLY_WEST_N_1_20</v>
      </c>
      <c r="E94" s="139" t="s">
        <v>0</v>
      </c>
      <c r="F94" s="142" t="s">
        <v>0</v>
      </c>
      <c r="G94" s="140" t="s">
        <v>19</v>
      </c>
      <c r="H94" s="140" t="s">
        <v>15</v>
      </c>
      <c r="I94" s="140">
        <v>1</v>
      </c>
      <c r="J94" s="143"/>
      <c r="K94" s="184">
        <f>COUNT(AG94:BT94)</f>
        <v>11</v>
      </c>
      <c r="L94" s="140"/>
      <c r="M94" s="230"/>
      <c r="N94" s="230"/>
      <c r="O94" s="230"/>
      <c r="P94" s="230"/>
      <c r="Q94" s="230"/>
      <c r="R94" s="230"/>
      <c r="S94" s="230"/>
      <c r="T94" s="230"/>
      <c r="U94" s="230"/>
      <c r="V94" s="230"/>
      <c r="W94" s="230"/>
      <c r="X94" s="230"/>
      <c r="Y94" s="230"/>
      <c r="Z94" s="231"/>
      <c r="AA94" s="240"/>
      <c r="AB94" s="230"/>
      <c r="AC94" s="230"/>
      <c r="AD94" s="230"/>
      <c r="AE94" s="230"/>
      <c r="AF94" s="241"/>
      <c r="AG94" s="237">
        <v>1</v>
      </c>
      <c r="AH94" s="232">
        <f t="shared" si="80"/>
        <v>2</v>
      </c>
      <c r="AI94" s="232">
        <f t="shared" si="80"/>
        <v>3</v>
      </c>
      <c r="AJ94" s="232">
        <f t="shared" si="80"/>
        <v>4</v>
      </c>
      <c r="AK94" s="232">
        <f t="shared" si="80"/>
        <v>5</v>
      </c>
      <c r="AL94" s="232">
        <f t="shared" si="80"/>
        <v>6</v>
      </c>
      <c r="AM94" s="232">
        <f t="shared" si="80"/>
        <v>7</v>
      </c>
      <c r="AN94" s="232">
        <f t="shared" si="80"/>
        <v>8</v>
      </c>
      <c r="AO94" s="232">
        <f t="shared" si="80"/>
        <v>9</v>
      </c>
      <c r="AP94" s="232">
        <f t="shared" si="80"/>
        <v>10</v>
      </c>
      <c r="AQ94" s="232">
        <f t="shared" si="80"/>
        <v>11</v>
      </c>
      <c r="AR94" s="235"/>
      <c r="AS94" s="235"/>
      <c r="AT94" s="235"/>
      <c r="AU94" s="235"/>
      <c r="AV94" s="235"/>
      <c r="AW94" s="235"/>
      <c r="AX94" s="235"/>
      <c r="AY94" s="235"/>
      <c r="AZ94" s="235"/>
      <c r="BA94" s="235"/>
      <c r="BB94" s="235"/>
      <c r="BC94" s="235"/>
      <c r="BD94" s="235"/>
      <c r="BE94" s="235"/>
      <c r="BF94" s="235"/>
      <c r="BG94" s="232"/>
      <c r="BH94" s="232"/>
      <c r="BI94" s="232"/>
      <c r="BJ94" s="232"/>
      <c r="BK94" s="232"/>
      <c r="BL94" s="232"/>
      <c r="BM94" s="232"/>
      <c r="BN94" s="232"/>
      <c r="BO94" s="232"/>
      <c r="BP94" s="232"/>
      <c r="BQ94" s="232"/>
      <c r="BR94" s="232"/>
      <c r="BS94" s="232"/>
      <c r="BT94" s="232"/>
      <c r="BU94" s="232"/>
      <c r="BV94" s="232"/>
      <c r="BW94" s="232"/>
      <c r="BX94" s="232"/>
      <c r="BY94" s="232"/>
      <c r="BZ94" s="232"/>
      <c r="CA94" s="232"/>
      <c r="CB94" s="232"/>
      <c r="CC94" s="232"/>
      <c r="CD94" s="232"/>
      <c r="CE94" s="232"/>
      <c r="CF94" s="232"/>
      <c r="CG94" s="232"/>
      <c r="CH94" s="232"/>
      <c r="CI94" s="232"/>
      <c r="CJ94" s="232"/>
      <c r="CK94" s="232"/>
      <c r="CL94" s="232"/>
      <c r="CM94" s="232"/>
      <c r="CN94" s="232"/>
    </row>
    <row r="95" spans="2:92" ht="21.95" customHeight="1" x14ac:dyDescent="0.25">
      <c r="B95" s="139">
        <v>14</v>
      </c>
      <c r="C95" s="140">
        <v>5</v>
      </c>
      <c r="D95" s="139" t="str">
        <f t="shared" si="73"/>
        <v>EMPTY_WEST_N_1_20</v>
      </c>
      <c r="E95" s="140" t="s">
        <v>0</v>
      </c>
      <c r="F95" s="142" t="s">
        <v>32</v>
      </c>
      <c r="G95" s="140" t="s">
        <v>19</v>
      </c>
      <c r="H95" s="140" t="s">
        <v>15</v>
      </c>
      <c r="I95" s="140">
        <v>1</v>
      </c>
      <c r="J95" s="139"/>
      <c r="K95" s="184">
        <f>COUNT(AG95:BT95)</f>
        <v>26</v>
      </c>
      <c r="L95" s="139"/>
      <c r="M95" s="230"/>
      <c r="N95" s="230"/>
      <c r="O95" s="230"/>
      <c r="P95" s="230"/>
      <c r="Q95" s="230"/>
      <c r="R95" s="230"/>
      <c r="S95" s="230"/>
      <c r="T95" s="230"/>
      <c r="U95" s="230"/>
      <c r="V95" s="230"/>
      <c r="W95" s="230"/>
      <c r="X95" s="230"/>
      <c r="Y95" s="230"/>
      <c r="Z95" s="231"/>
      <c r="AA95" s="240"/>
      <c r="AB95" s="230"/>
      <c r="AC95" s="230"/>
      <c r="AD95" s="230"/>
      <c r="AE95" s="230"/>
      <c r="AF95" s="241"/>
      <c r="AG95" s="237">
        <v>1</v>
      </c>
      <c r="AH95" s="232">
        <f t="shared" si="80"/>
        <v>2</v>
      </c>
      <c r="AI95" s="232">
        <f t="shared" si="80"/>
        <v>3</v>
      </c>
      <c r="AJ95" s="232">
        <f t="shared" si="80"/>
        <v>4</v>
      </c>
      <c r="AK95" s="232">
        <f t="shared" si="80"/>
        <v>5</v>
      </c>
      <c r="AL95" s="232">
        <f t="shared" si="80"/>
        <v>6</v>
      </c>
      <c r="AM95" s="232">
        <f t="shared" si="80"/>
        <v>7</v>
      </c>
      <c r="AN95" s="232">
        <f t="shared" si="80"/>
        <v>8</v>
      </c>
      <c r="AO95" s="232">
        <f t="shared" si="80"/>
        <v>9</v>
      </c>
      <c r="AP95" s="232">
        <f t="shared" si="80"/>
        <v>10</v>
      </c>
      <c r="AQ95" s="232">
        <f t="shared" si="80"/>
        <v>11</v>
      </c>
      <c r="AR95" s="232">
        <f t="shared" ref="AR95:BF95" si="82">AQ95+1</f>
        <v>12</v>
      </c>
      <c r="AS95" s="232">
        <f t="shared" si="82"/>
        <v>13</v>
      </c>
      <c r="AT95" s="232">
        <f t="shared" si="82"/>
        <v>14</v>
      </c>
      <c r="AU95" s="232">
        <f t="shared" si="82"/>
        <v>15</v>
      </c>
      <c r="AV95" s="232">
        <f t="shared" si="82"/>
        <v>16</v>
      </c>
      <c r="AW95" s="232">
        <f t="shared" si="82"/>
        <v>17</v>
      </c>
      <c r="AX95" s="232">
        <f t="shared" si="82"/>
        <v>18</v>
      </c>
      <c r="AY95" s="232">
        <f t="shared" si="82"/>
        <v>19</v>
      </c>
      <c r="AZ95" s="232">
        <f t="shared" si="82"/>
        <v>20</v>
      </c>
      <c r="BA95" s="232">
        <f t="shared" si="82"/>
        <v>21</v>
      </c>
      <c r="BB95" s="232">
        <f t="shared" si="82"/>
        <v>22</v>
      </c>
      <c r="BC95" s="232">
        <f t="shared" si="82"/>
        <v>23</v>
      </c>
      <c r="BD95" s="232">
        <f t="shared" si="82"/>
        <v>24</v>
      </c>
      <c r="BE95" s="232">
        <f t="shared" si="82"/>
        <v>25</v>
      </c>
      <c r="BF95" s="232">
        <f t="shared" si="82"/>
        <v>26</v>
      </c>
      <c r="BG95" s="349"/>
      <c r="BH95" s="235"/>
      <c r="BI95" s="235"/>
      <c r="BJ95" s="232"/>
      <c r="BK95" s="232"/>
      <c r="BL95" s="232"/>
      <c r="BM95" s="232"/>
      <c r="BN95" s="232"/>
      <c r="BO95" s="232"/>
      <c r="BP95" s="232"/>
      <c r="BQ95" s="232"/>
      <c r="BR95" s="232"/>
      <c r="BS95" s="232"/>
      <c r="BT95" s="232"/>
      <c r="BU95" s="232"/>
      <c r="BV95" s="232"/>
      <c r="BW95" s="232"/>
      <c r="BX95" s="232"/>
      <c r="BY95" s="232"/>
      <c r="BZ95" s="232"/>
      <c r="CA95" s="232"/>
      <c r="CB95" s="232"/>
      <c r="CC95" s="232"/>
      <c r="CD95" s="232"/>
      <c r="CE95" s="232"/>
      <c r="CF95" s="232"/>
      <c r="CG95" s="232"/>
      <c r="CH95" s="232"/>
      <c r="CI95" s="232"/>
      <c r="CJ95" s="232"/>
      <c r="CK95" s="232"/>
      <c r="CL95" s="232"/>
      <c r="CM95" s="232"/>
      <c r="CN95" s="232"/>
    </row>
    <row r="96" spans="2:92" ht="21.95" hidden="1" customHeight="1" x14ac:dyDescent="0.25">
      <c r="B96" s="139">
        <v>14</v>
      </c>
      <c r="C96" s="140">
        <v>6</v>
      </c>
      <c r="D96" s="139" t="str">
        <f t="shared" si="73"/>
        <v>COUNTDOWN_WEST_N_1_20</v>
      </c>
      <c r="E96" s="140"/>
      <c r="F96" s="142" t="s">
        <v>33</v>
      </c>
      <c r="G96" s="140" t="s">
        <v>19</v>
      </c>
      <c r="H96" s="140" t="s">
        <v>15</v>
      </c>
      <c r="I96" s="140">
        <v>1</v>
      </c>
      <c r="J96" s="144"/>
      <c r="K96" s="144"/>
      <c r="L96" s="140"/>
      <c r="M96" s="230"/>
      <c r="N96" s="230"/>
      <c r="O96" s="230"/>
      <c r="P96" s="230"/>
      <c r="Q96" s="230"/>
      <c r="R96" s="230"/>
      <c r="S96" s="230"/>
      <c r="T96" s="230"/>
      <c r="U96" s="230"/>
      <c r="V96" s="230"/>
      <c r="W96" s="230"/>
      <c r="X96" s="230"/>
      <c r="Y96" s="230"/>
      <c r="Z96" s="231"/>
      <c r="AA96" s="202"/>
      <c r="AB96" s="199"/>
      <c r="AC96" s="199"/>
      <c r="AD96" s="199"/>
      <c r="AE96" s="199"/>
      <c r="AF96" s="200"/>
      <c r="AG96" s="201"/>
      <c r="AH96" s="199"/>
      <c r="AI96" s="206"/>
      <c r="AJ96" s="206"/>
      <c r="AK96" s="196"/>
      <c r="AL96" s="196"/>
      <c r="AM96" s="207"/>
      <c r="AN96" s="207"/>
      <c r="AO96" s="199"/>
      <c r="AP96" s="199"/>
      <c r="AQ96" s="199"/>
      <c r="AR96" s="199"/>
      <c r="AS96" s="199"/>
      <c r="AT96" s="199"/>
      <c r="AU96" s="199"/>
      <c r="AV96" s="199"/>
      <c r="AW96" s="199"/>
      <c r="AX96" s="199"/>
      <c r="AY96" s="199"/>
      <c r="AZ96" s="199"/>
      <c r="BA96" s="199"/>
      <c r="BB96" s="199"/>
      <c r="BC96" s="199"/>
      <c r="BD96" s="199"/>
      <c r="BE96" s="199"/>
      <c r="BF96" s="199"/>
      <c r="BG96" s="199"/>
      <c r="BH96" s="199"/>
      <c r="BI96" s="199"/>
      <c r="BJ96" s="199"/>
      <c r="BK96" s="199"/>
      <c r="BL96" s="199"/>
      <c r="BM96" s="199"/>
      <c r="BN96" s="199"/>
      <c r="BO96" s="199"/>
      <c r="BP96" s="199"/>
      <c r="BQ96" s="199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</row>
    <row r="97" spans="2:92" ht="21.95" hidden="1" customHeight="1" x14ac:dyDescent="0.25">
      <c r="B97" s="139">
        <v>15</v>
      </c>
      <c r="C97" s="139">
        <v>1</v>
      </c>
      <c r="D97" s="139" t="str">
        <f t="shared" si="73"/>
        <v>SORTING_WEST_J_2_20</v>
      </c>
      <c r="E97" s="139" t="s">
        <v>35</v>
      </c>
      <c r="F97" s="138" t="s">
        <v>45</v>
      </c>
      <c r="G97" s="140" t="s">
        <v>19</v>
      </c>
      <c r="H97" s="140" t="s">
        <v>11</v>
      </c>
      <c r="I97" s="140">
        <v>2</v>
      </c>
      <c r="J97" s="139"/>
      <c r="K97" s="184">
        <f>COUNT(AA97:AZ97)</f>
        <v>10</v>
      </c>
      <c r="L97" s="139"/>
      <c r="M97" s="230"/>
      <c r="N97" s="230"/>
      <c r="O97" s="230"/>
      <c r="P97" s="230"/>
      <c r="Q97" s="230"/>
      <c r="R97" s="230"/>
      <c r="S97" s="230"/>
      <c r="T97" s="230"/>
      <c r="U97" s="230"/>
      <c r="V97" s="230"/>
      <c r="W97" s="230"/>
      <c r="X97" s="230"/>
      <c r="Y97" s="230"/>
      <c r="Z97" s="231"/>
      <c r="AA97" s="234">
        <v>1</v>
      </c>
      <c r="AB97" s="232">
        <f t="shared" ref="AB97:AQ101" si="83">AA97+1</f>
        <v>2</v>
      </c>
      <c r="AC97" s="232">
        <f t="shared" si="83"/>
        <v>3</v>
      </c>
      <c r="AD97" s="232">
        <f t="shared" si="83"/>
        <v>4</v>
      </c>
      <c r="AE97" s="232">
        <f t="shared" si="83"/>
        <v>5</v>
      </c>
      <c r="AF97" s="232">
        <f t="shared" si="83"/>
        <v>6</v>
      </c>
      <c r="AG97" s="232">
        <f t="shared" si="83"/>
        <v>7</v>
      </c>
      <c r="AH97" s="232">
        <f t="shared" si="83"/>
        <v>8</v>
      </c>
      <c r="AI97" s="232">
        <f t="shared" si="83"/>
        <v>9</v>
      </c>
      <c r="AJ97" s="232">
        <f t="shared" si="83"/>
        <v>10</v>
      </c>
      <c r="AK97" s="235"/>
      <c r="AL97" s="235"/>
      <c r="AM97" s="230"/>
      <c r="AN97" s="230"/>
      <c r="AO97" s="230"/>
      <c r="AP97" s="230"/>
      <c r="AQ97" s="230"/>
      <c r="AR97" s="230"/>
      <c r="AS97" s="230"/>
      <c r="AT97" s="230"/>
      <c r="AU97" s="230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232"/>
      <c r="BH97" s="232"/>
      <c r="BI97" s="232"/>
      <c r="BJ97" s="232"/>
      <c r="BK97" s="232"/>
      <c r="BL97" s="232"/>
      <c r="BM97" s="232"/>
      <c r="BN97" s="232"/>
      <c r="BO97" s="232"/>
      <c r="BP97" s="232"/>
      <c r="BQ97" s="232"/>
      <c r="BR97" s="232"/>
      <c r="BS97" s="232"/>
      <c r="BT97" s="232"/>
      <c r="BU97" s="232"/>
      <c r="BV97" s="232"/>
      <c r="BW97" s="232"/>
      <c r="BX97" s="232"/>
      <c r="BY97" s="232"/>
      <c r="BZ97" s="232"/>
      <c r="CA97" s="232"/>
      <c r="CB97" s="232"/>
      <c r="CC97" s="232"/>
      <c r="CD97" s="232"/>
      <c r="CE97" s="232"/>
      <c r="CF97" s="232"/>
      <c r="CG97" s="232"/>
      <c r="CH97" s="232"/>
      <c r="CI97" s="232"/>
      <c r="CJ97" s="232"/>
      <c r="CK97" s="232"/>
      <c r="CL97" s="232"/>
      <c r="CM97" s="232"/>
      <c r="CN97" s="232"/>
    </row>
    <row r="98" spans="2:92" ht="21.95" hidden="1" customHeight="1" x14ac:dyDescent="0.25">
      <c r="B98" s="139">
        <v>15</v>
      </c>
      <c r="C98" s="139">
        <v>2</v>
      </c>
      <c r="D98" s="139" t="str">
        <f t="shared" si="73"/>
        <v>TRANSFER_WEST_J_2_20</v>
      </c>
      <c r="E98" s="139" t="s">
        <v>21</v>
      </c>
      <c r="F98" s="138" t="s">
        <v>21</v>
      </c>
      <c r="G98" s="140" t="s">
        <v>19</v>
      </c>
      <c r="H98" s="140" t="s">
        <v>11</v>
      </c>
      <c r="I98" s="140">
        <v>2</v>
      </c>
      <c r="J98" s="139"/>
      <c r="K98" s="184">
        <f>COUNT(AA98:AZ98)</f>
        <v>12</v>
      </c>
      <c r="L98" s="139"/>
      <c r="M98" s="230"/>
      <c r="N98" s="230"/>
      <c r="O98" s="230"/>
      <c r="P98" s="230"/>
      <c r="Q98" s="230"/>
      <c r="R98" s="230"/>
      <c r="S98" s="230"/>
      <c r="T98" s="230"/>
      <c r="U98" s="230"/>
      <c r="V98" s="230"/>
      <c r="W98" s="230"/>
      <c r="X98" s="230"/>
      <c r="Y98" s="230"/>
      <c r="Z98" s="231"/>
      <c r="AA98" s="234">
        <v>1</v>
      </c>
      <c r="AB98" s="232">
        <f>AA98+1</f>
        <v>2</v>
      </c>
      <c r="AC98" s="232">
        <f t="shared" si="83"/>
        <v>3</v>
      </c>
      <c r="AD98" s="232">
        <f t="shared" si="83"/>
        <v>4</v>
      </c>
      <c r="AE98" s="232">
        <f t="shared" si="83"/>
        <v>5</v>
      </c>
      <c r="AF98" s="232">
        <f t="shared" si="83"/>
        <v>6</v>
      </c>
      <c r="AG98" s="232">
        <f t="shared" si="83"/>
        <v>7</v>
      </c>
      <c r="AH98" s="232">
        <f t="shared" si="83"/>
        <v>8</v>
      </c>
      <c r="AI98" s="232">
        <f t="shared" si="83"/>
        <v>9</v>
      </c>
      <c r="AJ98" s="232">
        <f t="shared" si="83"/>
        <v>10</v>
      </c>
      <c r="AK98" s="232">
        <f t="shared" si="83"/>
        <v>11</v>
      </c>
      <c r="AL98" s="232">
        <f t="shared" si="83"/>
        <v>12</v>
      </c>
      <c r="AM98" s="235"/>
      <c r="AN98" s="235"/>
      <c r="AO98" s="235"/>
      <c r="AP98" s="230"/>
      <c r="AQ98" s="230"/>
      <c r="AR98" s="230"/>
      <c r="AS98" s="230"/>
      <c r="AT98" s="230"/>
      <c r="AU98" s="230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232"/>
      <c r="BH98" s="232"/>
      <c r="BI98" s="232"/>
      <c r="BJ98" s="232"/>
      <c r="BK98" s="232"/>
      <c r="BL98" s="232"/>
      <c r="BM98" s="232"/>
      <c r="BN98" s="232"/>
      <c r="BO98" s="232"/>
      <c r="BP98" s="232"/>
      <c r="BQ98" s="232"/>
      <c r="BR98" s="232"/>
      <c r="BS98" s="232"/>
      <c r="BT98" s="232"/>
      <c r="BU98" s="232"/>
      <c r="BV98" s="232"/>
      <c r="BW98" s="232"/>
      <c r="BX98" s="232"/>
      <c r="BY98" s="232"/>
      <c r="BZ98" s="232"/>
      <c r="CA98" s="232"/>
      <c r="CB98" s="232"/>
      <c r="CC98" s="232"/>
      <c r="CD98" s="232"/>
      <c r="CE98" s="232"/>
      <c r="CF98" s="232"/>
      <c r="CG98" s="232"/>
      <c r="CH98" s="232"/>
      <c r="CI98" s="232"/>
      <c r="CJ98" s="232"/>
      <c r="CK98" s="232"/>
      <c r="CL98" s="232"/>
      <c r="CM98" s="232"/>
      <c r="CN98" s="232"/>
    </row>
    <row r="99" spans="2:92" ht="21.95" customHeight="1" x14ac:dyDescent="0.25">
      <c r="B99" s="139">
        <v>15</v>
      </c>
      <c r="C99" s="139">
        <v>3</v>
      </c>
      <c r="D99" s="139" t="str">
        <f t="shared" si="73"/>
        <v>PREPARE_WEST_J_2_20</v>
      </c>
      <c r="E99" s="139" t="s">
        <v>0</v>
      </c>
      <c r="F99" s="138" t="s">
        <v>46</v>
      </c>
      <c r="G99" s="140" t="s">
        <v>19</v>
      </c>
      <c r="H99" s="140" t="s">
        <v>11</v>
      </c>
      <c r="I99" s="140">
        <v>2</v>
      </c>
      <c r="J99" s="141"/>
      <c r="K99" s="184">
        <f>COUNT(M99:AZ99)</f>
        <v>31</v>
      </c>
      <c r="L99" s="139"/>
      <c r="M99" s="232">
        <v>1</v>
      </c>
      <c r="N99" s="232">
        <f>M99+1</f>
        <v>2</v>
      </c>
      <c r="O99" s="232">
        <f t="shared" ref="O99:AB99" si="84">N99+1</f>
        <v>3</v>
      </c>
      <c r="P99" s="232">
        <f t="shared" si="84"/>
        <v>4</v>
      </c>
      <c r="Q99" s="232">
        <f t="shared" si="84"/>
        <v>5</v>
      </c>
      <c r="R99" s="232">
        <f t="shared" si="84"/>
        <v>6</v>
      </c>
      <c r="S99" s="232">
        <f t="shared" si="84"/>
        <v>7</v>
      </c>
      <c r="T99" s="232">
        <f t="shared" si="84"/>
        <v>8</v>
      </c>
      <c r="U99" s="232">
        <f t="shared" si="84"/>
        <v>9</v>
      </c>
      <c r="V99" s="232">
        <f t="shared" si="84"/>
        <v>10</v>
      </c>
      <c r="W99" s="232">
        <f t="shared" si="84"/>
        <v>11</v>
      </c>
      <c r="X99" s="232">
        <f t="shared" si="84"/>
        <v>12</v>
      </c>
      <c r="Y99" s="232">
        <f t="shared" si="84"/>
        <v>13</v>
      </c>
      <c r="Z99" s="232">
        <f t="shared" si="84"/>
        <v>14</v>
      </c>
      <c r="AA99" s="232">
        <f t="shared" si="84"/>
        <v>15</v>
      </c>
      <c r="AB99" s="232">
        <f t="shared" si="84"/>
        <v>16</v>
      </c>
      <c r="AC99" s="232">
        <f t="shared" si="83"/>
        <v>17</v>
      </c>
      <c r="AD99" s="232">
        <f t="shared" si="83"/>
        <v>18</v>
      </c>
      <c r="AE99" s="232">
        <f t="shared" si="83"/>
        <v>19</v>
      </c>
      <c r="AF99" s="232">
        <f t="shared" si="83"/>
        <v>20</v>
      </c>
      <c r="AG99" s="232">
        <f t="shared" si="83"/>
        <v>21</v>
      </c>
      <c r="AH99" s="232">
        <f t="shared" si="83"/>
        <v>22</v>
      </c>
      <c r="AI99" s="232">
        <f t="shared" si="83"/>
        <v>23</v>
      </c>
      <c r="AJ99" s="232">
        <f t="shared" si="83"/>
        <v>24</v>
      </c>
      <c r="AK99" s="232">
        <f t="shared" si="83"/>
        <v>25</v>
      </c>
      <c r="AL99" s="232">
        <f t="shared" si="83"/>
        <v>26</v>
      </c>
      <c r="AM99" s="232">
        <f t="shared" si="83"/>
        <v>27</v>
      </c>
      <c r="AN99" s="232">
        <f t="shared" si="83"/>
        <v>28</v>
      </c>
      <c r="AO99" s="232">
        <f t="shared" si="83"/>
        <v>29</v>
      </c>
      <c r="AP99" s="232">
        <f t="shared" si="83"/>
        <v>30</v>
      </c>
      <c r="AQ99" s="232">
        <f t="shared" si="83"/>
        <v>31</v>
      </c>
      <c r="AR99" s="235"/>
      <c r="AS99" s="235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232"/>
      <c r="BH99" s="232"/>
      <c r="BI99" s="232"/>
      <c r="BJ99" s="232"/>
      <c r="BK99" s="232"/>
      <c r="BL99" s="232"/>
      <c r="BM99" s="232"/>
      <c r="BN99" s="232"/>
      <c r="BO99" s="232"/>
      <c r="BP99" s="232"/>
      <c r="BQ99" s="232"/>
      <c r="BR99" s="232"/>
      <c r="BS99" s="232"/>
      <c r="BT99" s="232"/>
      <c r="BU99" s="232"/>
      <c r="BV99" s="232"/>
      <c r="BW99" s="232"/>
      <c r="BX99" s="232"/>
      <c r="BY99" s="232"/>
      <c r="BZ99" s="232"/>
      <c r="CA99" s="232"/>
      <c r="CB99" s="232"/>
      <c r="CC99" s="232"/>
      <c r="CD99" s="232"/>
      <c r="CE99" s="232"/>
      <c r="CF99" s="232"/>
      <c r="CG99" s="232"/>
      <c r="CH99" s="232"/>
      <c r="CI99" s="232"/>
      <c r="CJ99" s="232"/>
      <c r="CK99" s="232"/>
      <c r="CL99" s="232"/>
      <c r="CM99" s="232"/>
      <c r="CN99" s="232"/>
    </row>
    <row r="100" spans="2:92" ht="21.95" customHeight="1" x14ac:dyDescent="0.25">
      <c r="B100" s="139">
        <v>15</v>
      </c>
      <c r="C100" s="139">
        <v>4</v>
      </c>
      <c r="D100" s="139" t="str">
        <f t="shared" si="73"/>
        <v>SUPPLY_WEST_J_2_20</v>
      </c>
      <c r="E100" s="139" t="s">
        <v>0</v>
      </c>
      <c r="F100" s="142" t="s">
        <v>0</v>
      </c>
      <c r="G100" s="140" t="s">
        <v>19</v>
      </c>
      <c r="H100" s="140" t="s">
        <v>11</v>
      </c>
      <c r="I100" s="140">
        <v>2</v>
      </c>
      <c r="J100" s="143"/>
      <c r="K100" s="184">
        <f>COUNT(AG100:BT100)</f>
        <v>13</v>
      </c>
      <c r="L100" s="140"/>
      <c r="M100" s="230"/>
      <c r="N100" s="230"/>
      <c r="O100" s="230"/>
      <c r="P100" s="230"/>
      <c r="Q100" s="230"/>
      <c r="R100" s="230"/>
      <c r="S100" s="230"/>
      <c r="T100" s="230"/>
      <c r="U100" s="230"/>
      <c r="V100" s="230"/>
      <c r="W100" s="230"/>
      <c r="X100" s="230"/>
      <c r="Y100" s="230"/>
      <c r="Z100" s="231"/>
      <c r="AA100" s="240"/>
      <c r="AB100" s="230"/>
      <c r="AC100" s="230"/>
      <c r="AD100" s="230"/>
      <c r="AE100" s="230"/>
      <c r="AF100" s="241"/>
      <c r="AG100" s="237">
        <v>1</v>
      </c>
      <c r="AH100" s="232">
        <f t="shared" si="83"/>
        <v>2</v>
      </c>
      <c r="AI100" s="232">
        <f t="shared" si="83"/>
        <v>3</v>
      </c>
      <c r="AJ100" s="232">
        <f t="shared" si="83"/>
        <v>4</v>
      </c>
      <c r="AK100" s="232">
        <f t="shared" si="83"/>
        <v>5</v>
      </c>
      <c r="AL100" s="232">
        <f t="shared" si="83"/>
        <v>6</v>
      </c>
      <c r="AM100" s="232">
        <f t="shared" si="83"/>
        <v>7</v>
      </c>
      <c r="AN100" s="232">
        <f t="shared" si="83"/>
        <v>8</v>
      </c>
      <c r="AO100" s="232">
        <f t="shared" si="83"/>
        <v>9</v>
      </c>
      <c r="AP100" s="232">
        <f t="shared" si="83"/>
        <v>10</v>
      </c>
      <c r="AQ100" s="232">
        <f t="shared" si="83"/>
        <v>11</v>
      </c>
      <c r="AR100" s="232">
        <f t="shared" ref="AH100:AW101" si="85">AQ100+1</f>
        <v>12</v>
      </c>
      <c r="AS100" s="232">
        <f t="shared" si="85"/>
        <v>13</v>
      </c>
      <c r="AT100" s="235"/>
      <c r="AU100" s="235"/>
      <c r="AV100" s="235"/>
      <c r="AW100" s="235"/>
      <c r="AX100" s="235"/>
      <c r="AY100" s="235"/>
      <c r="AZ100" s="235"/>
      <c r="BA100" s="235"/>
      <c r="BB100" s="235"/>
      <c r="BC100" s="235"/>
      <c r="BD100" s="235"/>
      <c r="BE100" s="235"/>
      <c r="BF100" s="235"/>
      <c r="BG100" s="235"/>
      <c r="BH100" s="235"/>
      <c r="BI100" s="232"/>
      <c r="BJ100" s="232"/>
      <c r="BK100" s="232"/>
      <c r="BL100" s="232"/>
      <c r="BM100" s="232"/>
      <c r="BN100" s="232"/>
      <c r="BO100" s="232"/>
      <c r="BP100" s="232"/>
      <c r="BQ100" s="232"/>
      <c r="BR100" s="232"/>
      <c r="BS100" s="232"/>
      <c r="BT100" s="232"/>
      <c r="BU100" s="232"/>
      <c r="BV100" s="232"/>
      <c r="BW100" s="232"/>
      <c r="BX100" s="232"/>
      <c r="BY100" s="232"/>
      <c r="BZ100" s="232"/>
      <c r="CA100" s="232"/>
      <c r="CB100" s="232"/>
      <c r="CC100" s="232"/>
      <c r="CD100" s="232"/>
      <c r="CE100" s="232"/>
      <c r="CF100" s="232"/>
      <c r="CG100" s="232"/>
      <c r="CH100" s="232"/>
      <c r="CI100" s="232"/>
      <c r="CJ100" s="232"/>
      <c r="CK100" s="232"/>
      <c r="CL100" s="232"/>
      <c r="CM100" s="232"/>
      <c r="CN100" s="232"/>
    </row>
    <row r="101" spans="2:92" ht="21.95" customHeight="1" x14ac:dyDescent="0.25">
      <c r="B101" s="139">
        <v>15</v>
      </c>
      <c r="C101" s="140">
        <v>5</v>
      </c>
      <c r="D101" s="139" t="str">
        <f t="shared" si="73"/>
        <v>EMPTY_WEST_J_2_20</v>
      </c>
      <c r="E101" s="140" t="s">
        <v>0</v>
      </c>
      <c r="F101" s="142" t="s">
        <v>32</v>
      </c>
      <c r="G101" s="140" t="s">
        <v>19</v>
      </c>
      <c r="H101" s="140" t="s">
        <v>11</v>
      </c>
      <c r="I101" s="140">
        <v>2</v>
      </c>
      <c r="J101" s="139"/>
      <c r="K101" s="184">
        <f>COUNT(AG101:BT101)</f>
        <v>28</v>
      </c>
      <c r="L101" s="139"/>
      <c r="M101" s="230"/>
      <c r="N101" s="230"/>
      <c r="O101" s="230"/>
      <c r="P101" s="230"/>
      <c r="Q101" s="230"/>
      <c r="R101" s="230"/>
      <c r="S101" s="230"/>
      <c r="T101" s="230"/>
      <c r="U101" s="230"/>
      <c r="V101" s="230"/>
      <c r="W101" s="230"/>
      <c r="X101" s="230"/>
      <c r="Y101" s="230"/>
      <c r="Z101" s="231"/>
      <c r="AA101" s="240"/>
      <c r="AB101" s="230"/>
      <c r="AC101" s="230"/>
      <c r="AD101" s="230"/>
      <c r="AE101" s="230"/>
      <c r="AF101" s="241"/>
      <c r="AG101" s="237">
        <v>1</v>
      </c>
      <c r="AH101" s="232">
        <f t="shared" si="85"/>
        <v>2</v>
      </c>
      <c r="AI101" s="232">
        <f t="shared" si="83"/>
        <v>3</v>
      </c>
      <c r="AJ101" s="232">
        <f t="shared" si="83"/>
        <v>4</v>
      </c>
      <c r="AK101" s="232">
        <f t="shared" si="83"/>
        <v>5</v>
      </c>
      <c r="AL101" s="232">
        <f t="shared" si="83"/>
        <v>6</v>
      </c>
      <c r="AM101" s="232">
        <f t="shared" si="83"/>
        <v>7</v>
      </c>
      <c r="AN101" s="232">
        <f t="shared" si="83"/>
        <v>8</v>
      </c>
      <c r="AO101" s="232">
        <f t="shared" si="83"/>
        <v>9</v>
      </c>
      <c r="AP101" s="232">
        <f t="shared" si="83"/>
        <v>10</v>
      </c>
      <c r="AQ101" s="232">
        <f t="shared" si="83"/>
        <v>11</v>
      </c>
      <c r="AR101" s="232">
        <f t="shared" si="85"/>
        <v>12</v>
      </c>
      <c r="AS101" s="232">
        <f t="shared" si="85"/>
        <v>13</v>
      </c>
      <c r="AT101" s="232">
        <f t="shared" si="85"/>
        <v>14</v>
      </c>
      <c r="AU101" s="232">
        <f t="shared" si="85"/>
        <v>15</v>
      </c>
      <c r="AV101" s="232">
        <f t="shared" si="85"/>
        <v>16</v>
      </c>
      <c r="AW101" s="232">
        <f t="shared" si="85"/>
        <v>17</v>
      </c>
      <c r="AX101" s="232">
        <f t="shared" ref="AX101:BH101" si="86">AW101+1</f>
        <v>18</v>
      </c>
      <c r="AY101" s="232">
        <f t="shared" si="86"/>
        <v>19</v>
      </c>
      <c r="AZ101" s="232">
        <f t="shared" si="86"/>
        <v>20</v>
      </c>
      <c r="BA101" s="232">
        <f t="shared" si="86"/>
        <v>21</v>
      </c>
      <c r="BB101" s="232">
        <f t="shared" si="86"/>
        <v>22</v>
      </c>
      <c r="BC101" s="232">
        <f t="shared" si="86"/>
        <v>23</v>
      </c>
      <c r="BD101" s="232">
        <f t="shared" si="86"/>
        <v>24</v>
      </c>
      <c r="BE101" s="232">
        <f t="shared" si="86"/>
        <v>25</v>
      </c>
      <c r="BF101" s="232">
        <f t="shared" si="86"/>
        <v>26</v>
      </c>
      <c r="BG101" s="232">
        <f t="shared" si="86"/>
        <v>27</v>
      </c>
      <c r="BH101" s="232">
        <f t="shared" si="86"/>
        <v>28</v>
      </c>
      <c r="BI101" s="349"/>
      <c r="BJ101" s="235"/>
      <c r="BK101" s="235"/>
      <c r="BL101" s="232"/>
      <c r="BM101" s="232"/>
      <c r="BN101" s="232"/>
      <c r="BO101" s="232"/>
      <c r="BP101" s="232"/>
      <c r="BQ101" s="232"/>
      <c r="BR101" s="232"/>
      <c r="BS101" s="232"/>
      <c r="BT101" s="232"/>
      <c r="BU101" s="232"/>
      <c r="BV101" s="232"/>
      <c r="BW101" s="232"/>
      <c r="BX101" s="232"/>
      <c r="BY101" s="232"/>
      <c r="BZ101" s="232"/>
      <c r="CA101" s="232"/>
      <c r="CB101" s="232"/>
      <c r="CC101" s="232"/>
      <c r="CD101" s="232"/>
      <c r="CE101" s="232"/>
      <c r="CF101" s="232"/>
      <c r="CG101" s="232"/>
      <c r="CH101" s="232"/>
      <c r="CI101" s="232"/>
      <c r="CJ101" s="232"/>
      <c r="CK101" s="232"/>
      <c r="CL101" s="232"/>
      <c r="CM101" s="232"/>
      <c r="CN101" s="232"/>
    </row>
    <row r="102" spans="2:92" ht="21.95" hidden="1" customHeight="1" x14ac:dyDescent="0.25">
      <c r="B102" s="139">
        <v>15</v>
      </c>
      <c r="C102" s="140">
        <v>6</v>
      </c>
      <c r="D102" s="139" t="str">
        <f t="shared" si="73"/>
        <v>COUNTDOWN_WEST_J_2_20</v>
      </c>
      <c r="E102" s="140"/>
      <c r="F102" s="142" t="s">
        <v>33</v>
      </c>
      <c r="G102" s="140" t="s">
        <v>19</v>
      </c>
      <c r="H102" s="140" t="s">
        <v>11</v>
      </c>
      <c r="I102" s="140">
        <v>2</v>
      </c>
      <c r="J102" s="144"/>
      <c r="K102" s="144"/>
      <c r="L102" s="140"/>
      <c r="M102" s="230"/>
      <c r="N102" s="230"/>
      <c r="O102" s="230"/>
      <c r="P102" s="230"/>
      <c r="Q102" s="230"/>
      <c r="R102" s="230"/>
      <c r="S102" s="230"/>
      <c r="T102" s="230"/>
      <c r="U102" s="230"/>
      <c r="V102" s="230"/>
      <c r="W102" s="230"/>
      <c r="X102" s="230"/>
      <c r="Y102" s="230"/>
      <c r="Z102" s="231"/>
      <c r="AA102" s="202"/>
      <c r="AB102" s="199"/>
      <c r="AC102" s="199"/>
      <c r="AD102" s="199"/>
      <c r="AE102" s="199"/>
      <c r="AF102" s="200"/>
      <c r="AG102" s="201"/>
      <c r="AH102" s="199"/>
      <c r="AI102" s="199"/>
      <c r="AJ102" s="199"/>
      <c r="AK102" s="199"/>
      <c r="AL102" s="206"/>
      <c r="AM102" s="206"/>
      <c r="AN102" s="196"/>
      <c r="AO102" s="196"/>
      <c r="AP102" s="207"/>
      <c r="AQ102" s="207"/>
      <c r="AR102" s="199"/>
      <c r="AS102" s="199"/>
      <c r="AT102" s="199"/>
      <c r="AU102" s="199"/>
      <c r="AV102" s="199"/>
      <c r="AW102" s="199"/>
      <c r="AX102" s="199"/>
      <c r="AY102" s="199"/>
      <c r="AZ102" s="199"/>
      <c r="BA102" s="199"/>
      <c r="BB102" s="199"/>
      <c r="BC102" s="199"/>
      <c r="BD102" s="199"/>
      <c r="BE102" s="199"/>
      <c r="BF102" s="199"/>
      <c r="BG102" s="199"/>
      <c r="BH102" s="199"/>
      <c r="BI102" s="199"/>
      <c r="BJ102" s="199"/>
      <c r="BK102" s="199"/>
      <c r="BL102" s="199"/>
      <c r="BM102" s="199"/>
      <c r="BN102" s="199"/>
      <c r="BO102" s="199"/>
      <c r="BP102" s="199"/>
      <c r="BQ102" s="199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</row>
    <row r="103" spans="2:92" ht="21.95" hidden="1" customHeight="1" x14ac:dyDescent="0.25">
      <c r="B103" s="139">
        <v>16</v>
      </c>
      <c r="C103" s="139">
        <v>1</v>
      </c>
      <c r="D103" s="139" t="str">
        <f t="shared" si="73"/>
        <v>SORTING_WEST_Q_1_20</v>
      </c>
      <c r="E103" s="139" t="s">
        <v>35</v>
      </c>
      <c r="F103" s="138" t="s">
        <v>45</v>
      </c>
      <c r="G103" s="140" t="s">
        <v>19</v>
      </c>
      <c r="H103" s="140" t="s">
        <v>59</v>
      </c>
      <c r="I103" s="140">
        <v>1</v>
      </c>
      <c r="J103" s="139"/>
      <c r="K103" s="184">
        <f>COUNT(AA103:AZ103)</f>
        <v>12</v>
      </c>
      <c r="L103" s="139"/>
      <c r="M103" s="230"/>
      <c r="N103" s="230"/>
      <c r="O103" s="230"/>
      <c r="P103" s="230"/>
      <c r="Q103" s="230"/>
      <c r="R103" s="230"/>
      <c r="S103" s="230"/>
      <c r="T103" s="230"/>
      <c r="U103" s="230"/>
      <c r="V103" s="230"/>
      <c r="W103" s="230"/>
      <c r="X103" s="230"/>
      <c r="Y103" s="230"/>
      <c r="Z103" s="231"/>
      <c r="AA103" s="234">
        <v>1</v>
      </c>
      <c r="AB103" s="232">
        <f t="shared" ref="AB103:AQ107" si="87">AA103+1</f>
        <v>2</v>
      </c>
      <c r="AC103" s="232">
        <f t="shared" si="87"/>
        <v>3</v>
      </c>
      <c r="AD103" s="232">
        <f t="shared" si="87"/>
        <v>4</v>
      </c>
      <c r="AE103" s="232">
        <f t="shared" si="87"/>
        <v>5</v>
      </c>
      <c r="AF103" s="232">
        <f t="shared" si="87"/>
        <v>6</v>
      </c>
      <c r="AG103" s="232">
        <f t="shared" si="87"/>
        <v>7</v>
      </c>
      <c r="AH103" s="232">
        <f t="shared" si="87"/>
        <v>8</v>
      </c>
      <c r="AI103" s="232">
        <f t="shared" si="87"/>
        <v>9</v>
      </c>
      <c r="AJ103" s="232">
        <f t="shared" si="87"/>
        <v>10</v>
      </c>
      <c r="AK103" s="232">
        <f t="shared" si="87"/>
        <v>11</v>
      </c>
      <c r="AL103" s="232">
        <f t="shared" si="87"/>
        <v>12</v>
      </c>
      <c r="AM103" s="235"/>
      <c r="AN103" s="235"/>
      <c r="AO103" s="235"/>
      <c r="AP103" s="230"/>
      <c r="AQ103" s="230"/>
      <c r="AR103" s="230"/>
      <c r="AS103" s="230"/>
      <c r="AT103" s="230"/>
      <c r="AU103" s="230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232"/>
      <c r="BH103" s="232"/>
      <c r="BI103" s="232"/>
      <c r="BJ103" s="232"/>
      <c r="BK103" s="232"/>
      <c r="BL103" s="232"/>
      <c r="BM103" s="232"/>
      <c r="BN103" s="232"/>
      <c r="BO103" s="232"/>
      <c r="BP103" s="232"/>
      <c r="BQ103" s="232"/>
      <c r="BR103" s="232"/>
      <c r="BS103" s="232"/>
      <c r="BT103" s="232"/>
      <c r="BU103" s="232"/>
      <c r="BV103" s="232"/>
      <c r="BW103" s="232"/>
      <c r="BX103" s="232"/>
      <c r="BY103" s="232"/>
      <c r="BZ103" s="232"/>
      <c r="CA103" s="232"/>
      <c r="CB103" s="232"/>
      <c r="CC103" s="232"/>
      <c r="CD103" s="232"/>
      <c r="CE103" s="232"/>
      <c r="CF103" s="232"/>
      <c r="CG103" s="232"/>
      <c r="CH103" s="232"/>
      <c r="CI103" s="232"/>
      <c r="CJ103" s="232"/>
      <c r="CK103" s="232"/>
      <c r="CL103" s="232"/>
      <c r="CM103" s="232"/>
      <c r="CN103" s="232"/>
    </row>
    <row r="104" spans="2:92" ht="21.95" hidden="1" customHeight="1" x14ac:dyDescent="0.25">
      <c r="B104" s="139">
        <v>16</v>
      </c>
      <c r="C104" s="139">
        <v>2</v>
      </c>
      <c r="D104" s="139" t="str">
        <f t="shared" si="73"/>
        <v>TRANSFER_WEST_Q_1_20</v>
      </c>
      <c r="E104" s="139" t="s">
        <v>21</v>
      </c>
      <c r="F104" s="138" t="s">
        <v>21</v>
      </c>
      <c r="G104" s="140" t="s">
        <v>19</v>
      </c>
      <c r="H104" s="140" t="s">
        <v>59</v>
      </c>
      <c r="I104" s="140">
        <v>1</v>
      </c>
      <c r="J104" s="139"/>
      <c r="K104" s="184">
        <f>COUNT(AA104:AZ104)</f>
        <v>15</v>
      </c>
      <c r="L104" s="139"/>
      <c r="M104" s="230"/>
      <c r="N104" s="230"/>
      <c r="O104" s="230"/>
      <c r="P104" s="230"/>
      <c r="Q104" s="230"/>
      <c r="R104" s="230"/>
      <c r="S104" s="230"/>
      <c r="T104" s="230"/>
      <c r="U104" s="230"/>
      <c r="V104" s="230"/>
      <c r="W104" s="230"/>
      <c r="X104" s="230"/>
      <c r="Y104" s="230"/>
      <c r="Z104" s="231"/>
      <c r="AA104" s="234">
        <v>1</v>
      </c>
      <c r="AB104" s="232">
        <f>AA104+1</f>
        <v>2</v>
      </c>
      <c r="AC104" s="232">
        <f t="shared" si="87"/>
        <v>3</v>
      </c>
      <c r="AD104" s="232">
        <f t="shared" si="87"/>
        <v>4</v>
      </c>
      <c r="AE104" s="232">
        <f t="shared" si="87"/>
        <v>5</v>
      </c>
      <c r="AF104" s="232">
        <f t="shared" si="87"/>
        <v>6</v>
      </c>
      <c r="AG104" s="232">
        <f t="shared" si="87"/>
        <v>7</v>
      </c>
      <c r="AH104" s="232">
        <f t="shared" si="87"/>
        <v>8</v>
      </c>
      <c r="AI104" s="232">
        <f t="shared" si="87"/>
        <v>9</v>
      </c>
      <c r="AJ104" s="232">
        <f t="shared" si="87"/>
        <v>10</v>
      </c>
      <c r="AK104" s="232">
        <f t="shared" si="87"/>
        <v>11</v>
      </c>
      <c r="AL104" s="232">
        <f t="shared" si="87"/>
        <v>12</v>
      </c>
      <c r="AM104" s="232">
        <f t="shared" si="87"/>
        <v>13</v>
      </c>
      <c r="AN104" s="232">
        <f t="shared" si="87"/>
        <v>14</v>
      </c>
      <c r="AO104" s="232">
        <f t="shared" si="87"/>
        <v>15</v>
      </c>
      <c r="AP104" s="235"/>
      <c r="AQ104" s="235"/>
      <c r="AR104" s="230"/>
      <c r="AS104" s="230"/>
      <c r="AT104" s="230"/>
      <c r="AU104" s="230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232"/>
      <c r="BH104" s="232"/>
      <c r="BI104" s="232"/>
      <c r="BJ104" s="232"/>
      <c r="BK104" s="232"/>
      <c r="BL104" s="232"/>
      <c r="BM104" s="232"/>
      <c r="BN104" s="232"/>
      <c r="BO104" s="232"/>
      <c r="BP104" s="232"/>
      <c r="BQ104" s="232"/>
      <c r="BR104" s="232"/>
      <c r="BS104" s="232"/>
      <c r="BT104" s="232"/>
      <c r="BU104" s="232"/>
      <c r="BV104" s="232"/>
      <c r="BW104" s="232"/>
      <c r="BX104" s="232"/>
      <c r="BY104" s="232"/>
      <c r="BZ104" s="232"/>
      <c r="CA104" s="232"/>
      <c r="CB104" s="232"/>
      <c r="CC104" s="232"/>
      <c r="CD104" s="232"/>
      <c r="CE104" s="232"/>
      <c r="CF104" s="232"/>
      <c r="CG104" s="232"/>
      <c r="CH104" s="232"/>
      <c r="CI104" s="232"/>
      <c r="CJ104" s="232"/>
      <c r="CK104" s="232"/>
      <c r="CL104" s="232"/>
      <c r="CM104" s="232"/>
      <c r="CN104" s="232"/>
    </row>
    <row r="105" spans="2:92" ht="21.95" customHeight="1" x14ac:dyDescent="0.25">
      <c r="B105" s="139">
        <v>16</v>
      </c>
      <c r="C105" s="139">
        <v>3</v>
      </c>
      <c r="D105" s="139" t="str">
        <f t="shared" si="73"/>
        <v>PREPARE_WEST_Q_1_20</v>
      </c>
      <c r="E105" s="139" t="s">
        <v>0</v>
      </c>
      <c r="F105" s="138" t="s">
        <v>46</v>
      </c>
      <c r="G105" s="140" t="s">
        <v>19</v>
      </c>
      <c r="H105" s="140" t="s">
        <v>59</v>
      </c>
      <c r="I105" s="140">
        <v>1</v>
      </c>
      <c r="J105" s="141"/>
      <c r="K105" s="184">
        <f>COUNT(M105:AZ105)</f>
        <v>33</v>
      </c>
      <c r="L105" s="139"/>
      <c r="M105" s="232">
        <v>1</v>
      </c>
      <c r="N105" s="232">
        <f>M105+1</f>
        <v>2</v>
      </c>
      <c r="O105" s="232">
        <f t="shared" ref="O105:AB105" si="88">N105+1</f>
        <v>3</v>
      </c>
      <c r="P105" s="232">
        <f t="shared" si="88"/>
        <v>4</v>
      </c>
      <c r="Q105" s="232">
        <f t="shared" si="88"/>
        <v>5</v>
      </c>
      <c r="R105" s="232">
        <f t="shared" si="88"/>
        <v>6</v>
      </c>
      <c r="S105" s="232">
        <f t="shared" si="88"/>
        <v>7</v>
      </c>
      <c r="T105" s="232">
        <f t="shared" si="88"/>
        <v>8</v>
      </c>
      <c r="U105" s="232">
        <f t="shared" si="88"/>
        <v>9</v>
      </c>
      <c r="V105" s="232">
        <f t="shared" si="88"/>
        <v>10</v>
      </c>
      <c r="W105" s="232">
        <f t="shared" si="88"/>
        <v>11</v>
      </c>
      <c r="X105" s="232">
        <f t="shared" si="88"/>
        <v>12</v>
      </c>
      <c r="Y105" s="232">
        <f t="shared" si="88"/>
        <v>13</v>
      </c>
      <c r="Z105" s="232">
        <f t="shared" si="88"/>
        <v>14</v>
      </c>
      <c r="AA105" s="232">
        <f t="shared" si="88"/>
        <v>15</v>
      </c>
      <c r="AB105" s="232">
        <f t="shared" si="88"/>
        <v>16</v>
      </c>
      <c r="AC105" s="232">
        <f t="shared" si="87"/>
        <v>17</v>
      </c>
      <c r="AD105" s="232">
        <f t="shared" si="87"/>
        <v>18</v>
      </c>
      <c r="AE105" s="232">
        <f t="shared" si="87"/>
        <v>19</v>
      </c>
      <c r="AF105" s="232">
        <f t="shared" si="87"/>
        <v>20</v>
      </c>
      <c r="AG105" s="232">
        <f t="shared" si="87"/>
        <v>21</v>
      </c>
      <c r="AH105" s="232">
        <f t="shared" si="87"/>
        <v>22</v>
      </c>
      <c r="AI105" s="232">
        <f t="shared" si="87"/>
        <v>23</v>
      </c>
      <c r="AJ105" s="232">
        <f t="shared" si="87"/>
        <v>24</v>
      </c>
      <c r="AK105" s="232">
        <f t="shared" si="87"/>
        <v>25</v>
      </c>
      <c r="AL105" s="232">
        <f t="shared" si="87"/>
        <v>26</v>
      </c>
      <c r="AM105" s="232">
        <f t="shared" si="87"/>
        <v>27</v>
      </c>
      <c r="AN105" s="232">
        <f t="shared" si="87"/>
        <v>28</v>
      </c>
      <c r="AO105" s="232">
        <f t="shared" si="87"/>
        <v>29</v>
      </c>
      <c r="AP105" s="232">
        <f t="shared" si="87"/>
        <v>30</v>
      </c>
      <c r="AQ105" s="232">
        <f t="shared" si="87"/>
        <v>31</v>
      </c>
      <c r="AR105" s="232">
        <f t="shared" ref="AH105:AW107" si="89">AQ105+1</f>
        <v>32</v>
      </c>
      <c r="AS105" s="232">
        <f t="shared" si="89"/>
        <v>33</v>
      </c>
      <c r="AT105" s="235"/>
      <c r="AU105" s="235"/>
      <c r="AV105" s="230"/>
      <c r="AW105" s="230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232"/>
      <c r="BH105" s="232"/>
      <c r="BI105" s="232"/>
      <c r="BJ105" s="232"/>
      <c r="BK105" s="232"/>
      <c r="BL105" s="232"/>
      <c r="BM105" s="232"/>
      <c r="BN105" s="232"/>
      <c r="BO105" s="232"/>
      <c r="BP105" s="232"/>
      <c r="BQ105" s="232"/>
      <c r="BR105" s="232"/>
      <c r="BS105" s="232"/>
      <c r="BT105" s="232"/>
      <c r="BU105" s="232"/>
      <c r="BV105" s="232"/>
      <c r="BW105" s="232"/>
      <c r="BX105" s="232"/>
      <c r="BY105" s="232"/>
      <c r="BZ105" s="232"/>
      <c r="CA105" s="232"/>
      <c r="CB105" s="232"/>
      <c r="CC105" s="232"/>
      <c r="CD105" s="232"/>
      <c r="CE105" s="232"/>
      <c r="CF105" s="232"/>
      <c r="CG105" s="232"/>
      <c r="CH105" s="232"/>
      <c r="CI105" s="232"/>
      <c r="CJ105" s="232"/>
      <c r="CK105" s="232"/>
      <c r="CL105" s="232"/>
      <c r="CM105" s="232"/>
      <c r="CN105" s="232"/>
    </row>
    <row r="106" spans="2:92" ht="21.95" customHeight="1" x14ac:dyDescent="0.25">
      <c r="B106" s="139">
        <v>16</v>
      </c>
      <c r="C106" s="139">
        <v>4</v>
      </c>
      <c r="D106" s="139" t="str">
        <f t="shared" si="73"/>
        <v>SUPPLY_WEST_Q_1_20</v>
      </c>
      <c r="E106" s="139" t="s">
        <v>0</v>
      </c>
      <c r="F106" s="142" t="s">
        <v>0</v>
      </c>
      <c r="G106" s="140" t="s">
        <v>19</v>
      </c>
      <c r="H106" s="140" t="s">
        <v>59</v>
      </c>
      <c r="I106" s="140">
        <v>1</v>
      </c>
      <c r="J106" s="143"/>
      <c r="K106" s="184">
        <f>COUNT(AG106:BT106)</f>
        <v>15</v>
      </c>
      <c r="L106" s="140"/>
      <c r="M106" s="230"/>
      <c r="N106" s="230"/>
      <c r="O106" s="230"/>
      <c r="P106" s="230"/>
      <c r="Q106" s="230"/>
      <c r="R106" s="230"/>
      <c r="S106" s="230"/>
      <c r="T106" s="230"/>
      <c r="U106" s="230"/>
      <c r="V106" s="230"/>
      <c r="W106" s="230"/>
      <c r="X106" s="230"/>
      <c r="Y106" s="230"/>
      <c r="Z106" s="231"/>
      <c r="AA106" s="240"/>
      <c r="AB106" s="230"/>
      <c r="AC106" s="230"/>
      <c r="AD106" s="230"/>
      <c r="AE106" s="230"/>
      <c r="AF106" s="241"/>
      <c r="AG106" s="237">
        <v>1</v>
      </c>
      <c r="AH106" s="232">
        <f t="shared" si="87"/>
        <v>2</v>
      </c>
      <c r="AI106" s="232">
        <f t="shared" si="87"/>
        <v>3</v>
      </c>
      <c r="AJ106" s="232">
        <f t="shared" si="87"/>
        <v>4</v>
      </c>
      <c r="AK106" s="232">
        <f t="shared" si="87"/>
        <v>5</v>
      </c>
      <c r="AL106" s="232">
        <f t="shared" si="87"/>
        <v>6</v>
      </c>
      <c r="AM106" s="232">
        <f t="shared" si="87"/>
        <v>7</v>
      </c>
      <c r="AN106" s="232">
        <f t="shared" si="87"/>
        <v>8</v>
      </c>
      <c r="AO106" s="232">
        <f t="shared" si="87"/>
        <v>9</v>
      </c>
      <c r="AP106" s="232">
        <f t="shared" si="87"/>
        <v>10</v>
      </c>
      <c r="AQ106" s="232">
        <f t="shared" si="87"/>
        <v>11</v>
      </c>
      <c r="AR106" s="232">
        <f t="shared" si="89"/>
        <v>12</v>
      </c>
      <c r="AS106" s="232">
        <f t="shared" si="89"/>
        <v>13</v>
      </c>
      <c r="AT106" s="232">
        <f t="shared" si="89"/>
        <v>14</v>
      </c>
      <c r="AU106" s="232">
        <f t="shared" si="89"/>
        <v>15</v>
      </c>
      <c r="AV106" s="235"/>
      <c r="AW106" s="235"/>
      <c r="AX106" s="235"/>
      <c r="AY106" s="235"/>
      <c r="AZ106" s="235"/>
      <c r="BA106" s="235"/>
      <c r="BB106" s="235"/>
      <c r="BC106" s="235"/>
      <c r="BD106" s="235"/>
      <c r="BE106" s="235"/>
      <c r="BF106" s="235"/>
      <c r="BG106" s="235"/>
      <c r="BH106" s="235"/>
      <c r="BI106" s="235"/>
      <c r="BJ106" s="235"/>
      <c r="BK106" s="232"/>
      <c r="BL106" s="230"/>
      <c r="BM106" s="230"/>
      <c r="BN106" s="232"/>
      <c r="BO106" s="232"/>
      <c r="BP106" s="232"/>
      <c r="BQ106" s="232"/>
      <c r="BR106" s="232"/>
      <c r="BS106" s="232"/>
      <c r="BT106" s="232"/>
      <c r="BU106" s="232"/>
      <c r="BV106" s="232"/>
      <c r="BW106" s="232"/>
      <c r="BX106" s="232"/>
      <c r="BY106" s="232"/>
      <c r="BZ106" s="232"/>
      <c r="CA106" s="232"/>
      <c r="CB106" s="232"/>
      <c r="CC106" s="232"/>
      <c r="CD106" s="232"/>
      <c r="CE106" s="232"/>
      <c r="CF106" s="232"/>
      <c r="CG106" s="232"/>
      <c r="CH106" s="232"/>
      <c r="CI106" s="232"/>
      <c r="CJ106" s="232"/>
      <c r="CK106" s="232"/>
      <c r="CL106" s="232"/>
      <c r="CM106" s="232"/>
      <c r="CN106" s="232"/>
    </row>
    <row r="107" spans="2:92" ht="21.95" customHeight="1" x14ac:dyDescent="0.25">
      <c r="B107" s="139">
        <v>16</v>
      </c>
      <c r="C107" s="140">
        <v>5</v>
      </c>
      <c r="D107" s="139" t="str">
        <f t="shared" si="73"/>
        <v>EMPTY_WEST_Q_1_20</v>
      </c>
      <c r="E107" s="140" t="s">
        <v>0</v>
      </c>
      <c r="F107" s="142" t="s">
        <v>32</v>
      </c>
      <c r="G107" s="140" t="s">
        <v>19</v>
      </c>
      <c r="H107" s="140" t="s">
        <v>59</v>
      </c>
      <c r="I107" s="140">
        <v>1</v>
      </c>
      <c r="J107" s="139"/>
      <c r="K107" s="184">
        <f>COUNT(AG107:BT107)</f>
        <v>30</v>
      </c>
      <c r="L107" s="139"/>
      <c r="M107" s="230"/>
      <c r="N107" s="230"/>
      <c r="O107" s="230"/>
      <c r="P107" s="230"/>
      <c r="Q107" s="230"/>
      <c r="R107" s="230"/>
      <c r="S107" s="230"/>
      <c r="T107" s="230"/>
      <c r="U107" s="230"/>
      <c r="V107" s="230"/>
      <c r="W107" s="230"/>
      <c r="X107" s="230"/>
      <c r="Y107" s="230"/>
      <c r="Z107" s="231"/>
      <c r="AA107" s="240"/>
      <c r="AB107" s="230"/>
      <c r="AC107" s="230"/>
      <c r="AD107" s="230"/>
      <c r="AE107" s="230"/>
      <c r="AF107" s="241"/>
      <c r="AG107" s="237">
        <v>1</v>
      </c>
      <c r="AH107" s="232">
        <f t="shared" si="89"/>
        <v>2</v>
      </c>
      <c r="AI107" s="232">
        <f t="shared" si="87"/>
        <v>3</v>
      </c>
      <c r="AJ107" s="232">
        <f t="shared" si="87"/>
        <v>4</v>
      </c>
      <c r="AK107" s="232">
        <f t="shared" si="87"/>
        <v>5</v>
      </c>
      <c r="AL107" s="232">
        <f t="shared" si="87"/>
        <v>6</v>
      </c>
      <c r="AM107" s="232">
        <f t="shared" si="87"/>
        <v>7</v>
      </c>
      <c r="AN107" s="232">
        <f t="shared" si="87"/>
        <v>8</v>
      </c>
      <c r="AO107" s="232">
        <f t="shared" si="87"/>
        <v>9</v>
      </c>
      <c r="AP107" s="232">
        <f t="shared" si="87"/>
        <v>10</v>
      </c>
      <c r="AQ107" s="232">
        <f t="shared" si="87"/>
        <v>11</v>
      </c>
      <c r="AR107" s="232">
        <f t="shared" si="89"/>
        <v>12</v>
      </c>
      <c r="AS107" s="232">
        <f t="shared" si="89"/>
        <v>13</v>
      </c>
      <c r="AT107" s="232">
        <f t="shared" si="89"/>
        <v>14</v>
      </c>
      <c r="AU107" s="232">
        <f t="shared" si="89"/>
        <v>15</v>
      </c>
      <c r="AV107" s="232">
        <f t="shared" si="89"/>
        <v>16</v>
      </c>
      <c r="AW107" s="232">
        <f t="shared" si="89"/>
        <v>17</v>
      </c>
      <c r="AX107" s="232">
        <f t="shared" ref="AX107:BJ107" si="90">AW107+1</f>
        <v>18</v>
      </c>
      <c r="AY107" s="232">
        <f t="shared" si="90"/>
        <v>19</v>
      </c>
      <c r="AZ107" s="232">
        <f t="shared" si="90"/>
        <v>20</v>
      </c>
      <c r="BA107" s="232">
        <f t="shared" si="90"/>
        <v>21</v>
      </c>
      <c r="BB107" s="232">
        <f t="shared" si="90"/>
        <v>22</v>
      </c>
      <c r="BC107" s="232">
        <f t="shared" si="90"/>
        <v>23</v>
      </c>
      <c r="BD107" s="232">
        <f t="shared" si="90"/>
        <v>24</v>
      </c>
      <c r="BE107" s="232">
        <f t="shared" si="90"/>
        <v>25</v>
      </c>
      <c r="BF107" s="232">
        <f t="shared" si="90"/>
        <v>26</v>
      </c>
      <c r="BG107" s="232">
        <f t="shared" si="90"/>
        <v>27</v>
      </c>
      <c r="BH107" s="232">
        <f t="shared" si="90"/>
        <v>28</v>
      </c>
      <c r="BI107" s="232">
        <f t="shared" si="90"/>
        <v>29</v>
      </c>
      <c r="BJ107" s="232">
        <f t="shared" si="90"/>
        <v>30</v>
      </c>
      <c r="BK107" s="349"/>
      <c r="BL107" s="235"/>
      <c r="BM107" s="235"/>
      <c r="BN107" s="230"/>
      <c r="BO107" s="230"/>
      <c r="BP107" s="232"/>
      <c r="BQ107" s="232"/>
      <c r="BR107" s="232"/>
      <c r="BS107" s="232"/>
      <c r="BT107" s="232"/>
      <c r="BU107" s="232"/>
      <c r="BV107" s="232"/>
      <c r="BW107" s="232"/>
      <c r="BX107" s="232"/>
      <c r="BY107" s="232"/>
      <c r="BZ107" s="232"/>
      <c r="CA107" s="232"/>
      <c r="CB107" s="232"/>
      <c r="CC107" s="232"/>
      <c r="CD107" s="232"/>
      <c r="CE107" s="232"/>
      <c r="CF107" s="232"/>
      <c r="CG107" s="232"/>
      <c r="CH107" s="232"/>
      <c r="CI107" s="232"/>
      <c r="CJ107" s="232"/>
      <c r="CK107" s="232"/>
      <c r="CL107" s="232"/>
      <c r="CM107" s="232"/>
      <c r="CN107" s="232"/>
    </row>
    <row r="108" spans="2:92" ht="21.95" hidden="1" customHeight="1" x14ac:dyDescent="0.25">
      <c r="B108" s="139">
        <v>16</v>
      </c>
      <c r="C108" s="140">
        <v>6</v>
      </c>
      <c r="D108" s="139" t="str">
        <f t="shared" si="73"/>
        <v>COUNTDOWN_WEST_Q_1_20</v>
      </c>
      <c r="E108" s="140"/>
      <c r="F108" s="142" t="s">
        <v>33</v>
      </c>
      <c r="G108" s="140" t="s">
        <v>19</v>
      </c>
      <c r="H108" s="140" t="s">
        <v>59</v>
      </c>
      <c r="I108" s="140">
        <v>1</v>
      </c>
      <c r="J108" s="144"/>
      <c r="K108" s="144"/>
      <c r="L108" s="140"/>
      <c r="M108" s="230"/>
      <c r="N108" s="230"/>
      <c r="O108" s="230"/>
      <c r="P108" s="230"/>
      <c r="Q108" s="230"/>
      <c r="R108" s="230"/>
      <c r="S108" s="230"/>
      <c r="T108" s="230"/>
      <c r="U108" s="230"/>
      <c r="V108" s="230"/>
      <c r="W108" s="230"/>
      <c r="X108" s="230"/>
      <c r="Y108" s="230"/>
      <c r="Z108" s="231"/>
      <c r="AA108" s="202"/>
      <c r="AB108" s="199"/>
      <c r="AC108" s="199"/>
      <c r="AD108" s="199"/>
      <c r="AE108" s="199"/>
      <c r="AF108" s="200"/>
      <c r="AG108" s="201"/>
      <c r="AH108" s="199"/>
      <c r="AI108" s="199"/>
      <c r="AJ108" s="199"/>
      <c r="AK108" s="199"/>
      <c r="AL108" s="199"/>
      <c r="AM108" s="199"/>
      <c r="AN108" s="206"/>
      <c r="AO108" s="206"/>
      <c r="AP108" s="196"/>
      <c r="AQ108" s="196"/>
      <c r="AR108" s="207"/>
      <c r="AS108" s="207"/>
      <c r="AT108" s="199"/>
      <c r="AU108" s="199"/>
      <c r="AV108" s="199"/>
      <c r="AW108" s="199"/>
      <c r="AX108" s="199"/>
      <c r="AY108" s="199"/>
      <c r="AZ108" s="199"/>
      <c r="BA108" s="199"/>
      <c r="BB108" s="199"/>
      <c r="BC108" s="199"/>
      <c r="BD108" s="199"/>
      <c r="BE108" s="199"/>
      <c r="BF108" s="199"/>
      <c r="BG108" s="199"/>
      <c r="BH108" s="199"/>
      <c r="BI108" s="199"/>
      <c r="BJ108" s="199"/>
      <c r="BK108" s="199"/>
      <c r="BL108" s="199"/>
      <c r="BM108" s="199"/>
      <c r="BN108" s="199"/>
      <c r="BO108" s="199"/>
      <c r="BP108" s="199"/>
      <c r="BQ108" s="199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</row>
    <row r="109" spans="2:92" ht="21.95" hidden="1" customHeight="1" x14ac:dyDescent="0.25">
      <c r="B109" s="139">
        <v>17</v>
      </c>
      <c r="C109" s="139">
        <v>1</v>
      </c>
      <c r="D109" s="139" t="str">
        <f t="shared" si="73"/>
        <v>SORTING_WEST_F_2_20</v>
      </c>
      <c r="E109" s="139" t="s">
        <v>35</v>
      </c>
      <c r="F109" s="138" t="s">
        <v>45</v>
      </c>
      <c r="G109" s="140" t="s">
        <v>19</v>
      </c>
      <c r="H109" s="140" t="s">
        <v>7</v>
      </c>
      <c r="I109" s="140">
        <v>2</v>
      </c>
      <c r="J109" s="139"/>
      <c r="K109" s="184">
        <f>COUNT(AA109:AZ109)</f>
        <v>15</v>
      </c>
      <c r="L109" s="139"/>
      <c r="M109" s="230"/>
      <c r="N109" s="230"/>
      <c r="O109" s="230"/>
      <c r="P109" s="230"/>
      <c r="Q109" s="230"/>
      <c r="R109" s="230"/>
      <c r="S109" s="230"/>
      <c r="T109" s="230"/>
      <c r="U109" s="230"/>
      <c r="V109" s="230"/>
      <c r="W109" s="230"/>
      <c r="X109" s="230"/>
      <c r="Y109" s="230"/>
      <c r="Z109" s="231"/>
      <c r="AA109" s="234">
        <v>1</v>
      </c>
      <c r="AB109" s="232">
        <f t="shared" ref="AB109:AQ113" si="91">AA109+1</f>
        <v>2</v>
      </c>
      <c r="AC109" s="232">
        <f t="shared" si="91"/>
        <v>3</v>
      </c>
      <c r="AD109" s="232">
        <f t="shared" si="91"/>
        <v>4</v>
      </c>
      <c r="AE109" s="232">
        <f t="shared" si="91"/>
        <v>5</v>
      </c>
      <c r="AF109" s="232">
        <f t="shared" si="91"/>
        <v>6</v>
      </c>
      <c r="AG109" s="232">
        <f t="shared" si="91"/>
        <v>7</v>
      </c>
      <c r="AH109" s="232">
        <f t="shared" si="91"/>
        <v>8</v>
      </c>
      <c r="AI109" s="232">
        <f t="shared" si="91"/>
        <v>9</v>
      </c>
      <c r="AJ109" s="232">
        <f t="shared" si="91"/>
        <v>10</v>
      </c>
      <c r="AK109" s="232">
        <f t="shared" si="91"/>
        <v>11</v>
      </c>
      <c r="AL109" s="232">
        <f t="shared" si="91"/>
        <v>12</v>
      </c>
      <c r="AM109" s="232">
        <f t="shared" si="91"/>
        <v>13</v>
      </c>
      <c r="AN109" s="232">
        <f t="shared" si="91"/>
        <v>14</v>
      </c>
      <c r="AO109" s="232">
        <f t="shared" si="91"/>
        <v>15</v>
      </c>
      <c r="AP109" s="235"/>
      <c r="AQ109" s="235"/>
      <c r="AR109" s="230"/>
      <c r="AS109" s="230"/>
      <c r="AT109" s="230"/>
      <c r="AU109" s="230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232"/>
      <c r="BH109" s="232"/>
      <c r="BI109" s="232"/>
      <c r="BJ109" s="232"/>
      <c r="BK109" s="232"/>
      <c r="BL109" s="232"/>
      <c r="BM109" s="232"/>
      <c r="BN109" s="232"/>
      <c r="BO109" s="232"/>
      <c r="BP109" s="232"/>
      <c r="BQ109" s="232"/>
      <c r="BR109" s="232"/>
      <c r="BS109" s="232"/>
      <c r="BT109" s="232"/>
      <c r="BU109" s="232"/>
      <c r="BV109" s="232"/>
      <c r="BW109" s="232"/>
      <c r="BX109" s="232"/>
      <c r="BY109" s="232"/>
      <c r="BZ109" s="232"/>
      <c r="CA109" s="232"/>
      <c r="CB109" s="232"/>
      <c r="CC109" s="232"/>
      <c r="CD109" s="232"/>
      <c r="CE109" s="232"/>
      <c r="CF109" s="232"/>
      <c r="CG109" s="232"/>
      <c r="CH109" s="232"/>
      <c r="CI109" s="232"/>
      <c r="CJ109" s="232"/>
      <c r="CK109" s="232"/>
      <c r="CL109" s="232"/>
      <c r="CM109" s="232"/>
      <c r="CN109" s="232"/>
    </row>
    <row r="110" spans="2:92" ht="21.95" hidden="1" customHeight="1" x14ac:dyDescent="0.25">
      <c r="B110" s="139">
        <v>17</v>
      </c>
      <c r="C110" s="139">
        <v>2</v>
      </c>
      <c r="D110" s="139" t="str">
        <f t="shared" si="73"/>
        <v>TRANSFER_WEST_F_2_20</v>
      </c>
      <c r="E110" s="139" t="s">
        <v>21</v>
      </c>
      <c r="F110" s="138" t="s">
        <v>21</v>
      </c>
      <c r="G110" s="140" t="s">
        <v>19</v>
      </c>
      <c r="H110" s="140" t="s">
        <v>7</v>
      </c>
      <c r="I110" s="140">
        <v>2</v>
      </c>
      <c r="J110" s="139"/>
      <c r="K110" s="184">
        <f>COUNT(AA110:AZ110)</f>
        <v>17</v>
      </c>
      <c r="L110" s="139"/>
      <c r="M110" s="230"/>
      <c r="N110" s="230"/>
      <c r="O110" s="230"/>
      <c r="P110" s="230"/>
      <c r="Q110" s="230"/>
      <c r="R110" s="230"/>
      <c r="S110" s="230"/>
      <c r="T110" s="230"/>
      <c r="U110" s="230"/>
      <c r="V110" s="230"/>
      <c r="W110" s="230"/>
      <c r="X110" s="230"/>
      <c r="Y110" s="230"/>
      <c r="Z110" s="231"/>
      <c r="AA110" s="234">
        <v>1</v>
      </c>
      <c r="AB110" s="232">
        <f>AA110+1</f>
        <v>2</v>
      </c>
      <c r="AC110" s="232">
        <f t="shared" si="91"/>
        <v>3</v>
      </c>
      <c r="AD110" s="232">
        <f t="shared" si="91"/>
        <v>4</v>
      </c>
      <c r="AE110" s="232">
        <f t="shared" si="91"/>
        <v>5</v>
      </c>
      <c r="AF110" s="232">
        <f t="shared" si="91"/>
        <v>6</v>
      </c>
      <c r="AG110" s="232">
        <f t="shared" si="91"/>
        <v>7</v>
      </c>
      <c r="AH110" s="232">
        <f t="shared" si="91"/>
        <v>8</v>
      </c>
      <c r="AI110" s="232">
        <f t="shared" si="91"/>
        <v>9</v>
      </c>
      <c r="AJ110" s="232">
        <f t="shared" si="91"/>
        <v>10</v>
      </c>
      <c r="AK110" s="232">
        <f t="shared" si="91"/>
        <v>11</v>
      </c>
      <c r="AL110" s="232">
        <f t="shared" si="91"/>
        <v>12</v>
      </c>
      <c r="AM110" s="232">
        <f t="shared" si="91"/>
        <v>13</v>
      </c>
      <c r="AN110" s="232">
        <f t="shared" si="91"/>
        <v>14</v>
      </c>
      <c r="AO110" s="232">
        <f t="shared" si="91"/>
        <v>15</v>
      </c>
      <c r="AP110" s="232">
        <f t="shared" si="91"/>
        <v>16</v>
      </c>
      <c r="AQ110" s="232">
        <f t="shared" si="91"/>
        <v>17</v>
      </c>
      <c r="AR110" s="235"/>
      <c r="AS110" s="235"/>
      <c r="AT110" s="235"/>
      <c r="AU110" s="230"/>
      <c r="AV110" s="230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232"/>
      <c r="BH110" s="232"/>
      <c r="BI110" s="232"/>
      <c r="BJ110" s="232"/>
      <c r="BK110" s="232"/>
      <c r="BL110" s="232"/>
      <c r="BM110" s="232"/>
      <c r="BN110" s="232"/>
      <c r="BO110" s="232"/>
      <c r="BP110" s="232"/>
      <c r="BQ110" s="232"/>
      <c r="BR110" s="232"/>
      <c r="BS110" s="232"/>
      <c r="BT110" s="232"/>
      <c r="BU110" s="232"/>
      <c r="BV110" s="232"/>
      <c r="BW110" s="232"/>
      <c r="BX110" s="232"/>
      <c r="BY110" s="232"/>
      <c r="BZ110" s="232"/>
      <c r="CA110" s="232"/>
      <c r="CB110" s="232"/>
      <c r="CC110" s="232"/>
      <c r="CD110" s="232"/>
      <c r="CE110" s="232"/>
      <c r="CF110" s="232"/>
      <c r="CG110" s="232"/>
      <c r="CH110" s="232"/>
      <c r="CI110" s="232"/>
      <c r="CJ110" s="232"/>
      <c r="CK110" s="232"/>
      <c r="CL110" s="232"/>
      <c r="CM110" s="232"/>
      <c r="CN110" s="232"/>
    </row>
    <row r="111" spans="2:92" ht="21.95" customHeight="1" x14ac:dyDescent="0.25">
      <c r="B111" s="139">
        <v>17</v>
      </c>
      <c r="C111" s="139">
        <v>3</v>
      </c>
      <c r="D111" s="139" t="str">
        <f t="shared" si="73"/>
        <v>PREPARE_WEST_F_2_20</v>
      </c>
      <c r="E111" s="139" t="s">
        <v>0</v>
      </c>
      <c r="F111" s="138" t="s">
        <v>46</v>
      </c>
      <c r="G111" s="140" t="s">
        <v>19</v>
      </c>
      <c r="H111" s="140" t="s">
        <v>7</v>
      </c>
      <c r="I111" s="140">
        <v>2</v>
      </c>
      <c r="J111" s="141"/>
      <c r="K111" s="184">
        <f>COUNT(M111:AZ111)</f>
        <v>34</v>
      </c>
      <c r="L111" s="139"/>
      <c r="M111" s="232">
        <v>1</v>
      </c>
      <c r="N111" s="232">
        <f>M111+1</f>
        <v>2</v>
      </c>
      <c r="O111" s="232">
        <f t="shared" ref="O111:AB111" si="92">N111+1</f>
        <v>3</v>
      </c>
      <c r="P111" s="232">
        <f t="shared" si="92"/>
        <v>4</v>
      </c>
      <c r="Q111" s="232">
        <f t="shared" si="92"/>
        <v>5</v>
      </c>
      <c r="R111" s="232">
        <f t="shared" si="92"/>
        <v>6</v>
      </c>
      <c r="S111" s="232">
        <f t="shared" si="92"/>
        <v>7</v>
      </c>
      <c r="T111" s="232">
        <f t="shared" si="92"/>
        <v>8</v>
      </c>
      <c r="U111" s="232">
        <f t="shared" si="92"/>
        <v>9</v>
      </c>
      <c r="V111" s="232">
        <f t="shared" si="92"/>
        <v>10</v>
      </c>
      <c r="W111" s="232">
        <f t="shared" si="92"/>
        <v>11</v>
      </c>
      <c r="X111" s="232">
        <f t="shared" si="92"/>
        <v>12</v>
      </c>
      <c r="Y111" s="232">
        <f t="shared" si="92"/>
        <v>13</v>
      </c>
      <c r="Z111" s="232">
        <f t="shared" si="92"/>
        <v>14</v>
      </c>
      <c r="AA111" s="232">
        <f t="shared" si="92"/>
        <v>15</v>
      </c>
      <c r="AB111" s="232">
        <f t="shared" si="92"/>
        <v>16</v>
      </c>
      <c r="AC111" s="232">
        <f t="shared" si="91"/>
        <v>17</v>
      </c>
      <c r="AD111" s="232">
        <f t="shared" si="91"/>
        <v>18</v>
      </c>
      <c r="AE111" s="232">
        <f t="shared" si="91"/>
        <v>19</v>
      </c>
      <c r="AF111" s="232">
        <f t="shared" si="91"/>
        <v>20</v>
      </c>
      <c r="AG111" s="232">
        <f t="shared" si="91"/>
        <v>21</v>
      </c>
      <c r="AH111" s="232">
        <f t="shared" si="91"/>
        <v>22</v>
      </c>
      <c r="AI111" s="232">
        <f t="shared" si="91"/>
        <v>23</v>
      </c>
      <c r="AJ111" s="232">
        <f t="shared" si="91"/>
        <v>24</v>
      </c>
      <c r="AK111" s="232">
        <f t="shared" si="91"/>
        <v>25</v>
      </c>
      <c r="AL111" s="232">
        <f t="shared" si="91"/>
        <v>26</v>
      </c>
      <c r="AM111" s="232">
        <f t="shared" si="91"/>
        <v>27</v>
      </c>
      <c r="AN111" s="232">
        <f t="shared" si="91"/>
        <v>28</v>
      </c>
      <c r="AO111" s="232">
        <f t="shared" si="91"/>
        <v>29</v>
      </c>
      <c r="AP111" s="232">
        <f t="shared" si="91"/>
        <v>30</v>
      </c>
      <c r="AQ111" s="232">
        <f t="shared" si="91"/>
        <v>31</v>
      </c>
      <c r="AR111" s="232">
        <f t="shared" ref="AH111:AW113" si="93">AQ111+1</f>
        <v>32</v>
      </c>
      <c r="AS111" s="232">
        <f t="shared" si="93"/>
        <v>33</v>
      </c>
      <c r="AT111" s="232">
        <f t="shared" si="93"/>
        <v>34</v>
      </c>
      <c r="AU111" s="235"/>
      <c r="AV111" s="235"/>
      <c r="AW111" s="230"/>
      <c r="AX111" s="230"/>
      <c r="AY111" s="232"/>
      <c r="AZ111" s="232"/>
      <c r="BA111" s="232"/>
      <c r="BB111" s="232"/>
      <c r="BC111" s="232"/>
      <c r="BD111" s="232"/>
      <c r="BE111" s="232"/>
      <c r="BF111" s="232"/>
      <c r="BG111" s="232"/>
      <c r="BH111" s="232"/>
      <c r="BI111" s="232"/>
      <c r="BJ111" s="232"/>
      <c r="BK111" s="232"/>
      <c r="BL111" s="232"/>
      <c r="BM111" s="232"/>
      <c r="BN111" s="232"/>
      <c r="BO111" s="232"/>
      <c r="BP111" s="232"/>
      <c r="BQ111" s="232"/>
      <c r="BR111" s="232"/>
      <c r="BS111" s="232"/>
      <c r="BT111" s="232"/>
      <c r="BU111" s="232"/>
      <c r="BV111" s="232"/>
      <c r="BW111" s="232"/>
      <c r="BX111" s="232"/>
      <c r="BY111" s="232"/>
      <c r="BZ111" s="232"/>
      <c r="CA111" s="232"/>
      <c r="CB111" s="232"/>
      <c r="CC111" s="232"/>
      <c r="CD111" s="232"/>
      <c r="CE111" s="232"/>
      <c r="CF111" s="232"/>
      <c r="CG111" s="232"/>
      <c r="CH111" s="232"/>
      <c r="CI111" s="232"/>
      <c r="CJ111" s="232"/>
      <c r="CK111" s="232"/>
      <c r="CL111" s="232"/>
      <c r="CM111" s="232"/>
      <c r="CN111" s="232"/>
    </row>
    <row r="112" spans="2:92" ht="21.95" customHeight="1" x14ac:dyDescent="0.25">
      <c r="B112" s="139">
        <v>17</v>
      </c>
      <c r="C112" s="139">
        <v>4</v>
      </c>
      <c r="D112" s="139" t="str">
        <f t="shared" si="73"/>
        <v>SUPPLY_WEST_F_2_20</v>
      </c>
      <c r="E112" s="139" t="s">
        <v>0</v>
      </c>
      <c r="F112" s="142" t="s">
        <v>0</v>
      </c>
      <c r="G112" s="140" t="s">
        <v>19</v>
      </c>
      <c r="H112" s="140" t="s">
        <v>7</v>
      </c>
      <c r="I112" s="140">
        <v>2</v>
      </c>
      <c r="J112" s="143"/>
      <c r="K112" s="184">
        <f>COUNT(AG112:BT112)</f>
        <v>16</v>
      </c>
      <c r="L112" s="140"/>
      <c r="M112" s="230"/>
      <c r="N112" s="230"/>
      <c r="O112" s="230"/>
      <c r="P112" s="230"/>
      <c r="Q112" s="230"/>
      <c r="R112" s="230"/>
      <c r="S112" s="230"/>
      <c r="T112" s="230"/>
      <c r="U112" s="230"/>
      <c r="V112" s="230"/>
      <c r="W112" s="230"/>
      <c r="X112" s="230"/>
      <c r="Y112" s="230"/>
      <c r="Z112" s="231"/>
      <c r="AA112" s="240"/>
      <c r="AB112" s="230"/>
      <c r="AC112" s="230"/>
      <c r="AD112" s="230"/>
      <c r="AE112" s="230"/>
      <c r="AF112" s="241"/>
      <c r="AG112" s="237">
        <v>1</v>
      </c>
      <c r="AH112" s="232">
        <f t="shared" si="91"/>
        <v>2</v>
      </c>
      <c r="AI112" s="232">
        <f t="shared" si="91"/>
        <v>3</v>
      </c>
      <c r="AJ112" s="232">
        <f t="shared" si="91"/>
        <v>4</v>
      </c>
      <c r="AK112" s="232">
        <f t="shared" si="91"/>
        <v>5</v>
      </c>
      <c r="AL112" s="232">
        <f t="shared" si="91"/>
        <v>6</v>
      </c>
      <c r="AM112" s="232">
        <f t="shared" si="91"/>
        <v>7</v>
      </c>
      <c r="AN112" s="232">
        <f t="shared" si="91"/>
        <v>8</v>
      </c>
      <c r="AO112" s="232">
        <f t="shared" si="91"/>
        <v>9</v>
      </c>
      <c r="AP112" s="232">
        <f t="shared" si="91"/>
        <v>10</v>
      </c>
      <c r="AQ112" s="232">
        <f t="shared" si="91"/>
        <v>11</v>
      </c>
      <c r="AR112" s="232">
        <f t="shared" si="93"/>
        <v>12</v>
      </c>
      <c r="AS112" s="232">
        <f t="shared" si="93"/>
        <v>13</v>
      </c>
      <c r="AT112" s="232">
        <f t="shared" si="93"/>
        <v>14</v>
      </c>
      <c r="AU112" s="232">
        <f t="shared" si="93"/>
        <v>15</v>
      </c>
      <c r="AV112" s="232">
        <f t="shared" si="93"/>
        <v>16</v>
      </c>
      <c r="AW112" s="235"/>
      <c r="AX112" s="235"/>
      <c r="AY112" s="235"/>
      <c r="AZ112" s="235"/>
      <c r="BA112" s="235"/>
      <c r="BB112" s="235"/>
      <c r="BC112" s="235"/>
      <c r="BD112" s="235"/>
      <c r="BE112" s="235"/>
      <c r="BF112" s="235"/>
      <c r="BG112" s="235"/>
      <c r="BH112" s="235"/>
      <c r="BI112" s="235"/>
      <c r="BJ112" s="235"/>
      <c r="BK112" s="235"/>
      <c r="BL112" s="235"/>
      <c r="BM112" s="230"/>
      <c r="BN112" s="230"/>
      <c r="BO112" s="232"/>
      <c r="BP112" s="232"/>
      <c r="BQ112" s="232"/>
      <c r="BR112" s="232"/>
      <c r="BS112" s="232"/>
      <c r="BT112" s="232"/>
      <c r="BU112" s="232"/>
      <c r="BV112" s="232"/>
      <c r="BW112" s="232"/>
      <c r="BX112" s="232"/>
      <c r="BY112" s="232"/>
      <c r="BZ112" s="232"/>
      <c r="CA112" s="232"/>
      <c r="CB112" s="232"/>
      <c r="CC112" s="232"/>
      <c r="CD112" s="232"/>
      <c r="CE112" s="232"/>
      <c r="CF112" s="232"/>
      <c r="CG112" s="232"/>
      <c r="CH112" s="232"/>
      <c r="CI112" s="232"/>
      <c r="CJ112" s="232"/>
      <c r="CK112" s="232"/>
      <c r="CL112" s="232"/>
      <c r="CM112" s="232"/>
      <c r="CN112" s="232"/>
    </row>
    <row r="113" spans="2:92" ht="21.95" customHeight="1" x14ac:dyDescent="0.25">
      <c r="B113" s="139">
        <v>17</v>
      </c>
      <c r="C113" s="140">
        <v>5</v>
      </c>
      <c r="D113" s="139" t="str">
        <f t="shared" si="73"/>
        <v>EMPTY_WEST_F_2_20</v>
      </c>
      <c r="E113" s="140" t="s">
        <v>0</v>
      </c>
      <c r="F113" s="142" t="s">
        <v>32</v>
      </c>
      <c r="G113" s="140" t="s">
        <v>19</v>
      </c>
      <c r="H113" s="140" t="s">
        <v>7</v>
      </c>
      <c r="I113" s="140">
        <v>2</v>
      </c>
      <c r="J113" s="139"/>
      <c r="K113" s="184">
        <f>COUNT(AG113:BT113)</f>
        <v>32</v>
      </c>
      <c r="L113" s="139"/>
      <c r="M113" s="230"/>
      <c r="N113" s="230"/>
      <c r="O113" s="230"/>
      <c r="P113" s="230"/>
      <c r="Q113" s="230"/>
      <c r="R113" s="230"/>
      <c r="S113" s="230"/>
      <c r="T113" s="230"/>
      <c r="U113" s="230"/>
      <c r="V113" s="230"/>
      <c r="W113" s="230"/>
      <c r="X113" s="230"/>
      <c r="Y113" s="230"/>
      <c r="Z113" s="231"/>
      <c r="AA113" s="240"/>
      <c r="AB113" s="230"/>
      <c r="AC113" s="230"/>
      <c r="AD113" s="230"/>
      <c r="AE113" s="230"/>
      <c r="AF113" s="241"/>
      <c r="AG113" s="237">
        <v>1</v>
      </c>
      <c r="AH113" s="232">
        <f t="shared" si="93"/>
        <v>2</v>
      </c>
      <c r="AI113" s="232">
        <f t="shared" si="91"/>
        <v>3</v>
      </c>
      <c r="AJ113" s="232">
        <f t="shared" si="91"/>
        <v>4</v>
      </c>
      <c r="AK113" s="232">
        <f t="shared" si="91"/>
        <v>5</v>
      </c>
      <c r="AL113" s="232">
        <f t="shared" si="91"/>
        <v>6</v>
      </c>
      <c r="AM113" s="232">
        <f t="shared" si="91"/>
        <v>7</v>
      </c>
      <c r="AN113" s="232">
        <f t="shared" si="91"/>
        <v>8</v>
      </c>
      <c r="AO113" s="232">
        <f t="shared" si="91"/>
        <v>9</v>
      </c>
      <c r="AP113" s="232">
        <f t="shared" si="91"/>
        <v>10</v>
      </c>
      <c r="AQ113" s="232">
        <f t="shared" si="91"/>
        <v>11</v>
      </c>
      <c r="AR113" s="232">
        <f t="shared" si="93"/>
        <v>12</v>
      </c>
      <c r="AS113" s="232">
        <f t="shared" si="93"/>
        <v>13</v>
      </c>
      <c r="AT113" s="232">
        <f t="shared" si="93"/>
        <v>14</v>
      </c>
      <c r="AU113" s="232">
        <f t="shared" si="93"/>
        <v>15</v>
      </c>
      <c r="AV113" s="232">
        <f t="shared" si="93"/>
        <v>16</v>
      </c>
      <c r="AW113" s="232">
        <f t="shared" si="93"/>
        <v>17</v>
      </c>
      <c r="AX113" s="232">
        <f t="shared" ref="AX113:BL113" si="94">AW113+1</f>
        <v>18</v>
      </c>
      <c r="AY113" s="232">
        <f t="shared" si="94"/>
        <v>19</v>
      </c>
      <c r="AZ113" s="232">
        <f t="shared" si="94"/>
        <v>20</v>
      </c>
      <c r="BA113" s="232">
        <f t="shared" si="94"/>
        <v>21</v>
      </c>
      <c r="BB113" s="232">
        <f t="shared" si="94"/>
        <v>22</v>
      </c>
      <c r="BC113" s="232">
        <f t="shared" si="94"/>
        <v>23</v>
      </c>
      <c r="BD113" s="232">
        <f t="shared" si="94"/>
        <v>24</v>
      </c>
      <c r="BE113" s="232">
        <f t="shared" si="94"/>
        <v>25</v>
      </c>
      <c r="BF113" s="232">
        <f t="shared" si="94"/>
        <v>26</v>
      </c>
      <c r="BG113" s="232">
        <f t="shared" si="94"/>
        <v>27</v>
      </c>
      <c r="BH113" s="232">
        <f t="shared" si="94"/>
        <v>28</v>
      </c>
      <c r="BI113" s="232">
        <f t="shared" si="94"/>
        <v>29</v>
      </c>
      <c r="BJ113" s="232">
        <f t="shared" si="94"/>
        <v>30</v>
      </c>
      <c r="BK113" s="232">
        <f t="shared" si="94"/>
        <v>31</v>
      </c>
      <c r="BL113" s="232">
        <f t="shared" si="94"/>
        <v>32</v>
      </c>
      <c r="BM113" s="349"/>
      <c r="BN113" s="235"/>
      <c r="BO113" s="232"/>
      <c r="BP113" s="230"/>
      <c r="BQ113" s="232"/>
      <c r="BR113" s="232"/>
      <c r="BS113" s="232"/>
      <c r="BT113" s="232"/>
      <c r="BU113" s="232"/>
      <c r="BV113" s="232"/>
      <c r="BW113" s="232"/>
      <c r="BX113" s="232"/>
      <c r="BY113" s="232"/>
      <c r="BZ113" s="232"/>
      <c r="CA113" s="232"/>
      <c r="CB113" s="232"/>
      <c r="CC113" s="232"/>
      <c r="CD113" s="232"/>
      <c r="CE113" s="232"/>
      <c r="CF113" s="232"/>
      <c r="CG113" s="232"/>
      <c r="CH113" s="232"/>
      <c r="CI113" s="232"/>
      <c r="CJ113" s="232"/>
      <c r="CK113" s="232"/>
      <c r="CL113" s="232"/>
      <c r="CM113" s="232"/>
      <c r="CN113" s="232"/>
    </row>
    <row r="114" spans="2:92" ht="21.95" hidden="1" customHeight="1" thickBot="1" x14ac:dyDescent="0.3">
      <c r="B114" s="139">
        <v>17</v>
      </c>
      <c r="C114" s="140">
        <v>6</v>
      </c>
      <c r="D114" s="139" t="str">
        <f t="shared" si="73"/>
        <v>COUNTDOWN_WEST_F_2_20</v>
      </c>
      <c r="E114" s="140"/>
      <c r="F114" s="142" t="s">
        <v>33</v>
      </c>
      <c r="G114" s="140" t="s">
        <v>19</v>
      </c>
      <c r="H114" s="140" t="s">
        <v>7</v>
      </c>
      <c r="I114" s="140">
        <v>2</v>
      </c>
      <c r="J114" s="144"/>
      <c r="K114" s="144"/>
      <c r="L114" s="140"/>
      <c r="M114" s="230"/>
      <c r="N114" s="230"/>
      <c r="O114" s="230"/>
      <c r="P114" s="230"/>
      <c r="Q114" s="230"/>
      <c r="R114" s="230"/>
      <c r="S114" s="230"/>
      <c r="T114" s="230"/>
      <c r="U114" s="230"/>
      <c r="V114" s="230"/>
      <c r="W114" s="230"/>
      <c r="X114" s="230"/>
      <c r="Y114" s="230"/>
      <c r="Z114" s="231"/>
      <c r="AA114" s="214"/>
      <c r="AB114" s="215"/>
      <c r="AC114" s="215"/>
      <c r="AD114" s="215"/>
      <c r="AE114" s="215"/>
      <c r="AF114" s="216"/>
      <c r="AG114" s="201"/>
      <c r="AH114" s="199"/>
      <c r="AI114" s="199"/>
      <c r="AJ114" s="199"/>
      <c r="AK114" s="199"/>
      <c r="AL114" s="199"/>
      <c r="AM114" s="199"/>
      <c r="AN114" s="199"/>
      <c r="AO114" s="199"/>
      <c r="AP114" s="206"/>
      <c r="AQ114" s="206"/>
      <c r="AR114" s="196"/>
      <c r="AS114" s="196"/>
      <c r="AT114" s="207"/>
      <c r="AU114" s="207"/>
      <c r="AV114" s="199"/>
      <c r="AW114" s="199"/>
      <c r="AX114" s="199"/>
      <c r="AY114" s="199"/>
      <c r="AZ114" s="199"/>
      <c r="BA114" s="199"/>
      <c r="BB114" s="199"/>
      <c r="BC114" s="199"/>
      <c r="BD114" s="199"/>
      <c r="BE114" s="199"/>
      <c r="BF114" s="199"/>
      <c r="BG114" s="199"/>
      <c r="BH114" s="199"/>
      <c r="BI114" s="199"/>
      <c r="BJ114" s="199"/>
      <c r="BK114" s="199"/>
      <c r="BL114" s="199"/>
      <c r="BM114" s="199"/>
      <c r="BN114" s="199"/>
      <c r="BO114" s="199"/>
      <c r="BP114" s="199"/>
      <c r="BQ114" s="199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</row>
    <row r="115" spans="2:92" ht="21.95" hidden="1" customHeight="1" x14ac:dyDescent="0.25">
      <c r="B115" s="139">
        <v>18</v>
      </c>
      <c r="C115" s="139">
        <v>1</v>
      </c>
      <c r="D115" s="139" t="str">
        <f t="shared" si="73"/>
        <v>SORTING_WEST_M_1_20</v>
      </c>
      <c r="E115" s="139" t="s">
        <v>35</v>
      </c>
      <c r="F115" s="138" t="s">
        <v>45</v>
      </c>
      <c r="G115" s="140" t="s">
        <v>19</v>
      </c>
      <c r="H115" s="140" t="s">
        <v>14</v>
      </c>
      <c r="I115" s="140">
        <v>1</v>
      </c>
      <c r="J115" s="141"/>
      <c r="K115" s="184">
        <f>COUNT(AA115:AZ115)</f>
        <v>17</v>
      </c>
      <c r="L115" s="139"/>
      <c r="M115" s="230"/>
      <c r="N115" s="230"/>
      <c r="O115" s="230"/>
      <c r="P115" s="230"/>
      <c r="Q115" s="230"/>
      <c r="R115" s="230"/>
      <c r="S115" s="230"/>
      <c r="T115" s="230"/>
      <c r="U115" s="230"/>
      <c r="V115" s="230"/>
      <c r="W115" s="230"/>
      <c r="X115" s="230"/>
      <c r="Y115" s="230"/>
      <c r="Z115" s="231"/>
      <c r="AA115" s="234">
        <v>1</v>
      </c>
      <c r="AB115" s="232">
        <f>AA115+1</f>
        <v>2</v>
      </c>
      <c r="AC115" s="232">
        <f t="shared" ref="AC115:AR119" si="95">AB115+1</f>
        <v>3</v>
      </c>
      <c r="AD115" s="232">
        <f t="shared" si="95"/>
        <v>4</v>
      </c>
      <c r="AE115" s="232">
        <f t="shared" si="95"/>
        <v>5</v>
      </c>
      <c r="AF115" s="232">
        <f t="shared" si="95"/>
        <v>6</v>
      </c>
      <c r="AG115" s="232">
        <f t="shared" si="95"/>
        <v>7</v>
      </c>
      <c r="AH115" s="232">
        <f t="shared" si="95"/>
        <v>8</v>
      </c>
      <c r="AI115" s="232">
        <f t="shared" si="95"/>
        <v>9</v>
      </c>
      <c r="AJ115" s="232">
        <f t="shared" si="95"/>
        <v>10</v>
      </c>
      <c r="AK115" s="232">
        <f t="shared" si="95"/>
        <v>11</v>
      </c>
      <c r="AL115" s="232">
        <f t="shared" si="95"/>
        <v>12</v>
      </c>
      <c r="AM115" s="232">
        <f t="shared" si="95"/>
        <v>13</v>
      </c>
      <c r="AN115" s="232">
        <f t="shared" si="95"/>
        <v>14</v>
      </c>
      <c r="AO115" s="232">
        <f t="shared" si="95"/>
        <v>15</v>
      </c>
      <c r="AP115" s="232">
        <f t="shared" si="95"/>
        <v>16</v>
      </c>
      <c r="AQ115" s="232">
        <f t="shared" si="95"/>
        <v>17</v>
      </c>
      <c r="AR115" s="235"/>
      <c r="AS115" s="235"/>
      <c r="AT115" s="235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232"/>
      <c r="BH115" s="232"/>
      <c r="BI115" s="232"/>
      <c r="BJ115" s="232"/>
      <c r="BK115" s="232"/>
      <c r="BL115" s="232"/>
      <c r="BM115" s="232"/>
      <c r="BN115" s="232"/>
      <c r="BO115" s="230"/>
      <c r="BP115" s="230"/>
      <c r="BQ115" s="232"/>
      <c r="BR115" s="232"/>
      <c r="BS115" s="232"/>
      <c r="BT115" s="232"/>
      <c r="BU115" s="232"/>
      <c r="BV115" s="232"/>
      <c r="BW115" s="232"/>
      <c r="BX115" s="232"/>
      <c r="BY115" s="232"/>
      <c r="BZ115" s="232"/>
      <c r="CA115" s="232"/>
      <c r="CB115" s="232"/>
      <c r="CC115" s="232"/>
      <c r="CD115" s="232"/>
      <c r="CE115" s="232"/>
      <c r="CF115" s="232"/>
      <c r="CG115" s="232"/>
      <c r="CH115" s="232"/>
      <c r="CI115" s="232"/>
      <c r="CJ115" s="232"/>
      <c r="CK115" s="232"/>
      <c r="CL115" s="232"/>
      <c r="CM115" s="232"/>
      <c r="CN115" s="232"/>
    </row>
    <row r="116" spans="2:92" ht="21.95" hidden="1" customHeight="1" x14ac:dyDescent="0.25">
      <c r="B116" s="139">
        <v>18</v>
      </c>
      <c r="C116" s="139">
        <v>2</v>
      </c>
      <c r="D116" s="139" t="str">
        <f t="shared" si="73"/>
        <v>TRANSFER_WEST_M_1_20</v>
      </c>
      <c r="E116" s="139" t="s">
        <v>21</v>
      </c>
      <c r="F116" s="138" t="s">
        <v>21</v>
      </c>
      <c r="G116" s="140" t="s">
        <v>19</v>
      </c>
      <c r="H116" s="140" t="s">
        <v>14</v>
      </c>
      <c r="I116" s="140">
        <v>1</v>
      </c>
      <c r="J116" s="141"/>
      <c r="K116" s="184">
        <f>COUNT(AA116:AZ116)</f>
        <v>20</v>
      </c>
      <c r="L116" s="139"/>
      <c r="M116" s="230"/>
      <c r="N116" s="230"/>
      <c r="O116" s="230"/>
      <c r="P116" s="230"/>
      <c r="Q116" s="230"/>
      <c r="R116" s="230"/>
      <c r="S116" s="230"/>
      <c r="T116" s="230"/>
      <c r="U116" s="230"/>
      <c r="V116" s="230"/>
      <c r="W116" s="230"/>
      <c r="X116" s="230"/>
      <c r="Y116" s="230"/>
      <c r="Z116" s="231"/>
      <c r="AA116" s="234">
        <v>1</v>
      </c>
      <c r="AB116" s="232">
        <f>AA116+1</f>
        <v>2</v>
      </c>
      <c r="AC116" s="232">
        <f t="shared" si="95"/>
        <v>3</v>
      </c>
      <c r="AD116" s="232">
        <f t="shared" si="95"/>
        <v>4</v>
      </c>
      <c r="AE116" s="232">
        <f t="shared" si="95"/>
        <v>5</v>
      </c>
      <c r="AF116" s="232">
        <f t="shared" si="95"/>
        <v>6</v>
      </c>
      <c r="AG116" s="232">
        <f t="shared" si="95"/>
        <v>7</v>
      </c>
      <c r="AH116" s="232">
        <f t="shared" si="95"/>
        <v>8</v>
      </c>
      <c r="AI116" s="232">
        <f t="shared" si="95"/>
        <v>9</v>
      </c>
      <c r="AJ116" s="232">
        <f t="shared" si="95"/>
        <v>10</v>
      </c>
      <c r="AK116" s="232">
        <f t="shared" si="95"/>
        <v>11</v>
      </c>
      <c r="AL116" s="232">
        <f t="shared" si="95"/>
        <v>12</v>
      </c>
      <c r="AM116" s="232">
        <f t="shared" si="95"/>
        <v>13</v>
      </c>
      <c r="AN116" s="232">
        <f t="shared" si="95"/>
        <v>14</v>
      </c>
      <c r="AO116" s="232">
        <f t="shared" si="95"/>
        <v>15</v>
      </c>
      <c r="AP116" s="232">
        <f t="shared" si="95"/>
        <v>16</v>
      </c>
      <c r="AQ116" s="232">
        <f t="shared" si="95"/>
        <v>17</v>
      </c>
      <c r="AR116" s="232">
        <f t="shared" si="95"/>
        <v>18</v>
      </c>
      <c r="AS116" s="232">
        <f t="shared" ref="AS116:BH119" si="96">AR116+1</f>
        <v>19</v>
      </c>
      <c r="AT116" s="232">
        <f t="shared" si="96"/>
        <v>20</v>
      </c>
      <c r="AU116" s="235"/>
      <c r="AV116" s="235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232"/>
      <c r="BH116" s="232"/>
      <c r="BI116" s="232"/>
      <c r="BJ116" s="232"/>
      <c r="BK116" s="232"/>
      <c r="BL116" s="232"/>
      <c r="BM116" s="232"/>
      <c r="BN116" s="232"/>
      <c r="BO116" s="230"/>
      <c r="BP116" s="230"/>
      <c r="BQ116" s="232"/>
      <c r="BR116" s="232"/>
      <c r="BS116" s="232"/>
      <c r="BT116" s="232"/>
      <c r="BU116" s="232"/>
      <c r="BV116" s="232"/>
      <c r="BW116" s="232"/>
      <c r="BX116" s="232"/>
      <c r="BY116" s="232"/>
      <c r="BZ116" s="232"/>
      <c r="CA116" s="232"/>
      <c r="CB116" s="232"/>
      <c r="CC116" s="232"/>
      <c r="CD116" s="232"/>
      <c r="CE116" s="232"/>
      <c r="CF116" s="232"/>
      <c r="CG116" s="232"/>
      <c r="CH116" s="232"/>
      <c r="CI116" s="232"/>
      <c r="CJ116" s="232"/>
      <c r="CK116" s="232"/>
      <c r="CL116" s="232"/>
      <c r="CM116" s="232"/>
      <c r="CN116" s="232"/>
    </row>
    <row r="117" spans="2:92" ht="21.95" customHeight="1" x14ac:dyDescent="0.25">
      <c r="B117" s="139">
        <v>18</v>
      </c>
      <c r="C117" s="139">
        <v>3</v>
      </c>
      <c r="D117" s="139" t="str">
        <f t="shared" si="73"/>
        <v>PREPARE_WEST_M_1_20</v>
      </c>
      <c r="E117" s="139" t="s">
        <v>0</v>
      </c>
      <c r="F117" s="138" t="s">
        <v>46</v>
      </c>
      <c r="G117" s="140" t="s">
        <v>19</v>
      </c>
      <c r="H117" s="140" t="s">
        <v>14</v>
      </c>
      <c r="I117" s="140">
        <v>1</v>
      </c>
      <c r="J117" s="141"/>
      <c r="K117" s="184">
        <f>COUNT(M117:AZ117)</f>
        <v>36</v>
      </c>
      <c r="L117" s="139"/>
      <c r="M117" s="232">
        <v>1</v>
      </c>
      <c r="N117" s="232">
        <f>M117+1</f>
        <v>2</v>
      </c>
      <c r="O117" s="232">
        <f t="shared" ref="O117:AB117" si="97">N117+1</f>
        <v>3</v>
      </c>
      <c r="P117" s="232">
        <f t="shared" si="97"/>
        <v>4</v>
      </c>
      <c r="Q117" s="232">
        <f t="shared" si="97"/>
        <v>5</v>
      </c>
      <c r="R117" s="232">
        <f t="shared" si="97"/>
        <v>6</v>
      </c>
      <c r="S117" s="232">
        <f t="shared" si="97"/>
        <v>7</v>
      </c>
      <c r="T117" s="232">
        <f t="shared" si="97"/>
        <v>8</v>
      </c>
      <c r="U117" s="232">
        <f t="shared" si="97"/>
        <v>9</v>
      </c>
      <c r="V117" s="232">
        <f t="shared" si="97"/>
        <v>10</v>
      </c>
      <c r="W117" s="232">
        <f t="shared" si="97"/>
        <v>11</v>
      </c>
      <c r="X117" s="232">
        <f t="shared" si="97"/>
        <v>12</v>
      </c>
      <c r="Y117" s="232">
        <f t="shared" si="97"/>
        <v>13</v>
      </c>
      <c r="Z117" s="232">
        <f t="shared" si="97"/>
        <v>14</v>
      </c>
      <c r="AA117" s="232">
        <f t="shared" si="97"/>
        <v>15</v>
      </c>
      <c r="AB117" s="232">
        <f t="shared" si="97"/>
        <v>16</v>
      </c>
      <c r="AC117" s="232">
        <f t="shared" si="95"/>
        <v>17</v>
      </c>
      <c r="AD117" s="232">
        <f t="shared" si="95"/>
        <v>18</v>
      </c>
      <c r="AE117" s="232">
        <f t="shared" si="95"/>
        <v>19</v>
      </c>
      <c r="AF117" s="232">
        <f t="shared" si="95"/>
        <v>20</v>
      </c>
      <c r="AG117" s="232">
        <f t="shared" si="95"/>
        <v>21</v>
      </c>
      <c r="AH117" s="232">
        <f t="shared" si="95"/>
        <v>22</v>
      </c>
      <c r="AI117" s="232">
        <f t="shared" si="95"/>
        <v>23</v>
      </c>
      <c r="AJ117" s="232">
        <f t="shared" si="95"/>
        <v>24</v>
      </c>
      <c r="AK117" s="232">
        <f t="shared" si="95"/>
        <v>25</v>
      </c>
      <c r="AL117" s="232">
        <f t="shared" si="95"/>
        <v>26</v>
      </c>
      <c r="AM117" s="232">
        <f t="shared" si="95"/>
        <v>27</v>
      </c>
      <c r="AN117" s="232">
        <f t="shared" si="95"/>
        <v>28</v>
      </c>
      <c r="AO117" s="232">
        <f t="shared" si="95"/>
        <v>29</v>
      </c>
      <c r="AP117" s="232">
        <f t="shared" si="95"/>
        <v>30</v>
      </c>
      <c r="AQ117" s="232">
        <f t="shared" si="95"/>
        <v>31</v>
      </c>
      <c r="AR117" s="232">
        <f t="shared" si="95"/>
        <v>32</v>
      </c>
      <c r="AS117" s="232">
        <f t="shared" si="96"/>
        <v>33</v>
      </c>
      <c r="AT117" s="232">
        <f t="shared" si="96"/>
        <v>34</v>
      </c>
      <c r="AU117" s="232">
        <f t="shared" si="96"/>
        <v>35</v>
      </c>
      <c r="AV117" s="232">
        <f t="shared" si="96"/>
        <v>36</v>
      </c>
      <c r="AW117" s="235"/>
      <c r="AX117" s="235"/>
      <c r="AY117" s="232"/>
      <c r="AZ117" s="232"/>
      <c r="BA117" s="232"/>
      <c r="BB117" s="232"/>
      <c r="BC117" s="232"/>
      <c r="BD117" s="232"/>
      <c r="BE117" s="232"/>
      <c r="BF117" s="232"/>
      <c r="BG117" s="232"/>
      <c r="BH117" s="232"/>
      <c r="BI117" s="232"/>
      <c r="BJ117" s="232"/>
      <c r="BK117" s="232"/>
      <c r="BL117" s="232"/>
      <c r="BM117" s="232"/>
      <c r="BN117" s="232"/>
      <c r="BO117" s="230"/>
      <c r="BP117" s="230"/>
      <c r="BQ117" s="232"/>
      <c r="BR117" s="232"/>
      <c r="BS117" s="232"/>
      <c r="BT117" s="232"/>
      <c r="BU117" s="232"/>
      <c r="BV117" s="232"/>
      <c r="BW117" s="232"/>
      <c r="BX117" s="232"/>
      <c r="BY117" s="232"/>
      <c r="BZ117" s="232"/>
      <c r="CA117" s="232"/>
      <c r="CB117" s="232"/>
      <c r="CC117" s="232"/>
      <c r="CD117" s="232"/>
      <c r="CE117" s="232"/>
      <c r="CF117" s="232"/>
      <c r="CG117" s="232"/>
      <c r="CH117" s="232"/>
      <c r="CI117" s="232"/>
      <c r="CJ117" s="232"/>
      <c r="CK117" s="232"/>
      <c r="CL117" s="232"/>
      <c r="CM117" s="232"/>
      <c r="CN117" s="232"/>
    </row>
    <row r="118" spans="2:92" ht="21.95" customHeight="1" x14ac:dyDescent="0.25">
      <c r="B118" s="139">
        <v>18</v>
      </c>
      <c r="C118" s="139">
        <v>4</v>
      </c>
      <c r="D118" s="139" t="str">
        <f t="shared" si="73"/>
        <v>SUPPLY_WEST_M_1_20</v>
      </c>
      <c r="E118" s="139" t="s">
        <v>0</v>
      </c>
      <c r="F118" s="142" t="s">
        <v>0</v>
      </c>
      <c r="G118" s="140" t="s">
        <v>19</v>
      </c>
      <c r="H118" s="140" t="s">
        <v>14</v>
      </c>
      <c r="I118" s="140">
        <v>1</v>
      </c>
      <c r="J118" s="141"/>
      <c r="K118" s="184">
        <f>COUNT(AG118:BT118)</f>
        <v>18</v>
      </c>
      <c r="L118" s="139"/>
      <c r="M118" s="230"/>
      <c r="N118" s="230"/>
      <c r="O118" s="230"/>
      <c r="P118" s="230"/>
      <c r="Q118" s="230"/>
      <c r="R118" s="230"/>
      <c r="S118" s="230"/>
      <c r="T118" s="230"/>
      <c r="U118" s="230"/>
      <c r="V118" s="230"/>
      <c r="W118" s="230"/>
      <c r="X118" s="230"/>
      <c r="Y118" s="230"/>
      <c r="Z118" s="231"/>
      <c r="AA118" s="243"/>
      <c r="AB118" s="244"/>
      <c r="AC118" s="244"/>
      <c r="AD118" s="244"/>
      <c r="AE118" s="244"/>
      <c r="AF118" s="245"/>
      <c r="AG118" s="237">
        <v>1</v>
      </c>
      <c r="AH118" s="232">
        <f t="shared" si="95"/>
        <v>2</v>
      </c>
      <c r="AI118" s="232">
        <f t="shared" si="95"/>
        <v>3</v>
      </c>
      <c r="AJ118" s="232">
        <f t="shared" si="95"/>
        <v>4</v>
      </c>
      <c r="AK118" s="232">
        <f t="shared" si="95"/>
        <v>5</v>
      </c>
      <c r="AL118" s="232">
        <f t="shared" si="95"/>
        <v>6</v>
      </c>
      <c r="AM118" s="232">
        <f t="shared" si="95"/>
        <v>7</v>
      </c>
      <c r="AN118" s="232">
        <f t="shared" si="95"/>
        <v>8</v>
      </c>
      <c r="AO118" s="232">
        <f t="shared" si="95"/>
        <v>9</v>
      </c>
      <c r="AP118" s="232">
        <f t="shared" si="95"/>
        <v>10</v>
      </c>
      <c r="AQ118" s="232">
        <f t="shared" si="95"/>
        <v>11</v>
      </c>
      <c r="AR118" s="232">
        <f t="shared" si="95"/>
        <v>12</v>
      </c>
      <c r="AS118" s="232">
        <f t="shared" si="96"/>
        <v>13</v>
      </c>
      <c r="AT118" s="232">
        <f t="shared" si="96"/>
        <v>14</v>
      </c>
      <c r="AU118" s="232">
        <f t="shared" si="96"/>
        <v>15</v>
      </c>
      <c r="AV118" s="232">
        <f t="shared" si="96"/>
        <v>16</v>
      </c>
      <c r="AW118" s="232">
        <f t="shared" si="96"/>
        <v>17</v>
      </c>
      <c r="AX118" s="232">
        <f t="shared" si="96"/>
        <v>18</v>
      </c>
      <c r="AY118" s="235"/>
      <c r="AZ118" s="235"/>
      <c r="BA118" s="235"/>
      <c r="BB118" s="235"/>
      <c r="BC118" s="235"/>
      <c r="BD118" s="235"/>
      <c r="BE118" s="235"/>
      <c r="BF118" s="235"/>
      <c r="BG118" s="235"/>
      <c r="BH118" s="235"/>
      <c r="BI118" s="235"/>
      <c r="BJ118" s="235"/>
      <c r="BK118" s="235"/>
      <c r="BL118" s="235"/>
      <c r="BM118" s="235"/>
      <c r="BN118" s="235"/>
      <c r="BO118" s="230"/>
      <c r="BP118" s="230"/>
      <c r="BQ118" s="232"/>
      <c r="BR118" s="232"/>
      <c r="BS118" s="232"/>
      <c r="BT118" s="232"/>
      <c r="BU118" s="232"/>
      <c r="BV118" s="232"/>
      <c r="BW118" s="232"/>
      <c r="BX118" s="232"/>
      <c r="BY118" s="232"/>
      <c r="BZ118" s="232"/>
      <c r="CA118" s="232"/>
      <c r="CB118" s="232"/>
      <c r="CC118" s="232"/>
      <c r="CD118" s="232"/>
      <c r="CE118" s="232"/>
      <c r="CF118" s="232"/>
      <c r="CG118" s="232"/>
      <c r="CH118" s="232"/>
      <c r="CI118" s="232"/>
      <c r="CJ118" s="232"/>
      <c r="CK118" s="232"/>
      <c r="CL118" s="232"/>
      <c r="CM118" s="232"/>
      <c r="CN118" s="232"/>
    </row>
    <row r="119" spans="2:92" ht="21.95" customHeight="1" x14ac:dyDescent="0.25">
      <c r="B119" s="139">
        <v>18</v>
      </c>
      <c r="C119" s="140">
        <v>5</v>
      </c>
      <c r="D119" s="139" t="str">
        <f t="shared" si="73"/>
        <v>EMPTY_WEST_M_1_20</v>
      </c>
      <c r="E119" s="140" t="s">
        <v>0</v>
      </c>
      <c r="F119" s="142" t="s">
        <v>32</v>
      </c>
      <c r="G119" s="140" t="s">
        <v>19</v>
      </c>
      <c r="H119" s="140" t="s">
        <v>14</v>
      </c>
      <c r="I119" s="140">
        <v>1</v>
      </c>
      <c r="J119" s="141"/>
      <c r="K119" s="184">
        <f>COUNT(AG119:BT119)</f>
        <v>34</v>
      </c>
      <c r="L119" s="139"/>
      <c r="M119" s="230"/>
      <c r="N119" s="230"/>
      <c r="O119" s="230"/>
      <c r="P119" s="230"/>
      <c r="Q119" s="230"/>
      <c r="R119" s="230"/>
      <c r="S119" s="230"/>
      <c r="T119" s="230"/>
      <c r="U119" s="230"/>
      <c r="V119" s="230"/>
      <c r="W119" s="230"/>
      <c r="X119" s="230"/>
      <c r="Y119" s="230"/>
      <c r="Z119" s="231"/>
      <c r="AA119" s="243"/>
      <c r="AB119" s="244"/>
      <c r="AC119" s="244"/>
      <c r="AD119" s="244"/>
      <c r="AE119" s="244"/>
      <c r="AF119" s="245"/>
      <c r="AG119" s="237">
        <v>1</v>
      </c>
      <c r="AH119" s="232">
        <f t="shared" si="95"/>
        <v>2</v>
      </c>
      <c r="AI119" s="232">
        <f t="shared" si="95"/>
        <v>3</v>
      </c>
      <c r="AJ119" s="232">
        <f t="shared" si="95"/>
        <v>4</v>
      </c>
      <c r="AK119" s="232">
        <f t="shared" si="95"/>
        <v>5</v>
      </c>
      <c r="AL119" s="232">
        <f t="shared" si="95"/>
        <v>6</v>
      </c>
      <c r="AM119" s="232">
        <f t="shared" si="95"/>
        <v>7</v>
      </c>
      <c r="AN119" s="232">
        <f t="shared" si="95"/>
        <v>8</v>
      </c>
      <c r="AO119" s="232">
        <f t="shared" si="95"/>
        <v>9</v>
      </c>
      <c r="AP119" s="232">
        <f t="shared" si="95"/>
        <v>10</v>
      </c>
      <c r="AQ119" s="232">
        <f t="shared" si="95"/>
        <v>11</v>
      </c>
      <c r="AR119" s="232">
        <f t="shared" si="95"/>
        <v>12</v>
      </c>
      <c r="AS119" s="232">
        <f t="shared" si="96"/>
        <v>13</v>
      </c>
      <c r="AT119" s="232">
        <f t="shared" si="96"/>
        <v>14</v>
      </c>
      <c r="AU119" s="232">
        <f t="shared" si="96"/>
        <v>15</v>
      </c>
      <c r="AV119" s="232">
        <f t="shared" si="96"/>
        <v>16</v>
      </c>
      <c r="AW119" s="232">
        <f t="shared" si="96"/>
        <v>17</v>
      </c>
      <c r="AX119" s="232">
        <f t="shared" si="96"/>
        <v>18</v>
      </c>
      <c r="AY119" s="232">
        <f t="shared" si="96"/>
        <v>19</v>
      </c>
      <c r="AZ119" s="232">
        <f t="shared" si="96"/>
        <v>20</v>
      </c>
      <c r="BA119" s="232">
        <f t="shared" si="96"/>
        <v>21</v>
      </c>
      <c r="BB119" s="232">
        <f t="shared" si="96"/>
        <v>22</v>
      </c>
      <c r="BC119" s="232">
        <f t="shared" si="96"/>
        <v>23</v>
      </c>
      <c r="BD119" s="232">
        <f t="shared" si="96"/>
        <v>24</v>
      </c>
      <c r="BE119" s="232">
        <f t="shared" si="96"/>
        <v>25</v>
      </c>
      <c r="BF119" s="232">
        <f t="shared" si="96"/>
        <v>26</v>
      </c>
      <c r="BG119" s="232">
        <f t="shared" si="96"/>
        <v>27</v>
      </c>
      <c r="BH119" s="232">
        <f t="shared" si="96"/>
        <v>28</v>
      </c>
      <c r="BI119" s="232">
        <f t="shared" ref="BI119:BN119" si="98">BH119+1</f>
        <v>29</v>
      </c>
      <c r="BJ119" s="232">
        <f t="shared" si="98"/>
        <v>30</v>
      </c>
      <c r="BK119" s="232">
        <f t="shared" si="98"/>
        <v>31</v>
      </c>
      <c r="BL119" s="232">
        <f t="shared" si="98"/>
        <v>32</v>
      </c>
      <c r="BM119" s="232">
        <f t="shared" si="98"/>
        <v>33</v>
      </c>
      <c r="BN119" s="232">
        <f t="shared" si="98"/>
        <v>34</v>
      </c>
      <c r="BO119" s="349"/>
      <c r="BP119" s="235"/>
      <c r="BQ119" s="232"/>
      <c r="BR119" s="232"/>
      <c r="BS119" s="232"/>
      <c r="BT119" s="232"/>
      <c r="BU119" s="232"/>
      <c r="BV119" s="232"/>
      <c r="BW119" s="232"/>
      <c r="BX119" s="232"/>
      <c r="BY119" s="232"/>
      <c r="BZ119" s="232"/>
      <c r="CA119" s="232"/>
      <c r="CB119" s="232"/>
      <c r="CC119" s="232"/>
      <c r="CD119" s="232"/>
      <c r="CE119" s="232"/>
      <c r="CF119" s="232"/>
      <c r="CG119" s="232"/>
      <c r="CH119" s="232"/>
      <c r="CI119" s="232"/>
      <c r="CJ119" s="232"/>
      <c r="CK119" s="232"/>
      <c r="CL119" s="232"/>
      <c r="CM119" s="232"/>
      <c r="CN119" s="232"/>
    </row>
    <row r="120" spans="2:92" s="2" customFormat="1" ht="21.95" hidden="1" customHeight="1" thickBot="1" x14ac:dyDescent="0.3">
      <c r="B120" s="139">
        <v>18</v>
      </c>
      <c r="C120" s="140">
        <v>6</v>
      </c>
      <c r="D120" s="139" t="str">
        <f t="shared" si="73"/>
        <v>COUNTDOWN_WEST_M_1_20</v>
      </c>
      <c r="E120" s="140"/>
      <c r="F120" s="142" t="s">
        <v>33</v>
      </c>
      <c r="G120" s="140" t="s">
        <v>19</v>
      </c>
      <c r="H120" s="140" t="s">
        <v>14</v>
      </c>
      <c r="I120" s="140">
        <v>1</v>
      </c>
      <c r="J120" s="144"/>
      <c r="K120" s="144"/>
      <c r="L120" s="140"/>
      <c r="M120" s="230"/>
      <c r="N120" s="230"/>
      <c r="O120" s="230"/>
      <c r="P120" s="230"/>
      <c r="Q120" s="230"/>
      <c r="R120" s="230"/>
      <c r="S120" s="230"/>
      <c r="T120" s="230"/>
      <c r="U120" s="230"/>
      <c r="V120" s="230"/>
      <c r="W120" s="230"/>
      <c r="X120" s="230"/>
      <c r="Y120" s="230"/>
      <c r="Z120" s="231"/>
      <c r="AA120" s="217"/>
      <c r="AB120" s="218"/>
      <c r="AC120" s="218"/>
      <c r="AD120" s="218"/>
      <c r="AE120" s="218"/>
      <c r="AF120" s="219"/>
      <c r="AG120" s="203"/>
      <c r="AH120" s="209"/>
      <c r="AI120" s="209"/>
      <c r="AJ120" s="209"/>
      <c r="AK120" s="209"/>
      <c r="AL120" s="209"/>
      <c r="AM120" s="209"/>
      <c r="AN120" s="209"/>
      <c r="AO120" s="209"/>
      <c r="AP120" s="209"/>
      <c r="AQ120" s="209"/>
      <c r="AR120" s="209"/>
      <c r="AS120" s="206"/>
      <c r="AT120" s="206"/>
      <c r="AU120" s="196"/>
      <c r="AV120" s="196"/>
      <c r="AW120" s="207"/>
      <c r="AX120" s="207"/>
      <c r="AY120" s="209"/>
      <c r="AZ120" s="209"/>
      <c r="BA120" s="209"/>
      <c r="BB120" s="209"/>
      <c r="BC120" s="209"/>
      <c r="BD120" s="209"/>
      <c r="BE120" s="209"/>
      <c r="BF120" s="209"/>
      <c r="BG120" s="209"/>
      <c r="BH120" s="209"/>
      <c r="BI120" s="209"/>
      <c r="BJ120" s="209"/>
      <c r="BK120" s="209"/>
      <c r="BL120" s="209"/>
      <c r="BM120" s="209"/>
      <c r="BN120" s="209"/>
      <c r="BO120" s="209"/>
      <c r="BP120" s="209"/>
      <c r="BQ120" s="209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</row>
  </sheetData>
  <autoFilter ref="B6:CN120">
    <filterColumn colId="4">
      <filters>
        <filter val="EMPTY"/>
        <filter val="PREPARE"/>
        <filter val="SUPPLY"/>
      </filters>
    </filterColumn>
  </autoFilter>
  <mergeCells count="2">
    <mergeCell ref="Y2:AB2"/>
    <mergeCell ref="AE2:A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  <pageSetUpPr fitToPage="1"/>
  </sheetPr>
  <dimension ref="A1:CR120"/>
  <sheetViews>
    <sheetView showGridLines="0" zoomScale="85" zoomScaleNormal="85" workbookViewId="0">
      <pane xSplit="12" topLeftCell="M1" activePane="topRight" state="frozen"/>
      <selection pane="topRight" activeCell="A23" sqref="A23:XFD23"/>
    </sheetView>
  </sheetViews>
  <sheetFormatPr defaultRowHeight="15" x14ac:dyDescent="0.25"/>
  <cols>
    <col min="1" max="1" width="3" customWidth="1"/>
    <col min="2" max="2" width="6.85546875" bestFit="1" customWidth="1"/>
    <col min="3" max="3" width="15.140625" customWidth="1"/>
    <col min="4" max="4" width="27.140625" bestFit="1" customWidth="1"/>
    <col min="5" max="5" width="17.28515625" bestFit="1" customWidth="1"/>
    <col min="6" max="6" width="14.85546875" bestFit="1" customWidth="1"/>
    <col min="7" max="7" width="6.7109375" bestFit="1" customWidth="1"/>
    <col min="9" max="9" width="4.7109375" bestFit="1" customWidth="1"/>
    <col min="10" max="11" width="8.140625" customWidth="1"/>
    <col min="13" max="96" width="3.7109375" customWidth="1"/>
  </cols>
  <sheetData>
    <row r="1" spans="2:96" ht="21" x14ac:dyDescent="0.25">
      <c r="B1" s="44" t="s">
        <v>60</v>
      </c>
      <c r="D1" s="335">
        <v>21</v>
      </c>
      <c r="E1" s="334" t="s">
        <v>66</v>
      </c>
    </row>
    <row r="2" spans="2:96" x14ac:dyDescent="0.25">
      <c r="Z2" s="360" t="s">
        <v>43</v>
      </c>
      <c r="AA2" s="361"/>
      <c r="AB2" s="361"/>
      <c r="AC2" s="362"/>
      <c r="AF2" s="360" t="s">
        <v>44</v>
      </c>
      <c r="AG2" s="361"/>
      <c r="AH2" s="361"/>
      <c r="AI2" s="362"/>
    </row>
    <row r="3" spans="2:96" x14ac:dyDescent="0.25">
      <c r="AA3" s="172"/>
      <c r="AG3" s="174"/>
      <c r="AH3" s="2"/>
    </row>
    <row r="4" spans="2:96" ht="18.75" customHeight="1" thickBot="1" x14ac:dyDescent="0.3">
      <c r="B4" s="135" t="s">
        <v>26</v>
      </c>
      <c r="C4" s="135" t="s">
        <v>25</v>
      </c>
      <c r="D4" s="135"/>
      <c r="E4" s="135" t="s">
        <v>34</v>
      </c>
      <c r="F4" s="135" t="s">
        <v>29</v>
      </c>
      <c r="G4" s="135" t="s">
        <v>17</v>
      </c>
      <c r="H4" s="135" t="s">
        <v>1</v>
      </c>
      <c r="I4" s="135" t="s">
        <v>20</v>
      </c>
      <c r="J4" s="135" t="s">
        <v>30</v>
      </c>
      <c r="K4" s="135" t="s">
        <v>31</v>
      </c>
      <c r="L4" s="135" t="s">
        <v>27</v>
      </c>
      <c r="AA4" s="173"/>
      <c r="AG4" s="175"/>
    </row>
    <row r="5" spans="2:96" ht="18.75" customHeight="1" x14ac:dyDescent="0.25">
      <c r="B5" s="136"/>
      <c r="C5" s="136"/>
      <c r="D5" s="136"/>
      <c r="E5" s="136"/>
      <c r="F5" s="136"/>
      <c r="G5" s="136"/>
      <c r="H5" s="136"/>
      <c r="I5" s="145"/>
      <c r="J5" s="136"/>
      <c r="K5" s="136">
        <v>17</v>
      </c>
      <c r="L5" s="137" t="s">
        <v>37</v>
      </c>
      <c r="M5" s="4">
        <v>21</v>
      </c>
      <c r="N5" s="4">
        <v>20</v>
      </c>
      <c r="O5" s="4">
        <v>19</v>
      </c>
      <c r="P5" s="4">
        <v>18</v>
      </c>
      <c r="Q5" s="4">
        <v>17</v>
      </c>
      <c r="R5" s="4">
        <v>16</v>
      </c>
      <c r="S5" s="4">
        <v>15</v>
      </c>
      <c r="T5" s="4">
        <v>14</v>
      </c>
      <c r="U5" s="4">
        <v>13</v>
      </c>
      <c r="V5" s="4">
        <v>12</v>
      </c>
      <c r="W5" s="4">
        <v>11</v>
      </c>
      <c r="X5" s="4">
        <v>10</v>
      </c>
      <c r="Y5" s="4">
        <v>9</v>
      </c>
      <c r="Z5" s="97">
        <v>8</v>
      </c>
      <c r="AA5" s="21">
        <v>7</v>
      </c>
      <c r="AB5" s="170">
        <v>6</v>
      </c>
      <c r="AC5" s="12">
        <v>5</v>
      </c>
      <c r="AD5" s="12">
        <v>4</v>
      </c>
      <c r="AE5" s="12">
        <v>3</v>
      </c>
      <c r="AF5" s="12">
        <v>2</v>
      </c>
      <c r="AG5" s="18">
        <v>1</v>
      </c>
      <c r="AH5" s="95">
        <v>21</v>
      </c>
      <c r="AI5" s="40">
        <v>20</v>
      </c>
      <c r="AJ5" s="40">
        <v>19</v>
      </c>
      <c r="AK5" s="40">
        <v>18</v>
      </c>
      <c r="AL5" s="40">
        <v>17</v>
      </c>
      <c r="AM5" s="40">
        <v>16</v>
      </c>
      <c r="AN5" s="40">
        <v>15</v>
      </c>
      <c r="AO5" s="40">
        <v>14</v>
      </c>
      <c r="AP5" s="40">
        <v>13</v>
      </c>
      <c r="AQ5" s="40">
        <v>12</v>
      </c>
      <c r="AR5" s="40">
        <v>11</v>
      </c>
      <c r="AS5" s="40">
        <v>10</v>
      </c>
      <c r="AT5" s="40">
        <v>9</v>
      </c>
      <c r="AU5" s="40">
        <v>8</v>
      </c>
      <c r="AV5" s="40">
        <v>7</v>
      </c>
      <c r="AW5" s="40">
        <v>6</v>
      </c>
      <c r="AX5" s="40">
        <v>5</v>
      </c>
      <c r="AY5" s="40">
        <v>4</v>
      </c>
      <c r="AZ5" s="40">
        <v>3</v>
      </c>
      <c r="BA5" s="40">
        <v>2</v>
      </c>
      <c r="BB5" s="40">
        <v>1</v>
      </c>
      <c r="BC5" s="37">
        <v>21</v>
      </c>
      <c r="BD5" s="37">
        <v>20</v>
      </c>
      <c r="BE5" s="37">
        <v>19</v>
      </c>
      <c r="BF5" s="37">
        <v>18</v>
      </c>
      <c r="BG5" s="37">
        <v>17</v>
      </c>
      <c r="BH5" s="37">
        <v>16</v>
      </c>
      <c r="BI5" s="37">
        <v>15</v>
      </c>
      <c r="BJ5" s="37">
        <v>14</v>
      </c>
      <c r="BK5" s="37">
        <v>13</v>
      </c>
      <c r="BL5" s="37">
        <v>12</v>
      </c>
      <c r="BM5" s="37">
        <v>11</v>
      </c>
      <c r="BN5" s="37">
        <v>10</v>
      </c>
      <c r="BO5" s="37">
        <v>9</v>
      </c>
      <c r="BP5" s="37">
        <v>8</v>
      </c>
      <c r="BQ5" s="37">
        <v>7</v>
      </c>
      <c r="BR5" s="37">
        <v>6</v>
      </c>
      <c r="BS5" s="37">
        <v>5</v>
      </c>
      <c r="BT5" s="37">
        <v>4</v>
      </c>
      <c r="BU5" s="37">
        <v>3</v>
      </c>
      <c r="BV5" s="37">
        <v>2</v>
      </c>
      <c r="BW5" s="37">
        <v>1</v>
      </c>
      <c r="BX5" s="88">
        <v>21</v>
      </c>
      <c r="BY5" s="88">
        <v>20</v>
      </c>
      <c r="BZ5" s="88">
        <v>19</v>
      </c>
      <c r="CA5" s="88">
        <v>18</v>
      </c>
      <c r="CB5" s="88">
        <v>17</v>
      </c>
      <c r="CC5" s="88">
        <v>16</v>
      </c>
      <c r="CD5" s="88">
        <v>15</v>
      </c>
      <c r="CE5" s="88">
        <v>14</v>
      </c>
      <c r="CF5" s="88">
        <v>13</v>
      </c>
      <c r="CG5" s="88">
        <v>12</v>
      </c>
      <c r="CH5" s="88">
        <v>11</v>
      </c>
      <c r="CI5" s="88">
        <v>10</v>
      </c>
      <c r="CJ5" s="88">
        <v>9</v>
      </c>
      <c r="CK5" s="88">
        <v>8</v>
      </c>
      <c r="CL5" s="88">
        <v>7</v>
      </c>
      <c r="CM5" s="88">
        <v>6</v>
      </c>
      <c r="CN5" s="88">
        <v>5</v>
      </c>
      <c r="CO5" s="88">
        <v>4</v>
      </c>
      <c r="CP5" s="88">
        <v>3</v>
      </c>
      <c r="CQ5" s="88">
        <v>2</v>
      </c>
      <c r="CR5" s="88">
        <v>1</v>
      </c>
    </row>
    <row r="6" spans="2:96" ht="18.75" customHeight="1" x14ac:dyDescent="0.25">
      <c r="B6" s="146">
        <v>0</v>
      </c>
      <c r="C6" s="146">
        <v>0</v>
      </c>
      <c r="D6" s="146"/>
      <c r="E6" s="146"/>
      <c r="F6" s="147" t="s">
        <v>23</v>
      </c>
      <c r="G6" s="146"/>
      <c r="H6" s="149"/>
      <c r="I6" s="148"/>
      <c r="J6" s="149"/>
      <c r="K6" s="150"/>
      <c r="L6" s="150"/>
      <c r="M6" s="4">
        <v>15</v>
      </c>
      <c r="N6" s="4">
        <v>14</v>
      </c>
      <c r="O6" s="4">
        <v>13</v>
      </c>
      <c r="P6" s="4">
        <v>12</v>
      </c>
      <c r="Q6" s="4">
        <v>11</v>
      </c>
      <c r="R6" s="4">
        <v>10</v>
      </c>
      <c r="S6" s="4">
        <v>9</v>
      </c>
      <c r="T6" s="4">
        <v>8</v>
      </c>
      <c r="U6" s="4">
        <v>7</v>
      </c>
      <c r="V6" s="4">
        <v>6</v>
      </c>
      <c r="W6" s="4">
        <v>5</v>
      </c>
      <c r="X6" s="4">
        <v>4</v>
      </c>
      <c r="Y6" s="4">
        <v>3</v>
      </c>
      <c r="Z6" s="97">
        <v>2</v>
      </c>
      <c r="AA6" s="21">
        <v>1</v>
      </c>
      <c r="AB6" s="95">
        <v>21</v>
      </c>
      <c r="AC6" s="40">
        <v>20</v>
      </c>
      <c r="AD6" s="40">
        <v>19</v>
      </c>
      <c r="AE6" s="40">
        <v>18</v>
      </c>
      <c r="AF6" s="40">
        <v>17</v>
      </c>
      <c r="AG6" s="41">
        <v>16</v>
      </c>
      <c r="AH6" s="95">
        <v>15</v>
      </c>
      <c r="AI6" s="40">
        <v>14</v>
      </c>
      <c r="AJ6" s="40">
        <v>13</v>
      </c>
      <c r="AK6" s="40">
        <v>12</v>
      </c>
      <c r="AL6" s="40">
        <v>11</v>
      </c>
      <c r="AM6" s="40">
        <v>10</v>
      </c>
      <c r="AN6" s="40">
        <v>9</v>
      </c>
      <c r="AO6" s="40">
        <v>8</v>
      </c>
      <c r="AP6" s="40">
        <v>7</v>
      </c>
      <c r="AQ6" s="40">
        <v>6</v>
      </c>
      <c r="AR6" s="40">
        <v>5</v>
      </c>
      <c r="AS6" s="40">
        <v>4</v>
      </c>
      <c r="AT6" s="40">
        <v>3</v>
      </c>
      <c r="AU6" s="40">
        <v>2</v>
      </c>
      <c r="AV6" s="40">
        <v>1</v>
      </c>
      <c r="AW6" s="37">
        <v>21</v>
      </c>
      <c r="AX6" s="37">
        <v>20</v>
      </c>
      <c r="AY6" s="37">
        <v>19</v>
      </c>
      <c r="AZ6" s="37">
        <v>18</v>
      </c>
      <c r="BA6" s="37">
        <v>17</v>
      </c>
      <c r="BB6" s="37">
        <v>16</v>
      </c>
      <c r="BC6" s="37">
        <v>15</v>
      </c>
      <c r="BD6" s="37">
        <v>14</v>
      </c>
      <c r="BE6" s="37">
        <v>13</v>
      </c>
      <c r="BF6" s="37">
        <v>12</v>
      </c>
      <c r="BG6" s="37">
        <v>11</v>
      </c>
      <c r="BH6" s="37">
        <v>10</v>
      </c>
      <c r="BI6" s="37">
        <v>9</v>
      </c>
      <c r="BJ6" s="37">
        <v>8</v>
      </c>
      <c r="BK6" s="37">
        <v>7</v>
      </c>
      <c r="BL6" s="37">
        <v>6</v>
      </c>
      <c r="BM6" s="37">
        <v>5</v>
      </c>
      <c r="BN6" s="37">
        <v>4</v>
      </c>
      <c r="BO6" s="37">
        <v>3</v>
      </c>
      <c r="BP6" s="37">
        <v>2</v>
      </c>
      <c r="BQ6" s="37">
        <v>1</v>
      </c>
      <c r="BR6" s="88">
        <v>21</v>
      </c>
      <c r="BS6" s="88">
        <v>20</v>
      </c>
      <c r="BT6" s="88">
        <v>19</v>
      </c>
      <c r="BU6" s="88">
        <v>18</v>
      </c>
      <c r="BV6" s="88">
        <v>17</v>
      </c>
      <c r="BW6" s="88">
        <v>16</v>
      </c>
      <c r="BX6" s="88">
        <v>15</v>
      </c>
      <c r="BY6" s="88">
        <v>14</v>
      </c>
      <c r="BZ6" s="88">
        <v>13</v>
      </c>
      <c r="CA6" s="88">
        <v>12</v>
      </c>
      <c r="CB6" s="88">
        <v>11</v>
      </c>
      <c r="CC6" s="88">
        <v>10</v>
      </c>
      <c r="CD6" s="88">
        <v>9</v>
      </c>
      <c r="CE6" s="88">
        <v>8</v>
      </c>
      <c r="CF6" s="88">
        <v>7</v>
      </c>
      <c r="CG6" s="88">
        <v>6</v>
      </c>
      <c r="CH6" s="88">
        <v>5</v>
      </c>
      <c r="CI6" s="88">
        <v>4</v>
      </c>
      <c r="CJ6" s="88">
        <v>3</v>
      </c>
      <c r="CK6" s="88">
        <v>2</v>
      </c>
      <c r="CL6" s="88">
        <v>1</v>
      </c>
      <c r="CM6" s="5">
        <v>21</v>
      </c>
      <c r="CN6" s="5">
        <v>20</v>
      </c>
      <c r="CO6" s="5">
        <v>19</v>
      </c>
      <c r="CP6" s="5">
        <v>18</v>
      </c>
      <c r="CQ6" s="5">
        <v>17</v>
      </c>
      <c r="CR6" s="5">
        <v>16</v>
      </c>
    </row>
    <row r="7" spans="2:96" hidden="1" x14ac:dyDescent="0.25">
      <c r="B7" s="139">
        <v>1</v>
      </c>
      <c r="C7" s="139">
        <v>1</v>
      </c>
      <c r="D7" s="139" t="str">
        <f>F7&amp;"_"&amp;G7&amp;"_"&amp;H7&amp;"_"&amp;I7&amp;"_"&amp;$D$1</f>
        <v>SORTING_EAST_UNP_1_21</v>
      </c>
      <c r="E7" s="139" t="s">
        <v>35</v>
      </c>
      <c r="F7" s="138" t="s">
        <v>45</v>
      </c>
      <c r="G7" s="140" t="s">
        <v>18</v>
      </c>
      <c r="H7" s="140" t="s">
        <v>42</v>
      </c>
      <c r="I7" s="140">
        <v>1</v>
      </c>
      <c r="J7" s="139"/>
      <c r="K7" s="184">
        <f>COUNT(AB7:BB7)</f>
        <v>0</v>
      </c>
      <c r="L7" s="139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101"/>
      <c r="AA7" s="57"/>
      <c r="AB7" s="93"/>
      <c r="AC7" s="4"/>
      <c r="AD7" s="3"/>
      <c r="AE7" s="3"/>
      <c r="AF7" s="3"/>
      <c r="AG7" s="31"/>
      <c r="AH7" s="86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5"/>
      <c r="CP7" s="5"/>
      <c r="CQ7" s="5"/>
      <c r="CR7" s="5"/>
    </row>
    <row r="8" spans="2:96" ht="15" hidden="1" customHeight="1" x14ac:dyDescent="0.25">
      <c r="B8" s="139">
        <v>1</v>
      </c>
      <c r="C8" s="139">
        <v>2</v>
      </c>
      <c r="D8" s="139" t="str">
        <f t="shared" ref="D8:D77" si="0">F8&amp;"_"&amp;G8&amp;"_"&amp;H8&amp;"_"&amp;I8&amp;"_"&amp;$D$1</f>
        <v>TRANSFER_EAST_UNP_1_21</v>
      </c>
      <c r="E8" s="139" t="s">
        <v>21</v>
      </c>
      <c r="F8" s="138" t="s">
        <v>21</v>
      </c>
      <c r="G8" s="140" t="s">
        <v>18</v>
      </c>
      <c r="H8" s="140" t="s">
        <v>42</v>
      </c>
      <c r="I8" s="140">
        <v>1</v>
      </c>
      <c r="J8" s="139"/>
      <c r="K8" s="184">
        <f>COUNT(AB8:BB8)</f>
        <v>2</v>
      </c>
      <c r="L8" s="139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101"/>
      <c r="AA8" s="57"/>
      <c r="AB8" s="86">
        <v>1</v>
      </c>
      <c r="AC8" s="3">
        <f>AB8+1</f>
        <v>2</v>
      </c>
      <c r="AD8" s="4"/>
      <c r="AE8" s="4"/>
      <c r="AF8" s="3"/>
      <c r="AG8" s="31"/>
      <c r="AH8" s="86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5"/>
      <c r="CP8" s="5"/>
      <c r="CQ8" s="5"/>
      <c r="CR8" s="5"/>
    </row>
    <row r="9" spans="2:96" ht="15" hidden="1" customHeight="1" x14ac:dyDescent="0.25">
      <c r="B9" s="139">
        <v>1</v>
      </c>
      <c r="C9" s="139">
        <v>3</v>
      </c>
      <c r="D9" s="139" t="str">
        <f t="shared" si="0"/>
        <v>PREPARE_EAST_UNP_1_21</v>
      </c>
      <c r="E9" s="139" t="s">
        <v>0</v>
      </c>
      <c r="F9" s="138" t="s">
        <v>46</v>
      </c>
      <c r="G9" s="140" t="s">
        <v>18</v>
      </c>
      <c r="H9" s="140" t="s">
        <v>42</v>
      </c>
      <c r="I9" s="140">
        <v>1</v>
      </c>
      <c r="J9" s="141"/>
      <c r="K9" s="184">
        <f>COUNT(M9:BB9)</f>
        <v>19</v>
      </c>
      <c r="L9" s="139"/>
      <c r="M9" s="3">
        <v>1</v>
      </c>
      <c r="N9" s="3">
        <f>M9+1</f>
        <v>2</v>
      </c>
      <c r="O9" s="3">
        <f t="shared" ref="O9:AE9" si="1">N9+1</f>
        <v>3</v>
      </c>
      <c r="P9" s="3">
        <f t="shared" si="1"/>
        <v>4</v>
      </c>
      <c r="Q9" s="3">
        <f t="shared" si="1"/>
        <v>5</v>
      </c>
      <c r="R9" s="3">
        <f t="shared" si="1"/>
        <v>6</v>
      </c>
      <c r="S9" s="3">
        <f t="shared" si="1"/>
        <v>7</v>
      </c>
      <c r="T9" s="3">
        <f t="shared" si="1"/>
        <v>8</v>
      </c>
      <c r="U9" s="3">
        <f t="shared" si="1"/>
        <v>9</v>
      </c>
      <c r="V9" s="3">
        <f t="shared" si="1"/>
        <v>10</v>
      </c>
      <c r="W9" s="3">
        <f t="shared" si="1"/>
        <v>11</v>
      </c>
      <c r="X9" s="3">
        <f t="shared" si="1"/>
        <v>12</v>
      </c>
      <c r="Y9" s="3">
        <f t="shared" si="1"/>
        <v>13</v>
      </c>
      <c r="Z9" s="3">
        <f t="shared" si="1"/>
        <v>14</v>
      </c>
      <c r="AA9" s="3">
        <f t="shared" si="1"/>
        <v>15</v>
      </c>
      <c r="AB9" s="3">
        <f t="shared" si="1"/>
        <v>16</v>
      </c>
      <c r="AC9" s="3">
        <f t="shared" si="1"/>
        <v>17</v>
      </c>
      <c r="AD9" s="3">
        <f t="shared" si="1"/>
        <v>18</v>
      </c>
      <c r="AE9" s="3">
        <f t="shared" si="1"/>
        <v>19</v>
      </c>
      <c r="AF9" s="4"/>
      <c r="AG9" s="21"/>
      <c r="AH9" s="86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5"/>
      <c r="CP9" s="5"/>
      <c r="CQ9" s="5"/>
      <c r="CR9" s="5"/>
    </row>
    <row r="10" spans="2:96" ht="15" hidden="1" customHeight="1" x14ac:dyDescent="0.25">
      <c r="B10" s="139">
        <v>1</v>
      </c>
      <c r="C10" s="139">
        <v>4</v>
      </c>
      <c r="D10" s="139" t="str">
        <f t="shared" si="0"/>
        <v>SUPPLY_EAST_UNP_1_21</v>
      </c>
      <c r="E10" s="139" t="s">
        <v>0</v>
      </c>
      <c r="F10" s="142" t="s">
        <v>0</v>
      </c>
      <c r="G10" s="140" t="s">
        <v>18</v>
      </c>
      <c r="H10" s="140" t="s">
        <v>42</v>
      </c>
      <c r="I10" s="140">
        <v>1</v>
      </c>
      <c r="J10" s="143"/>
      <c r="K10" s="184">
        <f>COUNT(AH10:BW10)</f>
        <v>0</v>
      </c>
      <c r="L10" s="140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101"/>
      <c r="AA10" s="57"/>
      <c r="AB10" s="133"/>
      <c r="AC10" s="46"/>
      <c r="AD10" s="46"/>
      <c r="AE10" s="46"/>
      <c r="AF10" s="46"/>
      <c r="AG10" s="57"/>
      <c r="AH10" s="93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97"/>
      <c r="AW10" s="4"/>
      <c r="AX10" s="4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5"/>
      <c r="CP10" s="5"/>
      <c r="CQ10" s="5"/>
      <c r="CR10" s="5"/>
    </row>
    <row r="11" spans="2:96" ht="15" customHeight="1" x14ac:dyDescent="0.25">
      <c r="B11" s="139">
        <v>1</v>
      </c>
      <c r="C11" s="140">
        <v>5</v>
      </c>
      <c r="D11" s="139" t="str">
        <f t="shared" si="0"/>
        <v>EMPTY_EAST_UNP_1_21</v>
      </c>
      <c r="E11" s="140" t="s">
        <v>0</v>
      </c>
      <c r="F11" s="142" t="s">
        <v>32</v>
      </c>
      <c r="G11" s="140" t="s">
        <v>18</v>
      </c>
      <c r="H11" s="140" t="s">
        <v>42</v>
      </c>
      <c r="I11" s="140">
        <v>1</v>
      </c>
      <c r="J11" s="139"/>
      <c r="K11" s="184">
        <f>COUNT(AH11:BW11)</f>
        <v>17</v>
      </c>
      <c r="L11" s="139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101"/>
      <c r="AA11" s="57"/>
      <c r="AB11" s="133"/>
      <c r="AC11" s="46"/>
      <c r="AD11" s="46"/>
      <c r="AE11" s="46"/>
      <c r="AF11" s="46"/>
      <c r="AG11" s="57"/>
      <c r="AH11" s="86">
        <v>1</v>
      </c>
      <c r="AI11" s="3">
        <f>AH11+1</f>
        <v>2</v>
      </c>
      <c r="AJ11" s="3">
        <f t="shared" ref="AJ11:AX11" si="2">AI11+1</f>
        <v>3</v>
      </c>
      <c r="AK11" s="3">
        <f t="shared" si="2"/>
        <v>4</v>
      </c>
      <c r="AL11" s="3">
        <f t="shared" si="2"/>
        <v>5</v>
      </c>
      <c r="AM11" s="3">
        <f t="shared" si="2"/>
        <v>6</v>
      </c>
      <c r="AN11" s="3">
        <f t="shared" si="2"/>
        <v>7</v>
      </c>
      <c r="AO11" s="3">
        <f t="shared" si="2"/>
        <v>8</v>
      </c>
      <c r="AP11" s="3">
        <f t="shared" si="2"/>
        <v>9</v>
      </c>
      <c r="AQ11" s="3">
        <f t="shared" si="2"/>
        <v>10</v>
      </c>
      <c r="AR11" s="3">
        <f t="shared" si="2"/>
        <v>11</v>
      </c>
      <c r="AS11" s="3">
        <f t="shared" si="2"/>
        <v>12</v>
      </c>
      <c r="AT11" s="3">
        <f t="shared" si="2"/>
        <v>13</v>
      </c>
      <c r="AU11" s="3">
        <f t="shared" si="2"/>
        <v>14</v>
      </c>
      <c r="AV11" s="3">
        <f t="shared" si="2"/>
        <v>15</v>
      </c>
      <c r="AW11" s="3">
        <f t="shared" si="2"/>
        <v>16</v>
      </c>
      <c r="AX11" s="3">
        <f t="shared" si="2"/>
        <v>17</v>
      </c>
      <c r="AY11" s="46"/>
      <c r="AZ11" s="4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5"/>
      <c r="CP11" s="5"/>
      <c r="CQ11" s="5"/>
      <c r="CR11" s="5"/>
    </row>
    <row r="12" spans="2:96" ht="15" hidden="1" customHeight="1" x14ac:dyDescent="0.25">
      <c r="B12" s="139">
        <v>1</v>
      </c>
      <c r="C12" s="140">
        <v>6</v>
      </c>
      <c r="D12" s="139" t="str">
        <f t="shared" si="0"/>
        <v>COUNTDOWN_EAST_UNP_1_21</v>
      </c>
      <c r="E12" s="140"/>
      <c r="F12" s="142" t="s">
        <v>33</v>
      </c>
      <c r="G12" s="140" t="s">
        <v>18</v>
      </c>
      <c r="H12" s="140" t="s">
        <v>42</v>
      </c>
      <c r="I12" s="140">
        <v>1</v>
      </c>
      <c r="J12" s="144"/>
      <c r="K12" s="144"/>
      <c r="L12" s="140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101"/>
      <c r="AA12" s="57"/>
      <c r="AB12" s="132"/>
      <c r="AC12" s="6"/>
      <c r="AD12" s="46"/>
      <c r="AE12" s="46"/>
      <c r="AF12" s="56"/>
      <c r="AG12" s="59"/>
      <c r="AH12" s="86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5"/>
      <c r="CP12" s="5"/>
      <c r="CQ12" s="5"/>
      <c r="CR12" s="5"/>
    </row>
    <row r="13" spans="2:96" hidden="1" x14ac:dyDescent="0.25">
      <c r="B13" s="139">
        <v>2</v>
      </c>
      <c r="C13" s="139">
        <v>1</v>
      </c>
      <c r="D13" s="139" t="str">
        <f t="shared" si="0"/>
        <v>SORTING_EAST_A_2_21</v>
      </c>
      <c r="E13" s="139" t="s">
        <v>35</v>
      </c>
      <c r="F13" s="138" t="s">
        <v>45</v>
      </c>
      <c r="G13" s="140" t="s">
        <v>18</v>
      </c>
      <c r="H13" s="140" t="s">
        <v>2</v>
      </c>
      <c r="I13" s="140">
        <v>2</v>
      </c>
      <c r="J13" s="139"/>
      <c r="K13" s="184">
        <f>COUNT(AB13:BB13)</f>
        <v>2</v>
      </c>
      <c r="L13" s="139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101"/>
      <c r="AA13" s="57"/>
      <c r="AB13" s="86">
        <v>1</v>
      </c>
      <c r="AC13" s="3">
        <f>AB13+1</f>
        <v>2</v>
      </c>
      <c r="AD13" s="4"/>
      <c r="AE13" s="4"/>
      <c r="AF13" s="3"/>
      <c r="AG13" s="31"/>
      <c r="AH13" s="86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5"/>
      <c r="CP13" s="5"/>
      <c r="CQ13" s="5"/>
      <c r="CR13" s="5"/>
    </row>
    <row r="14" spans="2:96" ht="15" hidden="1" customHeight="1" x14ac:dyDescent="0.25">
      <c r="B14" s="139">
        <v>2</v>
      </c>
      <c r="C14" s="139">
        <v>2</v>
      </c>
      <c r="D14" s="139" t="str">
        <f t="shared" si="0"/>
        <v>TRANSFER_EAST_A_2_21</v>
      </c>
      <c r="E14" s="139" t="s">
        <v>21</v>
      </c>
      <c r="F14" s="138" t="s">
        <v>21</v>
      </c>
      <c r="G14" s="140" t="s">
        <v>18</v>
      </c>
      <c r="H14" s="140" t="s">
        <v>2</v>
      </c>
      <c r="I14" s="140">
        <v>2</v>
      </c>
      <c r="J14" s="139"/>
      <c r="K14" s="184">
        <f>COUNT(AB14:BB14)</f>
        <v>4</v>
      </c>
      <c r="L14" s="139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101"/>
      <c r="AA14" s="57"/>
      <c r="AB14" s="86">
        <v>1</v>
      </c>
      <c r="AC14" s="3">
        <f t="shared" ref="AC14:AE14" si="3">AB14+1</f>
        <v>2</v>
      </c>
      <c r="AD14" s="3">
        <f t="shared" si="3"/>
        <v>3</v>
      </c>
      <c r="AE14" s="3">
        <f t="shared" si="3"/>
        <v>4</v>
      </c>
      <c r="AF14" s="21"/>
      <c r="AG14" s="31"/>
      <c r="AH14" s="86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5"/>
      <c r="CP14" s="5"/>
      <c r="CQ14" s="5"/>
      <c r="CR14" s="5"/>
    </row>
    <row r="15" spans="2:96" ht="15" hidden="1" customHeight="1" x14ac:dyDescent="0.25">
      <c r="B15" s="139">
        <v>2</v>
      </c>
      <c r="C15" s="139">
        <v>3</v>
      </c>
      <c r="D15" s="139" t="str">
        <f t="shared" si="0"/>
        <v>PREPARE_EAST_A_2_21</v>
      </c>
      <c r="E15" s="139" t="s">
        <v>0</v>
      </c>
      <c r="F15" s="138" t="s">
        <v>46</v>
      </c>
      <c r="G15" s="140" t="s">
        <v>18</v>
      </c>
      <c r="H15" s="140" t="s">
        <v>2</v>
      </c>
      <c r="I15" s="140">
        <v>2</v>
      </c>
      <c r="J15" s="141"/>
      <c r="K15" s="184">
        <f>COUNT(M15:BB15)</f>
        <v>21</v>
      </c>
      <c r="L15" s="139"/>
      <c r="M15" s="3">
        <v>1</v>
      </c>
      <c r="N15" s="3">
        <f t="shared" ref="N15:AG15" si="4">M15+1</f>
        <v>2</v>
      </c>
      <c r="O15" s="3">
        <f t="shared" si="4"/>
        <v>3</v>
      </c>
      <c r="P15" s="3">
        <f t="shared" si="4"/>
        <v>4</v>
      </c>
      <c r="Q15" s="3">
        <f t="shared" si="4"/>
        <v>5</v>
      </c>
      <c r="R15" s="3">
        <f t="shared" si="4"/>
        <v>6</v>
      </c>
      <c r="S15" s="3">
        <f t="shared" si="4"/>
        <v>7</v>
      </c>
      <c r="T15" s="3">
        <f t="shared" si="4"/>
        <v>8</v>
      </c>
      <c r="U15" s="3">
        <f t="shared" si="4"/>
        <v>9</v>
      </c>
      <c r="V15" s="3">
        <f t="shared" si="4"/>
        <v>10</v>
      </c>
      <c r="W15" s="3">
        <f t="shared" si="4"/>
        <v>11</v>
      </c>
      <c r="X15" s="3">
        <f t="shared" si="4"/>
        <v>12</v>
      </c>
      <c r="Y15" s="3">
        <f t="shared" si="4"/>
        <v>13</v>
      </c>
      <c r="Z15" s="3">
        <f t="shared" si="4"/>
        <v>14</v>
      </c>
      <c r="AA15" s="3">
        <f t="shared" si="4"/>
        <v>15</v>
      </c>
      <c r="AB15" s="3">
        <f t="shared" si="4"/>
        <v>16</v>
      </c>
      <c r="AC15" s="3">
        <f t="shared" si="4"/>
        <v>17</v>
      </c>
      <c r="AD15" s="3">
        <f t="shared" si="4"/>
        <v>18</v>
      </c>
      <c r="AE15" s="3">
        <f t="shared" si="4"/>
        <v>19</v>
      </c>
      <c r="AF15" s="3">
        <f t="shared" si="4"/>
        <v>20</v>
      </c>
      <c r="AG15" s="3">
        <f t="shared" si="4"/>
        <v>21</v>
      </c>
      <c r="AH15" s="93"/>
      <c r="AI15" s="4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5"/>
      <c r="CP15" s="5"/>
      <c r="CQ15" s="5"/>
      <c r="CR15" s="5"/>
    </row>
    <row r="16" spans="2:96" ht="15" hidden="1" customHeight="1" x14ac:dyDescent="0.25">
      <c r="B16" s="139">
        <v>2</v>
      </c>
      <c r="C16" s="139">
        <v>4</v>
      </c>
      <c r="D16" s="139" t="str">
        <f t="shared" si="0"/>
        <v>SUPPLY_EAST_A_2_21</v>
      </c>
      <c r="E16" s="139" t="s">
        <v>0</v>
      </c>
      <c r="F16" s="142" t="s">
        <v>0</v>
      </c>
      <c r="G16" s="140" t="s">
        <v>18</v>
      </c>
      <c r="H16" s="140" t="s">
        <v>2</v>
      </c>
      <c r="I16" s="140">
        <v>2</v>
      </c>
      <c r="J16" s="143"/>
      <c r="K16" s="184">
        <f>COUNT(AH16:BW16)</f>
        <v>2</v>
      </c>
      <c r="L16" s="140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101"/>
      <c r="AA16" s="57"/>
      <c r="AB16" s="133"/>
      <c r="AC16" s="46"/>
      <c r="AD16" s="46"/>
      <c r="AE16" s="46"/>
      <c r="AF16" s="46"/>
      <c r="AG16" s="57"/>
      <c r="AH16" s="86">
        <v>1</v>
      </c>
      <c r="AI16" s="3">
        <f>AH16+1</f>
        <v>2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97"/>
      <c r="AY16" s="4"/>
      <c r="AZ16" s="4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5"/>
      <c r="CP16" s="5"/>
      <c r="CQ16" s="5"/>
      <c r="CR16" s="5"/>
    </row>
    <row r="17" spans="1:96" ht="15" customHeight="1" x14ac:dyDescent="0.25">
      <c r="B17" s="139">
        <v>2</v>
      </c>
      <c r="C17" s="140">
        <v>5</v>
      </c>
      <c r="D17" s="139" t="str">
        <f t="shared" si="0"/>
        <v>EMPTY_EAST_A_2_21</v>
      </c>
      <c r="E17" s="140" t="s">
        <v>0</v>
      </c>
      <c r="F17" s="142" t="s">
        <v>32</v>
      </c>
      <c r="G17" s="140" t="s">
        <v>18</v>
      </c>
      <c r="H17" s="140" t="s">
        <v>2</v>
      </c>
      <c r="I17" s="140">
        <v>2</v>
      </c>
      <c r="J17" s="139"/>
      <c r="K17" s="184">
        <f>COUNT(AH17:BW17)</f>
        <v>19</v>
      </c>
      <c r="L17" s="139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101"/>
      <c r="AA17" s="57"/>
      <c r="AB17" s="133"/>
      <c r="AC17" s="46"/>
      <c r="AD17" s="46"/>
      <c r="AE17" s="46"/>
      <c r="AF17" s="46"/>
      <c r="AG17" s="57"/>
      <c r="AH17" s="86">
        <v>1</v>
      </c>
      <c r="AI17" s="3">
        <f t="shared" ref="AI17:AZ17" si="5">AH17+1</f>
        <v>2</v>
      </c>
      <c r="AJ17" s="3">
        <f t="shared" si="5"/>
        <v>3</v>
      </c>
      <c r="AK17" s="3">
        <f t="shared" si="5"/>
        <v>4</v>
      </c>
      <c r="AL17" s="3">
        <f t="shared" si="5"/>
        <v>5</v>
      </c>
      <c r="AM17" s="3">
        <f t="shared" si="5"/>
        <v>6</v>
      </c>
      <c r="AN17" s="3">
        <f t="shared" si="5"/>
        <v>7</v>
      </c>
      <c r="AO17" s="3">
        <f t="shared" si="5"/>
        <v>8</v>
      </c>
      <c r="AP17" s="3">
        <f t="shared" si="5"/>
        <v>9</v>
      </c>
      <c r="AQ17" s="3">
        <f t="shared" si="5"/>
        <v>10</v>
      </c>
      <c r="AR17" s="3">
        <f t="shared" si="5"/>
        <v>11</v>
      </c>
      <c r="AS17" s="3">
        <f t="shared" si="5"/>
        <v>12</v>
      </c>
      <c r="AT17" s="3">
        <f t="shared" si="5"/>
        <v>13</v>
      </c>
      <c r="AU17" s="3">
        <f t="shared" si="5"/>
        <v>14</v>
      </c>
      <c r="AV17" s="3">
        <f t="shared" si="5"/>
        <v>15</v>
      </c>
      <c r="AW17" s="3">
        <f t="shared" si="5"/>
        <v>16</v>
      </c>
      <c r="AX17" s="3">
        <f t="shared" si="5"/>
        <v>17</v>
      </c>
      <c r="AY17" s="3">
        <f t="shared" si="5"/>
        <v>18</v>
      </c>
      <c r="AZ17" s="3">
        <f t="shared" si="5"/>
        <v>19</v>
      </c>
      <c r="BA17" s="46"/>
      <c r="BB17" s="4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5"/>
      <c r="CP17" s="5"/>
      <c r="CQ17" s="5"/>
      <c r="CR17" s="5"/>
    </row>
    <row r="18" spans="1:96" ht="15" hidden="1" customHeight="1" x14ac:dyDescent="0.25">
      <c r="B18" s="139">
        <v>2</v>
      </c>
      <c r="C18" s="140">
        <v>6</v>
      </c>
      <c r="D18" s="139" t="str">
        <f t="shared" si="0"/>
        <v>COUNTDOWN_EAST_A_2_21</v>
      </c>
      <c r="E18" s="140"/>
      <c r="F18" s="142" t="s">
        <v>33</v>
      </c>
      <c r="G18" s="140" t="s">
        <v>18</v>
      </c>
      <c r="H18" s="140" t="s">
        <v>2</v>
      </c>
      <c r="I18" s="140">
        <v>2</v>
      </c>
      <c r="J18" s="144"/>
      <c r="K18" s="144"/>
      <c r="L18" s="140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101"/>
      <c r="AA18" s="57"/>
      <c r="AB18" s="86"/>
      <c r="AC18" s="3"/>
      <c r="AD18" s="6"/>
      <c r="AE18" s="6"/>
      <c r="AF18" s="46"/>
      <c r="AG18" s="57"/>
      <c r="AH18" s="134"/>
      <c r="AI18" s="56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5"/>
      <c r="CP18" s="5"/>
      <c r="CQ18" s="5"/>
      <c r="CR18" s="5"/>
    </row>
    <row r="19" spans="1:96" ht="15" hidden="1" customHeight="1" x14ac:dyDescent="0.25">
      <c r="B19" s="139"/>
      <c r="C19" s="139">
        <v>1</v>
      </c>
      <c r="D19" s="139" t="str">
        <f t="shared" ref="D19:D24" si="6">F19&amp;"_"&amp;G19&amp;"_"&amp;H19&amp;"_"&amp;I19&amp;"_"&amp;$D$1</f>
        <v>SORTING_EAST_C/U_1_21</v>
      </c>
      <c r="E19" s="139" t="s">
        <v>35</v>
      </c>
      <c r="F19" s="138" t="s">
        <v>45</v>
      </c>
      <c r="G19" s="140" t="s">
        <v>18</v>
      </c>
      <c r="H19" s="140" t="s">
        <v>67</v>
      </c>
      <c r="I19" s="140">
        <v>1</v>
      </c>
      <c r="J19" s="139"/>
      <c r="K19" s="184">
        <f>COUNT(AB19:BB19)</f>
        <v>4</v>
      </c>
      <c r="L19" s="140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101"/>
      <c r="AA19" s="57"/>
      <c r="AB19" s="86">
        <v>1</v>
      </c>
      <c r="AC19" s="3">
        <f>AB19+1</f>
        <v>2</v>
      </c>
      <c r="AD19" s="3">
        <f t="shared" ref="AD19:AE19" si="7">AC19+1</f>
        <v>3</v>
      </c>
      <c r="AE19" s="3">
        <f t="shared" si="7"/>
        <v>4</v>
      </c>
      <c r="AF19" s="4"/>
      <c r="AG19" s="31"/>
      <c r="AH19" s="86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5"/>
      <c r="CP19" s="5"/>
      <c r="CQ19" s="5"/>
      <c r="CR19" s="5"/>
    </row>
    <row r="20" spans="1:96" ht="15" hidden="1" customHeight="1" x14ac:dyDescent="0.25">
      <c r="B20" s="139"/>
      <c r="C20" s="139">
        <v>2</v>
      </c>
      <c r="D20" s="139" t="str">
        <f t="shared" si="6"/>
        <v>TRANSFER_EAST_C/U_1_21</v>
      </c>
      <c r="E20" s="139" t="s">
        <v>21</v>
      </c>
      <c r="F20" s="138" t="s">
        <v>21</v>
      </c>
      <c r="G20" s="140" t="s">
        <v>18</v>
      </c>
      <c r="H20" s="140" t="s">
        <v>67</v>
      </c>
      <c r="I20" s="140">
        <v>1</v>
      </c>
      <c r="J20" s="139"/>
      <c r="K20" s="184">
        <f>COUNT(AB20:BB20)</f>
        <v>5</v>
      </c>
      <c r="L20" s="140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101"/>
      <c r="AA20" s="57"/>
      <c r="AB20" s="86">
        <v>1</v>
      </c>
      <c r="AC20" s="3">
        <f t="shared" ref="AC20:AC21" si="8">AB20+1</f>
        <v>2</v>
      </c>
      <c r="AD20" s="3">
        <f t="shared" ref="AD20:AD21" si="9">AC20+1</f>
        <v>3</v>
      </c>
      <c r="AE20" s="3">
        <f t="shared" ref="AE20:AE21" si="10">AD20+1</f>
        <v>4</v>
      </c>
      <c r="AF20" s="3">
        <f t="shared" ref="AF20:AF21" si="11">AE20+1</f>
        <v>5</v>
      </c>
      <c r="AG20" s="21"/>
      <c r="AH20" s="9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5"/>
      <c r="CP20" s="5"/>
      <c r="CQ20" s="5"/>
      <c r="CR20" s="5"/>
    </row>
    <row r="21" spans="1:96" ht="15" hidden="1" customHeight="1" x14ac:dyDescent="0.25">
      <c r="B21" s="139"/>
      <c r="C21" s="139">
        <v>3</v>
      </c>
      <c r="D21" s="139" t="str">
        <f t="shared" si="6"/>
        <v>PREPARE_EAST_C/U_1_21</v>
      </c>
      <c r="E21" s="139" t="s">
        <v>0</v>
      </c>
      <c r="F21" s="138" t="s">
        <v>46</v>
      </c>
      <c r="G21" s="140" t="s">
        <v>18</v>
      </c>
      <c r="H21" s="140" t="s">
        <v>67</v>
      </c>
      <c r="I21" s="140">
        <v>1</v>
      </c>
      <c r="J21" s="141"/>
      <c r="K21" s="184">
        <f>COUNT(M21:BB21)</f>
        <v>21</v>
      </c>
      <c r="L21" s="140"/>
      <c r="M21" s="3">
        <v>1</v>
      </c>
      <c r="N21" s="3">
        <f t="shared" ref="N21" si="12">M21+1</f>
        <v>2</v>
      </c>
      <c r="O21" s="3">
        <f t="shared" ref="O21" si="13">N21+1</f>
        <v>3</v>
      </c>
      <c r="P21" s="3">
        <f t="shared" ref="P21" si="14">O21+1</f>
        <v>4</v>
      </c>
      <c r="Q21" s="3">
        <f t="shared" ref="Q21" si="15">P21+1</f>
        <v>5</v>
      </c>
      <c r="R21" s="3">
        <f t="shared" ref="R21" si="16">Q21+1</f>
        <v>6</v>
      </c>
      <c r="S21" s="3">
        <f t="shared" ref="S21" si="17">R21+1</f>
        <v>7</v>
      </c>
      <c r="T21" s="3">
        <f t="shared" ref="T21" si="18">S21+1</f>
        <v>8</v>
      </c>
      <c r="U21" s="3">
        <f t="shared" ref="U21" si="19">T21+1</f>
        <v>9</v>
      </c>
      <c r="V21" s="3">
        <f t="shared" ref="V21" si="20">U21+1</f>
        <v>10</v>
      </c>
      <c r="W21" s="3">
        <f t="shared" ref="W21" si="21">V21+1</f>
        <v>11</v>
      </c>
      <c r="X21" s="3">
        <f t="shared" ref="X21" si="22">W21+1</f>
        <v>12</v>
      </c>
      <c r="Y21" s="3">
        <f t="shared" ref="Y21" si="23">X21+1</f>
        <v>13</v>
      </c>
      <c r="Z21" s="3">
        <f t="shared" ref="Z21" si="24">Y21+1</f>
        <v>14</v>
      </c>
      <c r="AA21" s="3">
        <f t="shared" ref="AA21" si="25">Z21+1</f>
        <v>15</v>
      </c>
      <c r="AB21" s="3">
        <f t="shared" ref="AB21" si="26">AA21+1</f>
        <v>16</v>
      </c>
      <c r="AC21" s="3">
        <f t="shared" si="8"/>
        <v>17</v>
      </c>
      <c r="AD21" s="3">
        <f t="shared" si="9"/>
        <v>18</v>
      </c>
      <c r="AE21" s="3">
        <f t="shared" si="10"/>
        <v>19</v>
      </c>
      <c r="AF21" s="3">
        <f t="shared" si="11"/>
        <v>20</v>
      </c>
      <c r="AG21" s="3">
        <f t="shared" ref="AG21" si="27">AF21+1</f>
        <v>21</v>
      </c>
      <c r="AH21" s="93"/>
      <c r="AI21" s="4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5"/>
      <c r="CP21" s="5"/>
      <c r="CQ21" s="5"/>
      <c r="CR21" s="5"/>
    </row>
    <row r="22" spans="1:96" ht="15" hidden="1" customHeight="1" x14ac:dyDescent="0.25">
      <c r="B22" s="139"/>
      <c r="C22" s="139">
        <v>4</v>
      </c>
      <c r="D22" s="139" t="str">
        <f t="shared" si="6"/>
        <v>SUPPLY_EAST_C/U_1_21</v>
      </c>
      <c r="E22" s="139" t="s">
        <v>0</v>
      </c>
      <c r="F22" s="142" t="s">
        <v>0</v>
      </c>
      <c r="G22" s="140" t="s">
        <v>18</v>
      </c>
      <c r="H22" s="140" t="s">
        <v>67</v>
      </c>
      <c r="I22" s="140">
        <v>1</v>
      </c>
      <c r="J22" s="143"/>
      <c r="K22" s="184">
        <f>COUNT(AH22:BW22)</f>
        <v>3</v>
      </c>
      <c r="L22" s="140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101"/>
      <c r="AA22" s="57"/>
      <c r="AB22" s="133"/>
      <c r="AC22" s="46"/>
      <c r="AD22" s="46"/>
      <c r="AE22" s="46"/>
      <c r="AF22" s="46"/>
      <c r="AG22" s="57"/>
      <c r="AH22" s="86">
        <v>1</v>
      </c>
      <c r="AI22" s="3">
        <f>AH22+1</f>
        <v>2</v>
      </c>
      <c r="AJ22" s="3">
        <f>AI22+1</f>
        <v>3</v>
      </c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97"/>
      <c r="AY22" s="4"/>
      <c r="AZ22" s="4"/>
      <c r="BA22" s="4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5"/>
      <c r="CP22" s="5"/>
      <c r="CQ22" s="5"/>
      <c r="CR22" s="5"/>
    </row>
    <row r="23" spans="1:96" ht="15" customHeight="1" x14ac:dyDescent="0.25">
      <c r="B23" s="139"/>
      <c r="C23" s="140">
        <v>5</v>
      </c>
      <c r="D23" s="139" t="str">
        <f t="shared" si="6"/>
        <v>EMPTY_EAST_C/U_1_21</v>
      </c>
      <c r="E23" s="140" t="s">
        <v>0</v>
      </c>
      <c r="F23" s="142" t="s">
        <v>32</v>
      </c>
      <c r="G23" s="140" t="s">
        <v>18</v>
      </c>
      <c r="H23" s="140" t="s">
        <v>67</v>
      </c>
      <c r="I23" s="140">
        <v>1</v>
      </c>
      <c r="J23" s="139"/>
      <c r="K23" s="184">
        <f>COUNT(AH23:BW23)</f>
        <v>20</v>
      </c>
      <c r="L23" s="140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101"/>
      <c r="AA23" s="57"/>
      <c r="AB23" s="133"/>
      <c r="AC23" s="46"/>
      <c r="AD23" s="46"/>
      <c r="AE23" s="46"/>
      <c r="AF23" s="46"/>
      <c r="AG23" s="57"/>
      <c r="AH23" s="86">
        <v>1</v>
      </c>
      <c r="AI23" s="3">
        <f t="shared" ref="AI23" si="28">AH23+1</f>
        <v>2</v>
      </c>
      <c r="AJ23" s="3">
        <f t="shared" ref="AJ23" si="29">AI23+1</f>
        <v>3</v>
      </c>
      <c r="AK23" s="3">
        <f t="shared" ref="AK23" si="30">AJ23+1</f>
        <v>4</v>
      </c>
      <c r="AL23" s="3">
        <f t="shared" ref="AL23" si="31">AK23+1</f>
        <v>5</v>
      </c>
      <c r="AM23" s="3">
        <f t="shared" ref="AM23" si="32">AL23+1</f>
        <v>6</v>
      </c>
      <c r="AN23" s="3">
        <f t="shared" ref="AN23" si="33">AM23+1</f>
        <v>7</v>
      </c>
      <c r="AO23" s="3">
        <f t="shared" ref="AO23" si="34">AN23+1</f>
        <v>8</v>
      </c>
      <c r="AP23" s="3">
        <f t="shared" ref="AP23" si="35">AO23+1</f>
        <v>9</v>
      </c>
      <c r="AQ23" s="3">
        <f t="shared" ref="AQ23" si="36">AP23+1</f>
        <v>10</v>
      </c>
      <c r="AR23" s="3">
        <f t="shared" ref="AR23" si="37">AQ23+1</f>
        <v>11</v>
      </c>
      <c r="AS23" s="3">
        <f t="shared" ref="AS23" si="38">AR23+1</f>
        <v>12</v>
      </c>
      <c r="AT23" s="3">
        <f t="shared" ref="AT23" si="39">AS23+1</f>
        <v>13</v>
      </c>
      <c r="AU23" s="3">
        <f t="shared" ref="AU23" si="40">AT23+1</f>
        <v>14</v>
      </c>
      <c r="AV23" s="3">
        <f t="shared" ref="AV23" si="41">AU23+1</f>
        <v>15</v>
      </c>
      <c r="AW23" s="3">
        <f t="shared" ref="AW23" si="42">AV23+1</f>
        <v>16</v>
      </c>
      <c r="AX23" s="3">
        <f t="shared" ref="AX23" si="43">AW23+1</f>
        <v>17</v>
      </c>
      <c r="AY23" s="3">
        <f t="shared" ref="AY23" si="44">AX23+1</f>
        <v>18</v>
      </c>
      <c r="AZ23" s="3">
        <f t="shared" ref="AZ23:BA23" si="45">AY23+1</f>
        <v>19</v>
      </c>
      <c r="BA23" s="3">
        <f t="shared" si="45"/>
        <v>20</v>
      </c>
      <c r="BB23" s="46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5"/>
      <c r="CP23" s="5"/>
      <c r="CQ23" s="5"/>
      <c r="CR23" s="5"/>
    </row>
    <row r="24" spans="1:96" ht="15" hidden="1" customHeight="1" x14ac:dyDescent="0.25">
      <c r="B24" s="139"/>
      <c r="C24" s="140">
        <v>6</v>
      </c>
      <c r="D24" s="139" t="str">
        <f t="shared" si="6"/>
        <v>COUNTDOWN_EAST_C/U_1_21</v>
      </c>
      <c r="E24" s="140"/>
      <c r="F24" s="142" t="s">
        <v>33</v>
      </c>
      <c r="G24" s="140" t="s">
        <v>18</v>
      </c>
      <c r="H24" s="140" t="s">
        <v>67</v>
      </c>
      <c r="I24" s="140">
        <v>1</v>
      </c>
      <c r="J24" s="144"/>
      <c r="K24" s="144"/>
      <c r="L24" s="140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101"/>
      <c r="AA24" s="57"/>
      <c r="AB24" s="86"/>
      <c r="AC24" s="3"/>
      <c r="AD24" s="6"/>
      <c r="AE24" s="6"/>
      <c r="AF24" s="46"/>
      <c r="AG24" s="57"/>
      <c r="AH24" s="134"/>
      <c r="AI24" s="56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5"/>
      <c r="CP24" s="5"/>
      <c r="CQ24" s="5"/>
      <c r="CR24" s="5"/>
    </row>
    <row r="25" spans="1:96" hidden="1" x14ac:dyDescent="0.25">
      <c r="A25" t="s">
        <v>6</v>
      </c>
      <c r="B25" s="139">
        <v>3</v>
      </c>
      <c r="C25" s="139">
        <v>1</v>
      </c>
      <c r="D25" s="139" t="str">
        <f t="shared" si="0"/>
        <v>SORTING_EAST_C_2_21</v>
      </c>
      <c r="E25" s="139" t="s">
        <v>35</v>
      </c>
      <c r="F25" s="138" t="s">
        <v>45</v>
      </c>
      <c r="G25" s="140" t="s">
        <v>18</v>
      </c>
      <c r="H25" s="140" t="s">
        <v>4</v>
      </c>
      <c r="I25" s="140">
        <v>2</v>
      </c>
      <c r="J25" s="139"/>
      <c r="K25" s="184">
        <f>COUNT(AB25:BB25)</f>
        <v>5</v>
      </c>
      <c r="L25" s="139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101"/>
      <c r="AA25" s="57"/>
      <c r="AB25" s="86">
        <v>1</v>
      </c>
      <c r="AC25" s="3">
        <f t="shared" ref="AC25:AF25" si="46">AB25+1</f>
        <v>2</v>
      </c>
      <c r="AD25" s="3">
        <f t="shared" si="46"/>
        <v>3</v>
      </c>
      <c r="AE25" s="3">
        <f t="shared" si="46"/>
        <v>4</v>
      </c>
      <c r="AF25" s="3">
        <f t="shared" si="46"/>
        <v>5</v>
      </c>
      <c r="AG25" s="21"/>
      <c r="AH25" s="9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5"/>
      <c r="CP25" s="5"/>
      <c r="CQ25" s="5"/>
      <c r="CR25" s="5"/>
    </row>
    <row r="26" spans="1:96" ht="15" hidden="1" customHeight="1" x14ac:dyDescent="0.25">
      <c r="A26" t="s">
        <v>6</v>
      </c>
      <c r="B26" s="139">
        <v>3</v>
      </c>
      <c r="C26" s="139">
        <v>2</v>
      </c>
      <c r="D26" s="139" t="str">
        <f t="shared" si="0"/>
        <v>TRANSFER_EAST_C_2_21</v>
      </c>
      <c r="E26" s="139" t="s">
        <v>21</v>
      </c>
      <c r="F26" s="138" t="s">
        <v>21</v>
      </c>
      <c r="G26" s="140" t="s">
        <v>18</v>
      </c>
      <c r="H26" s="140" t="s">
        <v>4</v>
      </c>
      <c r="I26" s="140">
        <v>2</v>
      </c>
      <c r="J26" s="139"/>
      <c r="K26" s="184">
        <f>COUNT(AB26:BB26)</f>
        <v>7</v>
      </c>
      <c r="L26" s="139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101"/>
      <c r="AA26" s="57"/>
      <c r="AB26" s="86">
        <v>1</v>
      </c>
      <c r="AC26" s="3">
        <f t="shared" ref="AC26:AH26" si="47">AB26+1</f>
        <v>2</v>
      </c>
      <c r="AD26" s="3">
        <f t="shared" si="47"/>
        <v>3</v>
      </c>
      <c r="AE26" s="3">
        <f t="shared" si="47"/>
        <v>4</v>
      </c>
      <c r="AF26" s="3">
        <f t="shared" si="47"/>
        <v>5</v>
      </c>
      <c r="AG26" s="3">
        <f t="shared" si="47"/>
        <v>6</v>
      </c>
      <c r="AH26" s="3">
        <f t="shared" si="47"/>
        <v>7</v>
      </c>
      <c r="AI26" s="4"/>
      <c r="AJ26" s="4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5"/>
      <c r="CP26" s="5"/>
      <c r="CQ26" s="5"/>
      <c r="CR26" s="5"/>
    </row>
    <row r="27" spans="1:96" ht="15" hidden="1" customHeight="1" x14ac:dyDescent="0.25">
      <c r="A27" t="s">
        <v>6</v>
      </c>
      <c r="B27" s="139">
        <v>3</v>
      </c>
      <c r="C27" s="139">
        <v>3</v>
      </c>
      <c r="D27" s="139" t="str">
        <f t="shared" si="0"/>
        <v>PREPARE_EAST_C_2_21</v>
      </c>
      <c r="E27" s="139" t="s">
        <v>0</v>
      </c>
      <c r="F27" s="138" t="s">
        <v>46</v>
      </c>
      <c r="G27" s="140" t="s">
        <v>18</v>
      </c>
      <c r="H27" s="140" t="s">
        <v>4</v>
      </c>
      <c r="I27" s="140">
        <v>2</v>
      </c>
      <c r="J27" s="141"/>
      <c r="K27" s="184">
        <f>COUNT(M27:BB27)</f>
        <v>23</v>
      </c>
      <c r="L27" s="139"/>
      <c r="M27" s="3">
        <v>1</v>
      </c>
      <c r="N27" s="3">
        <f t="shared" ref="N27:AI27" si="48">M27+1</f>
        <v>2</v>
      </c>
      <c r="O27" s="3">
        <f t="shared" si="48"/>
        <v>3</v>
      </c>
      <c r="P27" s="3">
        <f t="shared" si="48"/>
        <v>4</v>
      </c>
      <c r="Q27" s="3">
        <f t="shared" si="48"/>
        <v>5</v>
      </c>
      <c r="R27" s="3">
        <f t="shared" si="48"/>
        <v>6</v>
      </c>
      <c r="S27" s="3">
        <f t="shared" si="48"/>
        <v>7</v>
      </c>
      <c r="T27" s="3">
        <f t="shared" si="48"/>
        <v>8</v>
      </c>
      <c r="U27" s="3">
        <f t="shared" si="48"/>
        <v>9</v>
      </c>
      <c r="V27" s="3">
        <f t="shared" si="48"/>
        <v>10</v>
      </c>
      <c r="W27" s="3">
        <f t="shared" si="48"/>
        <v>11</v>
      </c>
      <c r="X27" s="3">
        <f t="shared" si="48"/>
        <v>12</v>
      </c>
      <c r="Y27" s="3">
        <f t="shared" si="48"/>
        <v>13</v>
      </c>
      <c r="Z27" s="3">
        <f t="shared" si="48"/>
        <v>14</v>
      </c>
      <c r="AA27" s="3">
        <f t="shared" si="48"/>
        <v>15</v>
      </c>
      <c r="AB27" s="3">
        <f t="shared" si="48"/>
        <v>16</v>
      </c>
      <c r="AC27" s="3">
        <f t="shared" si="48"/>
        <v>17</v>
      </c>
      <c r="AD27" s="3">
        <f t="shared" si="48"/>
        <v>18</v>
      </c>
      <c r="AE27" s="3">
        <f t="shared" si="48"/>
        <v>19</v>
      </c>
      <c r="AF27" s="3">
        <f t="shared" si="48"/>
        <v>20</v>
      </c>
      <c r="AG27" s="3">
        <f t="shared" si="48"/>
        <v>21</v>
      </c>
      <c r="AH27" s="3">
        <f t="shared" si="48"/>
        <v>22</v>
      </c>
      <c r="AI27" s="3">
        <f t="shared" si="48"/>
        <v>23</v>
      </c>
      <c r="AJ27" s="4"/>
      <c r="AK27" s="4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5"/>
      <c r="CP27" s="5"/>
      <c r="CQ27" s="5"/>
      <c r="CR27" s="5"/>
    </row>
    <row r="28" spans="1:96" ht="15" hidden="1" customHeight="1" x14ac:dyDescent="0.25">
      <c r="A28" t="s">
        <v>6</v>
      </c>
      <c r="B28" s="139">
        <v>3</v>
      </c>
      <c r="C28" s="139">
        <v>4</v>
      </c>
      <c r="D28" s="139" t="str">
        <f t="shared" si="0"/>
        <v>SUPPLY_EAST_C_2_21</v>
      </c>
      <c r="E28" s="139" t="s">
        <v>0</v>
      </c>
      <c r="F28" s="142" t="s">
        <v>0</v>
      </c>
      <c r="G28" s="140" t="s">
        <v>18</v>
      </c>
      <c r="H28" s="140" t="s">
        <v>4</v>
      </c>
      <c r="I28" s="140">
        <v>2</v>
      </c>
      <c r="J28" s="143"/>
      <c r="K28" s="184">
        <f>COUNT(AH28:BW28)</f>
        <v>4</v>
      </c>
      <c r="L28" s="140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101"/>
      <c r="AA28" s="57"/>
      <c r="AB28" s="133"/>
      <c r="AC28" s="46"/>
      <c r="AD28" s="46"/>
      <c r="AE28" s="46"/>
      <c r="AF28" s="46"/>
      <c r="AG28" s="57"/>
      <c r="AH28" s="86">
        <v>1</v>
      </c>
      <c r="AI28" s="3">
        <f t="shared" ref="AI28:AK28" si="49">AH28+1</f>
        <v>2</v>
      </c>
      <c r="AJ28" s="3">
        <f t="shared" si="49"/>
        <v>3</v>
      </c>
      <c r="AK28" s="3">
        <f t="shared" si="49"/>
        <v>4</v>
      </c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97"/>
      <c r="BA28" s="4"/>
      <c r="BB28" s="4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5"/>
      <c r="CP28" s="5"/>
      <c r="CQ28" s="5"/>
      <c r="CR28" s="5"/>
    </row>
    <row r="29" spans="1:96" ht="15" customHeight="1" x14ac:dyDescent="0.25">
      <c r="A29" t="s">
        <v>6</v>
      </c>
      <c r="B29" s="139">
        <v>3</v>
      </c>
      <c r="C29" s="140">
        <v>5</v>
      </c>
      <c r="D29" s="139" t="str">
        <f t="shared" si="0"/>
        <v>EMPTY_EAST_C_2_21</v>
      </c>
      <c r="E29" s="140" t="s">
        <v>0</v>
      </c>
      <c r="F29" s="142" t="s">
        <v>32</v>
      </c>
      <c r="G29" s="140" t="s">
        <v>18</v>
      </c>
      <c r="H29" s="140" t="s">
        <v>4</v>
      </c>
      <c r="I29" s="140">
        <v>2</v>
      </c>
      <c r="J29" s="139"/>
      <c r="K29" s="184">
        <f>COUNT(AH29:BW29)</f>
        <v>21</v>
      </c>
      <c r="L29" s="139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101"/>
      <c r="AA29" s="57"/>
      <c r="AB29" s="133"/>
      <c r="AC29" s="46"/>
      <c r="AD29" s="46"/>
      <c r="AE29" s="46"/>
      <c r="AF29" s="46"/>
      <c r="AG29" s="57"/>
      <c r="AH29" s="86">
        <v>1</v>
      </c>
      <c r="AI29" s="3">
        <f t="shared" ref="AI29:BB29" si="50">AH29+1</f>
        <v>2</v>
      </c>
      <c r="AJ29" s="3">
        <f t="shared" si="50"/>
        <v>3</v>
      </c>
      <c r="AK29" s="3">
        <f t="shared" si="50"/>
        <v>4</v>
      </c>
      <c r="AL29" s="3">
        <f t="shared" si="50"/>
        <v>5</v>
      </c>
      <c r="AM29" s="3">
        <f t="shared" si="50"/>
        <v>6</v>
      </c>
      <c r="AN29" s="3">
        <f t="shared" si="50"/>
        <v>7</v>
      </c>
      <c r="AO29" s="3">
        <f t="shared" si="50"/>
        <v>8</v>
      </c>
      <c r="AP29" s="3">
        <f t="shared" si="50"/>
        <v>9</v>
      </c>
      <c r="AQ29" s="3">
        <f t="shared" si="50"/>
        <v>10</v>
      </c>
      <c r="AR29" s="3">
        <f t="shared" si="50"/>
        <v>11</v>
      </c>
      <c r="AS29" s="3">
        <f t="shared" si="50"/>
        <v>12</v>
      </c>
      <c r="AT29" s="3">
        <f t="shared" si="50"/>
        <v>13</v>
      </c>
      <c r="AU29" s="3">
        <f t="shared" si="50"/>
        <v>14</v>
      </c>
      <c r="AV29" s="3">
        <f t="shared" si="50"/>
        <v>15</v>
      </c>
      <c r="AW29" s="3">
        <f t="shared" si="50"/>
        <v>16</v>
      </c>
      <c r="AX29" s="3">
        <f t="shared" si="50"/>
        <v>17</v>
      </c>
      <c r="AY29" s="3">
        <f t="shared" si="50"/>
        <v>18</v>
      </c>
      <c r="AZ29" s="3">
        <f t="shared" si="50"/>
        <v>19</v>
      </c>
      <c r="BA29" s="3">
        <f t="shared" si="50"/>
        <v>20</v>
      </c>
      <c r="BB29" s="3">
        <f t="shared" si="50"/>
        <v>21</v>
      </c>
      <c r="BC29" s="46"/>
      <c r="BD29" s="4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5"/>
      <c r="CP29" s="5"/>
      <c r="CQ29" s="5"/>
      <c r="CR29" s="5"/>
    </row>
    <row r="30" spans="1:96" ht="15" hidden="1" customHeight="1" x14ac:dyDescent="0.25">
      <c r="A30" t="s">
        <v>6</v>
      </c>
      <c r="B30" s="139">
        <v>3</v>
      </c>
      <c r="C30" s="140">
        <v>6</v>
      </c>
      <c r="D30" s="139" t="str">
        <f t="shared" si="0"/>
        <v>COUNTDOWN_EAST_C_2_21</v>
      </c>
      <c r="E30" s="140"/>
      <c r="F30" s="142" t="s">
        <v>33</v>
      </c>
      <c r="G30" s="140" t="s">
        <v>18</v>
      </c>
      <c r="H30" s="140" t="s">
        <v>4</v>
      </c>
      <c r="I30" s="140">
        <v>2</v>
      </c>
      <c r="J30" s="144"/>
      <c r="K30" s="144"/>
      <c r="L30" s="140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101"/>
      <c r="AA30" s="57"/>
      <c r="AB30" s="86"/>
      <c r="AC30" s="3"/>
      <c r="AD30" s="3"/>
      <c r="AE30" s="3"/>
      <c r="AF30" s="6"/>
      <c r="AG30" s="28"/>
      <c r="AH30" s="133"/>
      <c r="AI30" s="46"/>
      <c r="AJ30" s="56"/>
      <c r="AK30" s="56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5"/>
      <c r="CP30" s="5"/>
      <c r="CQ30" s="5"/>
      <c r="CR30" s="5"/>
    </row>
    <row r="31" spans="1:96" hidden="1" x14ac:dyDescent="0.25">
      <c r="B31" s="139">
        <v>4</v>
      </c>
      <c r="C31" s="139">
        <v>1</v>
      </c>
      <c r="D31" s="139" t="str">
        <f t="shared" si="0"/>
        <v>SORTING_EAST_I_1_21</v>
      </c>
      <c r="E31" s="139" t="s">
        <v>35</v>
      </c>
      <c r="F31" s="138" t="s">
        <v>45</v>
      </c>
      <c r="G31" s="140" t="s">
        <v>18</v>
      </c>
      <c r="H31" s="140" t="s">
        <v>10</v>
      </c>
      <c r="I31" s="140">
        <v>1</v>
      </c>
      <c r="J31" s="139"/>
      <c r="K31" s="184">
        <f>COUNT(AB31:BB31)</f>
        <v>7</v>
      </c>
      <c r="L31" s="139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101"/>
      <c r="AA31" s="57"/>
      <c r="AB31" s="86">
        <v>1</v>
      </c>
      <c r="AC31" s="3">
        <f t="shared" ref="AC31:AH31" si="51">AB31+1</f>
        <v>2</v>
      </c>
      <c r="AD31" s="3">
        <f t="shared" si="51"/>
        <v>3</v>
      </c>
      <c r="AE31" s="3">
        <f t="shared" si="51"/>
        <v>4</v>
      </c>
      <c r="AF31" s="3">
        <f t="shared" si="51"/>
        <v>5</v>
      </c>
      <c r="AG31" s="3">
        <f t="shared" si="51"/>
        <v>6</v>
      </c>
      <c r="AH31" s="3">
        <f t="shared" si="51"/>
        <v>7</v>
      </c>
      <c r="AI31" s="4"/>
      <c r="AJ31" s="4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5"/>
      <c r="CP31" s="5"/>
      <c r="CQ31" s="5"/>
      <c r="CR31" s="5"/>
    </row>
    <row r="32" spans="1:96" ht="15" hidden="1" customHeight="1" x14ac:dyDescent="0.25">
      <c r="B32" s="139">
        <v>4</v>
      </c>
      <c r="C32" s="139">
        <v>2</v>
      </c>
      <c r="D32" s="139" t="str">
        <f t="shared" si="0"/>
        <v>TRANSFER_EAST_I_1_21</v>
      </c>
      <c r="E32" s="139" t="s">
        <v>21</v>
      </c>
      <c r="F32" s="138" t="s">
        <v>21</v>
      </c>
      <c r="G32" s="140" t="s">
        <v>18</v>
      </c>
      <c r="H32" s="140" t="s">
        <v>10</v>
      </c>
      <c r="I32" s="140">
        <v>1</v>
      </c>
      <c r="J32" s="139"/>
      <c r="K32" s="184">
        <f>COUNT(AB32:BB32)</f>
        <v>9</v>
      </c>
      <c r="L32" s="139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101"/>
      <c r="AA32" s="57"/>
      <c r="AB32" s="86">
        <v>1</v>
      </c>
      <c r="AC32" s="3">
        <f t="shared" ref="AC32:AJ32" si="52">AB32+1</f>
        <v>2</v>
      </c>
      <c r="AD32" s="3">
        <f t="shared" si="52"/>
        <v>3</v>
      </c>
      <c r="AE32" s="3">
        <f t="shared" si="52"/>
        <v>4</v>
      </c>
      <c r="AF32" s="3">
        <f t="shared" si="52"/>
        <v>5</v>
      </c>
      <c r="AG32" s="3">
        <f t="shared" si="52"/>
        <v>6</v>
      </c>
      <c r="AH32" s="3">
        <f t="shared" si="52"/>
        <v>7</v>
      </c>
      <c r="AI32" s="3">
        <f t="shared" si="52"/>
        <v>8</v>
      </c>
      <c r="AJ32" s="3">
        <f t="shared" si="52"/>
        <v>9</v>
      </c>
      <c r="AK32" s="4"/>
      <c r="AL32" s="4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5"/>
      <c r="CP32" s="5"/>
      <c r="CQ32" s="5"/>
      <c r="CR32" s="5"/>
    </row>
    <row r="33" spans="1:96" ht="15" hidden="1" customHeight="1" x14ac:dyDescent="0.25">
      <c r="B33" s="139">
        <v>4</v>
      </c>
      <c r="C33" s="139">
        <v>3</v>
      </c>
      <c r="D33" s="139" t="str">
        <f t="shared" si="0"/>
        <v>PREPARE_EAST_I_1_21</v>
      </c>
      <c r="E33" s="139" t="s">
        <v>0</v>
      </c>
      <c r="F33" s="138" t="s">
        <v>46</v>
      </c>
      <c r="G33" s="140" t="s">
        <v>18</v>
      </c>
      <c r="H33" s="140" t="s">
        <v>10</v>
      </c>
      <c r="I33" s="140">
        <v>1</v>
      </c>
      <c r="J33" s="141"/>
      <c r="K33" s="184">
        <f>COUNT(M33:BB33)</f>
        <v>25</v>
      </c>
      <c r="L33" s="139"/>
      <c r="M33" s="3">
        <v>1</v>
      </c>
      <c r="N33" s="3">
        <f t="shared" ref="N33:AK33" si="53">M33+1</f>
        <v>2</v>
      </c>
      <c r="O33" s="3">
        <f t="shared" si="53"/>
        <v>3</v>
      </c>
      <c r="P33" s="3">
        <f t="shared" si="53"/>
        <v>4</v>
      </c>
      <c r="Q33" s="3">
        <f t="shared" si="53"/>
        <v>5</v>
      </c>
      <c r="R33" s="3">
        <f t="shared" si="53"/>
        <v>6</v>
      </c>
      <c r="S33" s="3">
        <f t="shared" si="53"/>
        <v>7</v>
      </c>
      <c r="T33" s="3">
        <f t="shared" si="53"/>
        <v>8</v>
      </c>
      <c r="U33" s="3">
        <f t="shared" si="53"/>
        <v>9</v>
      </c>
      <c r="V33" s="3">
        <f t="shared" si="53"/>
        <v>10</v>
      </c>
      <c r="W33" s="3">
        <f t="shared" si="53"/>
        <v>11</v>
      </c>
      <c r="X33" s="3">
        <f t="shared" si="53"/>
        <v>12</v>
      </c>
      <c r="Y33" s="3">
        <f t="shared" si="53"/>
        <v>13</v>
      </c>
      <c r="Z33" s="3">
        <f t="shared" si="53"/>
        <v>14</v>
      </c>
      <c r="AA33" s="3">
        <f t="shared" si="53"/>
        <v>15</v>
      </c>
      <c r="AB33" s="3">
        <f t="shared" si="53"/>
        <v>16</v>
      </c>
      <c r="AC33" s="3">
        <f t="shared" si="53"/>
        <v>17</v>
      </c>
      <c r="AD33" s="3">
        <f t="shared" si="53"/>
        <v>18</v>
      </c>
      <c r="AE33" s="3">
        <f t="shared" si="53"/>
        <v>19</v>
      </c>
      <c r="AF33" s="3">
        <f t="shared" si="53"/>
        <v>20</v>
      </c>
      <c r="AG33" s="3">
        <f t="shared" si="53"/>
        <v>21</v>
      </c>
      <c r="AH33" s="3">
        <f t="shared" si="53"/>
        <v>22</v>
      </c>
      <c r="AI33" s="3">
        <f t="shared" si="53"/>
        <v>23</v>
      </c>
      <c r="AJ33" s="3">
        <f t="shared" si="53"/>
        <v>24</v>
      </c>
      <c r="AK33" s="3">
        <f t="shared" si="53"/>
        <v>25</v>
      </c>
      <c r="AL33" s="4"/>
      <c r="AM33" s="4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5"/>
      <c r="CP33" s="5"/>
      <c r="CQ33" s="5"/>
      <c r="CR33" s="5"/>
    </row>
    <row r="34" spans="1:96" ht="15" hidden="1" customHeight="1" x14ac:dyDescent="0.25">
      <c r="B34" s="139">
        <v>4</v>
      </c>
      <c r="C34" s="139">
        <v>4</v>
      </c>
      <c r="D34" s="139" t="str">
        <f t="shared" si="0"/>
        <v>SUPPLY_EAST_I_1_21</v>
      </c>
      <c r="E34" s="139" t="s">
        <v>0</v>
      </c>
      <c r="F34" s="142" t="s">
        <v>0</v>
      </c>
      <c r="G34" s="140" t="s">
        <v>18</v>
      </c>
      <c r="H34" s="140" t="s">
        <v>10</v>
      </c>
      <c r="I34" s="140">
        <v>1</v>
      </c>
      <c r="J34" s="143"/>
      <c r="K34" s="184">
        <f>COUNT(AH34:BW34)</f>
        <v>6</v>
      </c>
      <c r="L34" s="140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101"/>
      <c r="AA34" s="57"/>
      <c r="AB34" s="133"/>
      <c r="AC34" s="46"/>
      <c r="AD34" s="46"/>
      <c r="AE34" s="46"/>
      <c r="AF34" s="46"/>
      <c r="AG34" s="57"/>
      <c r="AH34" s="86">
        <v>1</v>
      </c>
      <c r="AI34" s="3">
        <f t="shared" ref="AI34:AM34" si="54">AH34+1</f>
        <v>2</v>
      </c>
      <c r="AJ34" s="3">
        <f t="shared" si="54"/>
        <v>3</v>
      </c>
      <c r="AK34" s="3">
        <f t="shared" si="54"/>
        <v>4</v>
      </c>
      <c r="AL34" s="3">
        <f t="shared" si="54"/>
        <v>5</v>
      </c>
      <c r="AM34" s="3">
        <f t="shared" si="54"/>
        <v>6</v>
      </c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97"/>
      <c r="BC34" s="4"/>
      <c r="BD34" s="4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5"/>
      <c r="CP34" s="5"/>
      <c r="CQ34" s="5"/>
      <c r="CR34" s="5"/>
    </row>
    <row r="35" spans="1:96" ht="15" customHeight="1" x14ac:dyDescent="0.25">
      <c r="B35" s="139">
        <v>4</v>
      </c>
      <c r="C35" s="140">
        <v>5</v>
      </c>
      <c r="D35" s="139" t="str">
        <f t="shared" si="0"/>
        <v>EMPTY_EAST_I_1_21</v>
      </c>
      <c r="E35" s="140" t="s">
        <v>0</v>
      </c>
      <c r="F35" s="142" t="s">
        <v>32</v>
      </c>
      <c r="G35" s="140" t="s">
        <v>18</v>
      </c>
      <c r="H35" s="140" t="s">
        <v>10</v>
      </c>
      <c r="I35" s="140">
        <v>1</v>
      </c>
      <c r="J35" s="139"/>
      <c r="K35" s="184">
        <f>COUNT(AH35:BW35)</f>
        <v>23</v>
      </c>
      <c r="L35" s="139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101"/>
      <c r="AA35" s="57"/>
      <c r="AB35" s="133"/>
      <c r="AC35" s="46"/>
      <c r="AD35" s="46"/>
      <c r="AE35" s="46"/>
      <c r="AF35" s="46"/>
      <c r="AG35" s="57"/>
      <c r="AH35" s="86">
        <v>1</v>
      </c>
      <c r="AI35" s="3">
        <f t="shared" ref="AI35:BD35" si="55">AH35+1</f>
        <v>2</v>
      </c>
      <c r="AJ35" s="3">
        <f t="shared" si="55"/>
        <v>3</v>
      </c>
      <c r="AK35" s="3">
        <f t="shared" si="55"/>
        <v>4</v>
      </c>
      <c r="AL35" s="3">
        <f t="shared" si="55"/>
        <v>5</v>
      </c>
      <c r="AM35" s="3">
        <f t="shared" si="55"/>
        <v>6</v>
      </c>
      <c r="AN35" s="3">
        <f t="shared" si="55"/>
        <v>7</v>
      </c>
      <c r="AO35" s="3">
        <f t="shared" si="55"/>
        <v>8</v>
      </c>
      <c r="AP35" s="3">
        <f t="shared" si="55"/>
        <v>9</v>
      </c>
      <c r="AQ35" s="3">
        <f t="shared" si="55"/>
        <v>10</v>
      </c>
      <c r="AR35" s="3">
        <f t="shared" si="55"/>
        <v>11</v>
      </c>
      <c r="AS35" s="3">
        <f t="shared" si="55"/>
        <v>12</v>
      </c>
      <c r="AT35" s="3">
        <f t="shared" si="55"/>
        <v>13</v>
      </c>
      <c r="AU35" s="3">
        <f t="shared" si="55"/>
        <v>14</v>
      </c>
      <c r="AV35" s="3">
        <f t="shared" si="55"/>
        <v>15</v>
      </c>
      <c r="AW35" s="3">
        <f t="shared" si="55"/>
        <v>16</v>
      </c>
      <c r="AX35" s="3">
        <f t="shared" si="55"/>
        <v>17</v>
      </c>
      <c r="AY35" s="3">
        <f t="shared" si="55"/>
        <v>18</v>
      </c>
      <c r="AZ35" s="3">
        <f t="shared" si="55"/>
        <v>19</v>
      </c>
      <c r="BA35" s="3">
        <f t="shared" si="55"/>
        <v>20</v>
      </c>
      <c r="BB35" s="3">
        <f t="shared" si="55"/>
        <v>21</v>
      </c>
      <c r="BC35" s="3">
        <f t="shared" si="55"/>
        <v>22</v>
      </c>
      <c r="BD35" s="3">
        <f t="shared" si="55"/>
        <v>23</v>
      </c>
      <c r="BE35" s="46"/>
      <c r="BF35" s="4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5"/>
      <c r="CP35" s="5"/>
      <c r="CQ35" s="5"/>
      <c r="CR35" s="5"/>
    </row>
    <row r="36" spans="1:96" ht="15" hidden="1" customHeight="1" x14ac:dyDescent="0.25">
      <c r="B36" s="139">
        <v>4</v>
      </c>
      <c r="C36" s="140">
        <v>6</v>
      </c>
      <c r="D36" s="139" t="str">
        <f t="shared" si="0"/>
        <v>COUNTDOWN_EAST_I_1_21</v>
      </c>
      <c r="E36" s="140"/>
      <c r="F36" s="142" t="s">
        <v>33</v>
      </c>
      <c r="G36" s="140" t="s">
        <v>18</v>
      </c>
      <c r="H36" s="140" t="s">
        <v>10</v>
      </c>
      <c r="I36" s="140">
        <v>1</v>
      </c>
      <c r="J36" s="144"/>
      <c r="K36" s="144"/>
      <c r="L36" s="140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101"/>
      <c r="AA36" s="57"/>
      <c r="AB36" s="86"/>
      <c r="AC36" s="3"/>
      <c r="AD36" s="3"/>
      <c r="AE36" s="3"/>
      <c r="AF36" s="3"/>
      <c r="AG36" s="31"/>
      <c r="AH36" s="132"/>
      <c r="AI36" s="6"/>
      <c r="AJ36" s="46"/>
      <c r="AK36" s="46"/>
      <c r="AL36" s="56"/>
      <c r="AM36" s="56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5"/>
      <c r="CP36" s="5"/>
      <c r="CQ36" s="5"/>
      <c r="CR36" s="5"/>
    </row>
    <row r="37" spans="1:96" hidden="1" x14ac:dyDescent="0.25">
      <c r="A37" t="s">
        <v>15</v>
      </c>
      <c r="B37" s="139">
        <v>5</v>
      </c>
      <c r="C37" s="139">
        <v>1</v>
      </c>
      <c r="D37" s="139" t="str">
        <f t="shared" si="0"/>
        <v>SORTING_EAST_G_2_21</v>
      </c>
      <c r="E37" s="139" t="s">
        <v>35</v>
      </c>
      <c r="F37" s="138" t="s">
        <v>45</v>
      </c>
      <c r="G37" s="140" t="s">
        <v>18</v>
      </c>
      <c r="H37" s="140" t="s">
        <v>8</v>
      </c>
      <c r="I37" s="140">
        <v>2</v>
      </c>
      <c r="J37" s="139"/>
      <c r="K37" s="184">
        <f>COUNT(AB37:BB37)</f>
        <v>9</v>
      </c>
      <c r="L37" s="139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101"/>
      <c r="AA37" s="57"/>
      <c r="AB37" s="86">
        <v>1</v>
      </c>
      <c r="AC37" s="3">
        <f t="shared" ref="AC37:AJ37" si="56">AB37+1</f>
        <v>2</v>
      </c>
      <c r="AD37" s="3">
        <f t="shared" si="56"/>
        <v>3</v>
      </c>
      <c r="AE37" s="3">
        <f t="shared" si="56"/>
        <v>4</v>
      </c>
      <c r="AF37" s="3">
        <f t="shared" si="56"/>
        <v>5</v>
      </c>
      <c r="AG37" s="3">
        <f t="shared" si="56"/>
        <v>6</v>
      </c>
      <c r="AH37" s="3">
        <f t="shared" si="56"/>
        <v>7</v>
      </c>
      <c r="AI37" s="3">
        <f t="shared" si="56"/>
        <v>8</v>
      </c>
      <c r="AJ37" s="3">
        <f t="shared" si="56"/>
        <v>9</v>
      </c>
      <c r="AK37" s="4"/>
      <c r="AL37" s="4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5"/>
      <c r="CP37" s="5"/>
      <c r="CQ37" s="5"/>
      <c r="CR37" s="5"/>
    </row>
    <row r="38" spans="1:96" ht="15" hidden="1" customHeight="1" x14ac:dyDescent="0.25">
      <c r="A38" t="s">
        <v>15</v>
      </c>
      <c r="B38" s="139">
        <v>5</v>
      </c>
      <c r="C38" s="139">
        <v>2</v>
      </c>
      <c r="D38" s="139" t="str">
        <f t="shared" si="0"/>
        <v>TRANSFER_EAST_G_2_21</v>
      </c>
      <c r="E38" s="139" t="s">
        <v>21</v>
      </c>
      <c r="F38" s="138" t="s">
        <v>21</v>
      </c>
      <c r="G38" s="140" t="s">
        <v>18</v>
      </c>
      <c r="H38" s="140" t="s">
        <v>8</v>
      </c>
      <c r="I38" s="140">
        <v>2</v>
      </c>
      <c r="J38" s="139"/>
      <c r="K38" s="184">
        <f>COUNT(AB38:BB38)</f>
        <v>11</v>
      </c>
      <c r="L38" s="139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101"/>
      <c r="AA38" s="57"/>
      <c r="AB38" s="86">
        <v>1</v>
      </c>
      <c r="AC38" s="3">
        <f t="shared" ref="AC38:AL38" si="57">AB38+1</f>
        <v>2</v>
      </c>
      <c r="AD38" s="3">
        <f t="shared" si="57"/>
        <v>3</v>
      </c>
      <c r="AE38" s="3">
        <f t="shared" si="57"/>
        <v>4</v>
      </c>
      <c r="AF38" s="3">
        <f t="shared" si="57"/>
        <v>5</v>
      </c>
      <c r="AG38" s="3">
        <f t="shared" si="57"/>
        <v>6</v>
      </c>
      <c r="AH38" s="3">
        <f t="shared" si="57"/>
        <v>7</v>
      </c>
      <c r="AI38" s="3">
        <f t="shared" si="57"/>
        <v>8</v>
      </c>
      <c r="AJ38" s="3">
        <f t="shared" si="57"/>
        <v>9</v>
      </c>
      <c r="AK38" s="3">
        <f t="shared" si="57"/>
        <v>10</v>
      </c>
      <c r="AL38" s="3">
        <f t="shared" si="57"/>
        <v>11</v>
      </c>
      <c r="AM38" s="4"/>
      <c r="AN38" s="4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5"/>
      <c r="CP38" s="5"/>
      <c r="CQ38" s="5"/>
      <c r="CR38" s="5"/>
    </row>
    <row r="39" spans="1:96" ht="15" hidden="1" customHeight="1" x14ac:dyDescent="0.25">
      <c r="A39" t="s">
        <v>15</v>
      </c>
      <c r="B39" s="139">
        <v>5</v>
      </c>
      <c r="C39" s="139">
        <v>3</v>
      </c>
      <c r="D39" s="139" t="str">
        <f t="shared" si="0"/>
        <v>PREPARE_EAST_G_2_21</v>
      </c>
      <c r="E39" s="139" t="s">
        <v>0</v>
      </c>
      <c r="F39" s="138" t="s">
        <v>46</v>
      </c>
      <c r="G39" s="140" t="s">
        <v>18</v>
      </c>
      <c r="H39" s="140" t="s">
        <v>8</v>
      </c>
      <c r="I39" s="140">
        <v>2</v>
      </c>
      <c r="J39" s="141"/>
      <c r="K39" s="184">
        <f>COUNT(M39:BB39)</f>
        <v>27</v>
      </c>
      <c r="L39" s="139"/>
      <c r="M39" s="3">
        <v>1</v>
      </c>
      <c r="N39" s="3">
        <f t="shared" ref="N39:AM39" si="58">M39+1</f>
        <v>2</v>
      </c>
      <c r="O39" s="3">
        <f t="shared" si="58"/>
        <v>3</v>
      </c>
      <c r="P39" s="3">
        <f t="shared" si="58"/>
        <v>4</v>
      </c>
      <c r="Q39" s="3">
        <f t="shared" si="58"/>
        <v>5</v>
      </c>
      <c r="R39" s="3">
        <f t="shared" si="58"/>
        <v>6</v>
      </c>
      <c r="S39" s="3">
        <f t="shared" si="58"/>
        <v>7</v>
      </c>
      <c r="T39" s="3">
        <f t="shared" si="58"/>
        <v>8</v>
      </c>
      <c r="U39" s="3">
        <f t="shared" si="58"/>
        <v>9</v>
      </c>
      <c r="V39" s="3">
        <f t="shared" si="58"/>
        <v>10</v>
      </c>
      <c r="W39" s="3">
        <f t="shared" si="58"/>
        <v>11</v>
      </c>
      <c r="X39" s="3">
        <f t="shared" si="58"/>
        <v>12</v>
      </c>
      <c r="Y39" s="3">
        <f t="shared" si="58"/>
        <v>13</v>
      </c>
      <c r="Z39" s="3">
        <f t="shared" si="58"/>
        <v>14</v>
      </c>
      <c r="AA39" s="3">
        <f t="shared" si="58"/>
        <v>15</v>
      </c>
      <c r="AB39" s="3">
        <f t="shared" si="58"/>
        <v>16</v>
      </c>
      <c r="AC39" s="3">
        <f t="shared" si="58"/>
        <v>17</v>
      </c>
      <c r="AD39" s="3">
        <f t="shared" si="58"/>
        <v>18</v>
      </c>
      <c r="AE39" s="3">
        <f t="shared" si="58"/>
        <v>19</v>
      </c>
      <c r="AF39" s="3">
        <f t="shared" si="58"/>
        <v>20</v>
      </c>
      <c r="AG39" s="3">
        <f t="shared" si="58"/>
        <v>21</v>
      </c>
      <c r="AH39" s="3">
        <f t="shared" si="58"/>
        <v>22</v>
      </c>
      <c r="AI39" s="3">
        <f t="shared" si="58"/>
        <v>23</v>
      </c>
      <c r="AJ39" s="3">
        <f t="shared" si="58"/>
        <v>24</v>
      </c>
      <c r="AK39" s="3">
        <f t="shared" si="58"/>
        <v>25</v>
      </c>
      <c r="AL39" s="3">
        <f t="shared" si="58"/>
        <v>26</v>
      </c>
      <c r="AM39" s="3">
        <f t="shared" si="58"/>
        <v>27</v>
      </c>
      <c r="AN39" s="4"/>
      <c r="AO39" s="4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5"/>
      <c r="CP39" s="5"/>
      <c r="CQ39" s="5"/>
      <c r="CR39" s="5"/>
    </row>
    <row r="40" spans="1:96" ht="15" hidden="1" customHeight="1" x14ac:dyDescent="0.25">
      <c r="A40" t="s">
        <v>15</v>
      </c>
      <c r="B40" s="139">
        <v>5</v>
      </c>
      <c r="C40" s="139">
        <v>4</v>
      </c>
      <c r="D40" s="139" t="str">
        <f t="shared" si="0"/>
        <v>SUPPLY_EAST_G_2_21</v>
      </c>
      <c r="E40" s="139" t="s">
        <v>0</v>
      </c>
      <c r="F40" s="142" t="s">
        <v>0</v>
      </c>
      <c r="G40" s="140" t="s">
        <v>18</v>
      </c>
      <c r="H40" s="140" t="s">
        <v>8</v>
      </c>
      <c r="I40" s="140">
        <v>2</v>
      </c>
      <c r="J40" s="143"/>
      <c r="K40" s="184">
        <f>COUNT(AH40:BW40)</f>
        <v>8</v>
      </c>
      <c r="L40" s="140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101"/>
      <c r="AA40" s="57"/>
      <c r="AB40" s="133"/>
      <c r="AC40" s="46"/>
      <c r="AD40" s="46"/>
      <c r="AE40" s="46"/>
      <c r="AF40" s="46"/>
      <c r="AG40" s="57"/>
      <c r="AH40" s="86">
        <v>1</v>
      </c>
      <c r="AI40" s="3">
        <f t="shared" ref="AI40:AO40" si="59">AH40+1</f>
        <v>2</v>
      </c>
      <c r="AJ40" s="3">
        <f t="shared" si="59"/>
        <v>3</v>
      </c>
      <c r="AK40" s="3">
        <f t="shared" si="59"/>
        <v>4</v>
      </c>
      <c r="AL40" s="3">
        <f t="shared" si="59"/>
        <v>5</v>
      </c>
      <c r="AM40" s="3">
        <f t="shared" si="59"/>
        <v>6</v>
      </c>
      <c r="AN40" s="3">
        <f t="shared" si="59"/>
        <v>7</v>
      </c>
      <c r="AO40" s="3">
        <f t="shared" si="59"/>
        <v>8</v>
      </c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97"/>
      <c r="BE40" s="4"/>
      <c r="BF40" s="4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5"/>
      <c r="CP40" s="5"/>
      <c r="CQ40" s="5"/>
      <c r="CR40" s="5"/>
    </row>
    <row r="41" spans="1:96" ht="15" customHeight="1" x14ac:dyDescent="0.25">
      <c r="A41" t="s">
        <v>15</v>
      </c>
      <c r="B41" s="139">
        <v>5</v>
      </c>
      <c r="C41" s="140">
        <v>5</v>
      </c>
      <c r="D41" s="139" t="str">
        <f t="shared" si="0"/>
        <v>EMPTY_EAST_G_2_21</v>
      </c>
      <c r="E41" s="140" t="s">
        <v>0</v>
      </c>
      <c r="F41" s="142" t="s">
        <v>32</v>
      </c>
      <c r="G41" s="140" t="s">
        <v>18</v>
      </c>
      <c r="H41" s="140" t="s">
        <v>8</v>
      </c>
      <c r="I41" s="140">
        <v>2</v>
      </c>
      <c r="J41" s="139"/>
      <c r="K41" s="184">
        <f>COUNT(AH41:BW41)</f>
        <v>25</v>
      </c>
      <c r="L41" s="139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101"/>
      <c r="AA41" s="57"/>
      <c r="AB41" s="133"/>
      <c r="AC41" s="46"/>
      <c r="AD41" s="46"/>
      <c r="AE41" s="46"/>
      <c r="AF41" s="46"/>
      <c r="AG41" s="57"/>
      <c r="AH41" s="86">
        <v>1</v>
      </c>
      <c r="AI41" s="3">
        <f t="shared" ref="AI41:BF41" si="60">AH41+1</f>
        <v>2</v>
      </c>
      <c r="AJ41" s="3">
        <f t="shared" si="60"/>
        <v>3</v>
      </c>
      <c r="AK41" s="3">
        <f t="shared" si="60"/>
        <v>4</v>
      </c>
      <c r="AL41" s="3">
        <f t="shared" si="60"/>
        <v>5</v>
      </c>
      <c r="AM41" s="3">
        <f t="shared" si="60"/>
        <v>6</v>
      </c>
      <c r="AN41" s="3">
        <f t="shared" si="60"/>
        <v>7</v>
      </c>
      <c r="AO41" s="3">
        <f t="shared" si="60"/>
        <v>8</v>
      </c>
      <c r="AP41" s="3">
        <f t="shared" si="60"/>
        <v>9</v>
      </c>
      <c r="AQ41" s="3">
        <f t="shared" si="60"/>
        <v>10</v>
      </c>
      <c r="AR41" s="3">
        <f t="shared" si="60"/>
        <v>11</v>
      </c>
      <c r="AS41" s="3">
        <f t="shared" si="60"/>
        <v>12</v>
      </c>
      <c r="AT41" s="3">
        <f t="shared" si="60"/>
        <v>13</v>
      </c>
      <c r="AU41" s="3">
        <f t="shared" si="60"/>
        <v>14</v>
      </c>
      <c r="AV41" s="3">
        <f t="shared" si="60"/>
        <v>15</v>
      </c>
      <c r="AW41" s="3">
        <f t="shared" si="60"/>
        <v>16</v>
      </c>
      <c r="AX41" s="3">
        <f t="shared" si="60"/>
        <v>17</v>
      </c>
      <c r="AY41" s="3">
        <f t="shared" si="60"/>
        <v>18</v>
      </c>
      <c r="AZ41" s="3">
        <f t="shared" si="60"/>
        <v>19</v>
      </c>
      <c r="BA41" s="3">
        <f t="shared" si="60"/>
        <v>20</v>
      </c>
      <c r="BB41" s="3">
        <f t="shared" si="60"/>
        <v>21</v>
      </c>
      <c r="BC41" s="3">
        <f t="shared" si="60"/>
        <v>22</v>
      </c>
      <c r="BD41" s="3">
        <f t="shared" si="60"/>
        <v>23</v>
      </c>
      <c r="BE41" s="3">
        <f t="shared" si="60"/>
        <v>24</v>
      </c>
      <c r="BF41" s="3">
        <f t="shared" si="60"/>
        <v>25</v>
      </c>
      <c r="BG41" s="46"/>
      <c r="BH41" s="4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5"/>
      <c r="CP41" s="5"/>
      <c r="CQ41" s="5"/>
      <c r="CR41" s="5"/>
    </row>
    <row r="42" spans="1:96" ht="15" hidden="1" customHeight="1" x14ac:dyDescent="0.25">
      <c r="A42" t="s">
        <v>15</v>
      </c>
      <c r="B42" s="139">
        <v>5</v>
      </c>
      <c r="C42" s="140">
        <v>6</v>
      </c>
      <c r="D42" s="139" t="str">
        <f t="shared" si="0"/>
        <v>COUNTDOWN_EAST_G_2_21</v>
      </c>
      <c r="E42" s="140"/>
      <c r="F42" s="142" t="s">
        <v>33</v>
      </c>
      <c r="G42" s="140" t="s">
        <v>18</v>
      </c>
      <c r="H42" s="140" t="s">
        <v>8</v>
      </c>
      <c r="I42" s="140">
        <v>2</v>
      </c>
      <c r="J42" s="144"/>
      <c r="K42" s="144"/>
      <c r="L42" s="140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101"/>
      <c r="AA42" s="57"/>
      <c r="AB42" s="86"/>
      <c r="AC42" s="3"/>
      <c r="AD42" s="3"/>
      <c r="AE42" s="3"/>
      <c r="AF42" s="3"/>
      <c r="AG42" s="31"/>
      <c r="AH42" s="86"/>
      <c r="AI42" s="3"/>
      <c r="AJ42" s="6"/>
      <c r="AK42" s="6"/>
      <c r="AL42" s="46"/>
      <c r="AM42" s="46"/>
      <c r="AN42" s="56"/>
      <c r="AO42" s="56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5"/>
      <c r="CP42" s="5"/>
      <c r="CQ42" s="5"/>
      <c r="CR42" s="5"/>
    </row>
    <row r="43" spans="1:96" hidden="1" x14ac:dyDescent="0.25">
      <c r="B43" s="139">
        <v>6</v>
      </c>
      <c r="C43" s="139">
        <v>1</v>
      </c>
      <c r="D43" s="139" t="str">
        <f t="shared" si="0"/>
        <v>SORTING_EAST_B_1_21</v>
      </c>
      <c r="E43" s="139" t="s">
        <v>35</v>
      </c>
      <c r="F43" s="138" t="s">
        <v>45</v>
      </c>
      <c r="G43" s="140" t="s">
        <v>18</v>
      </c>
      <c r="H43" s="140" t="s">
        <v>3</v>
      </c>
      <c r="I43" s="140">
        <v>1</v>
      </c>
      <c r="J43" s="139"/>
      <c r="K43" s="184">
        <f>COUNT(AB43:BB43)</f>
        <v>11</v>
      </c>
      <c r="L43" s="139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101"/>
      <c r="AA43" s="57"/>
      <c r="AB43" s="86">
        <v>1</v>
      </c>
      <c r="AC43" s="3">
        <f t="shared" ref="AC43:AL43" si="61">AB43+1</f>
        <v>2</v>
      </c>
      <c r="AD43" s="3">
        <f t="shared" si="61"/>
        <v>3</v>
      </c>
      <c r="AE43" s="3">
        <f t="shared" si="61"/>
        <v>4</v>
      </c>
      <c r="AF43" s="3">
        <f t="shared" si="61"/>
        <v>5</v>
      </c>
      <c r="AG43" s="3">
        <f t="shared" si="61"/>
        <v>6</v>
      </c>
      <c r="AH43" s="3">
        <f t="shared" si="61"/>
        <v>7</v>
      </c>
      <c r="AI43" s="3">
        <f t="shared" si="61"/>
        <v>8</v>
      </c>
      <c r="AJ43" s="3">
        <f t="shared" si="61"/>
        <v>9</v>
      </c>
      <c r="AK43" s="3">
        <f t="shared" si="61"/>
        <v>10</v>
      </c>
      <c r="AL43" s="3">
        <f t="shared" si="61"/>
        <v>11</v>
      </c>
      <c r="AM43" s="4"/>
      <c r="AN43" s="4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5"/>
      <c r="CP43" s="5"/>
      <c r="CQ43" s="5"/>
      <c r="CR43" s="5"/>
    </row>
    <row r="44" spans="1:96" ht="15" hidden="1" customHeight="1" x14ac:dyDescent="0.25">
      <c r="B44" s="139">
        <v>6</v>
      </c>
      <c r="C44" s="139">
        <v>2</v>
      </c>
      <c r="D44" s="139" t="str">
        <f t="shared" si="0"/>
        <v>TRANSFER_EAST_B_1_21</v>
      </c>
      <c r="E44" s="139" t="s">
        <v>21</v>
      </c>
      <c r="F44" s="138" t="s">
        <v>21</v>
      </c>
      <c r="G44" s="140" t="s">
        <v>18</v>
      </c>
      <c r="H44" s="140" t="s">
        <v>3</v>
      </c>
      <c r="I44" s="140">
        <v>1</v>
      </c>
      <c r="J44" s="139"/>
      <c r="K44" s="184">
        <f>COUNT(AB44:BB44)</f>
        <v>13</v>
      </c>
      <c r="L44" s="139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101"/>
      <c r="AA44" s="57"/>
      <c r="AB44" s="86">
        <v>1</v>
      </c>
      <c r="AC44" s="3">
        <f t="shared" ref="AC44:AN44" si="62">AB44+1</f>
        <v>2</v>
      </c>
      <c r="AD44" s="3">
        <f t="shared" si="62"/>
        <v>3</v>
      </c>
      <c r="AE44" s="3">
        <f t="shared" si="62"/>
        <v>4</v>
      </c>
      <c r="AF44" s="3">
        <f t="shared" si="62"/>
        <v>5</v>
      </c>
      <c r="AG44" s="3">
        <f t="shared" si="62"/>
        <v>6</v>
      </c>
      <c r="AH44" s="3">
        <f t="shared" si="62"/>
        <v>7</v>
      </c>
      <c r="AI44" s="3">
        <f t="shared" si="62"/>
        <v>8</v>
      </c>
      <c r="AJ44" s="3">
        <f t="shared" si="62"/>
        <v>9</v>
      </c>
      <c r="AK44" s="3">
        <f t="shared" si="62"/>
        <v>10</v>
      </c>
      <c r="AL44" s="3">
        <f t="shared" si="62"/>
        <v>11</v>
      </c>
      <c r="AM44" s="3">
        <f t="shared" si="62"/>
        <v>12</v>
      </c>
      <c r="AN44" s="3">
        <f t="shared" si="62"/>
        <v>13</v>
      </c>
      <c r="AO44" s="4"/>
      <c r="AP44" s="4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5"/>
      <c r="CP44" s="5"/>
      <c r="CQ44" s="5"/>
      <c r="CR44" s="5"/>
    </row>
    <row r="45" spans="1:96" ht="15" hidden="1" customHeight="1" x14ac:dyDescent="0.25">
      <c r="B45" s="139">
        <v>6</v>
      </c>
      <c r="C45" s="139">
        <v>3</v>
      </c>
      <c r="D45" s="139" t="str">
        <f t="shared" si="0"/>
        <v>PREPARE_EAST_B_1_21</v>
      </c>
      <c r="E45" s="139" t="s">
        <v>0</v>
      </c>
      <c r="F45" s="138" t="s">
        <v>46</v>
      </c>
      <c r="G45" s="140" t="s">
        <v>18</v>
      </c>
      <c r="H45" s="140" t="s">
        <v>3</v>
      </c>
      <c r="I45" s="140">
        <v>1</v>
      </c>
      <c r="J45" s="141"/>
      <c r="K45" s="184">
        <f>COUNT(M45:BB45)</f>
        <v>30</v>
      </c>
      <c r="L45" s="139"/>
      <c r="M45" s="3">
        <v>1</v>
      </c>
      <c r="N45" s="3">
        <f t="shared" ref="N45:AP45" si="63">M45+1</f>
        <v>2</v>
      </c>
      <c r="O45" s="3">
        <f t="shared" si="63"/>
        <v>3</v>
      </c>
      <c r="P45" s="3">
        <f t="shared" si="63"/>
        <v>4</v>
      </c>
      <c r="Q45" s="3">
        <f t="shared" si="63"/>
        <v>5</v>
      </c>
      <c r="R45" s="3">
        <f t="shared" si="63"/>
        <v>6</v>
      </c>
      <c r="S45" s="3">
        <f t="shared" si="63"/>
        <v>7</v>
      </c>
      <c r="T45" s="3">
        <f t="shared" si="63"/>
        <v>8</v>
      </c>
      <c r="U45" s="3">
        <f t="shared" si="63"/>
        <v>9</v>
      </c>
      <c r="V45" s="3">
        <f t="shared" si="63"/>
        <v>10</v>
      </c>
      <c r="W45" s="3">
        <f t="shared" si="63"/>
        <v>11</v>
      </c>
      <c r="X45" s="3">
        <f t="shared" si="63"/>
        <v>12</v>
      </c>
      <c r="Y45" s="3">
        <f t="shared" si="63"/>
        <v>13</v>
      </c>
      <c r="Z45" s="3">
        <f t="shared" si="63"/>
        <v>14</v>
      </c>
      <c r="AA45" s="3">
        <f t="shared" si="63"/>
        <v>15</v>
      </c>
      <c r="AB45" s="3">
        <f t="shared" si="63"/>
        <v>16</v>
      </c>
      <c r="AC45" s="3">
        <f t="shared" si="63"/>
        <v>17</v>
      </c>
      <c r="AD45" s="3">
        <f t="shared" si="63"/>
        <v>18</v>
      </c>
      <c r="AE45" s="3">
        <f t="shared" si="63"/>
        <v>19</v>
      </c>
      <c r="AF45" s="3">
        <f t="shared" si="63"/>
        <v>20</v>
      </c>
      <c r="AG45" s="3">
        <f t="shared" si="63"/>
        <v>21</v>
      </c>
      <c r="AH45" s="3">
        <f t="shared" si="63"/>
        <v>22</v>
      </c>
      <c r="AI45" s="3">
        <f t="shared" si="63"/>
        <v>23</v>
      </c>
      <c r="AJ45" s="3">
        <f t="shared" si="63"/>
        <v>24</v>
      </c>
      <c r="AK45" s="3">
        <f t="shared" si="63"/>
        <v>25</v>
      </c>
      <c r="AL45" s="3">
        <f t="shared" si="63"/>
        <v>26</v>
      </c>
      <c r="AM45" s="3">
        <f t="shared" si="63"/>
        <v>27</v>
      </c>
      <c r="AN45" s="3">
        <f t="shared" si="63"/>
        <v>28</v>
      </c>
      <c r="AO45" s="3">
        <f t="shared" si="63"/>
        <v>29</v>
      </c>
      <c r="AP45" s="3">
        <f t="shared" si="63"/>
        <v>30</v>
      </c>
      <c r="AQ45" s="4"/>
      <c r="AR45" s="4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5"/>
      <c r="CP45" s="5"/>
      <c r="CQ45" s="5"/>
      <c r="CR45" s="5"/>
    </row>
    <row r="46" spans="1:96" ht="15" hidden="1" customHeight="1" x14ac:dyDescent="0.25">
      <c r="B46" s="139">
        <v>6</v>
      </c>
      <c r="C46" s="139">
        <v>4</v>
      </c>
      <c r="D46" s="139" t="str">
        <f t="shared" si="0"/>
        <v>SUPPLY_EAST_B_1_21</v>
      </c>
      <c r="E46" s="139" t="s">
        <v>0</v>
      </c>
      <c r="F46" s="142" t="s">
        <v>0</v>
      </c>
      <c r="G46" s="140" t="s">
        <v>18</v>
      </c>
      <c r="H46" s="140" t="s">
        <v>3</v>
      </c>
      <c r="I46" s="140">
        <v>1</v>
      </c>
      <c r="J46" s="143"/>
      <c r="K46" s="184">
        <f>COUNT(AH46:BW46)</f>
        <v>11</v>
      </c>
      <c r="L46" s="140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101"/>
      <c r="AA46" s="57"/>
      <c r="AB46" s="133"/>
      <c r="AC46" s="46"/>
      <c r="AD46" s="46"/>
      <c r="AE46" s="46"/>
      <c r="AF46" s="46"/>
      <c r="AG46" s="57"/>
      <c r="AH46" s="86">
        <v>1</v>
      </c>
      <c r="AI46" s="3">
        <f t="shared" ref="AI46:AR46" si="64">AH46+1</f>
        <v>2</v>
      </c>
      <c r="AJ46" s="3">
        <f t="shared" si="64"/>
        <v>3</v>
      </c>
      <c r="AK46" s="3">
        <f t="shared" si="64"/>
        <v>4</v>
      </c>
      <c r="AL46" s="3">
        <f t="shared" si="64"/>
        <v>5</v>
      </c>
      <c r="AM46" s="3">
        <f t="shared" si="64"/>
        <v>6</v>
      </c>
      <c r="AN46" s="3">
        <f t="shared" si="64"/>
        <v>7</v>
      </c>
      <c r="AO46" s="3">
        <f t="shared" si="64"/>
        <v>8</v>
      </c>
      <c r="AP46" s="3">
        <f t="shared" si="64"/>
        <v>9</v>
      </c>
      <c r="AQ46" s="3">
        <f t="shared" si="64"/>
        <v>10</v>
      </c>
      <c r="AR46" s="3">
        <f t="shared" si="64"/>
        <v>11</v>
      </c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97"/>
      <c r="BG46" s="4"/>
      <c r="BH46" s="4"/>
      <c r="BI46" s="4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5"/>
      <c r="CP46" s="5"/>
      <c r="CQ46" s="5"/>
      <c r="CR46" s="5"/>
    </row>
    <row r="47" spans="1:96" ht="15" customHeight="1" x14ac:dyDescent="0.25">
      <c r="B47" s="139">
        <v>6</v>
      </c>
      <c r="C47" s="140">
        <v>5</v>
      </c>
      <c r="D47" s="139" t="str">
        <f t="shared" si="0"/>
        <v>EMPTY_EAST_B_1_21</v>
      </c>
      <c r="E47" s="140" t="s">
        <v>0</v>
      </c>
      <c r="F47" s="142" t="s">
        <v>32</v>
      </c>
      <c r="G47" s="140" t="s">
        <v>18</v>
      </c>
      <c r="H47" s="140" t="s">
        <v>3</v>
      </c>
      <c r="I47" s="140">
        <v>1</v>
      </c>
      <c r="J47" s="139"/>
      <c r="K47" s="184">
        <f>COUNT(AH47:BW47)</f>
        <v>28</v>
      </c>
      <c r="L47" s="139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101"/>
      <c r="AA47" s="57"/>
      <c r="AB47" s="133"/>
      <c r="AC47" s="46"/>
      <c r="AD47" s="46"/>
      <c r="AE47" s="46"/>
      <c r="AF47" s="46"/>
      <c r="AG47" s="57"/>
      <c r="AH47" s="86">
        <v>1</v>
      </c>
      <c r="AI47" s="3">
        <f t="shared" ref="AI47:BI47" si="65">AH47+1</f>
        <v>2</v>
      </c>
      <c r="AJ47" s="3">
        <f t="shared" si="65"/>
        <v>3</v>
      </c>
      <c r="AK47" s="3">
        <f t="shared" si="65"/>
        <v>4</v>
      </c>
      <c r="AL47" s="3">
        <f t="shared" si="65"/>
        <v>5</v>
      </c>
      <c r="AM47" s="3">
        <f t="shared" si="65"/>
        <v>6</v>
      </c>
      <c r="AN47" s="3">
        <f t="shared" si="65"/>
        <v>7</v>
      </c>
      <c r="AO47" s="3">
        <f t="shared" si="65"/>
        <v>8</v>
      </c>
      <c r="AP47" s="3">
        <f t="shared" si="65"/>
        <v>9</v>
      </c>
      <c r="AQ47" s="3">
        <f t="shared" si="65"/>
        <v>10</v>
      </c>
      <c r="AR47" s="3">
        <f t="shared" si="65"/>
        <v>11</v>
      </c>
      <c r="AS47" s="3">
        <f t="shared" si="65"/>
        <v>12</v>
      </c>
      <c r="AT47" s="3">
        <f t="shared" si="65"/>
        <v>13</v>
      </c>
      <c r="AU47" s="3">
        <f t="shared" si="65"/>
        <v>14</v>
      </c>
      <c r="AV47" s="3">
        <f t="shared" si="65"/>
        <v>15</v>
      </c>
      <c r="AW47" s="3">
        <f t="shared" si="65"/>
        <v>16</v>
      </c>
      <c r="AX47" s="3">
        <f t="shared" si="65"/>
        <v>17</v>
      </c>
      <c r="AY47" s="3">
        <f t="shared" si="65"/>
        <v>18</v>
      </c>
      <c r="AZ47" s="3">
        <f t="shared" si="65"/>
        <v>19</v>
      </c>
      <c r="BA47" s="3">
        <f t="shared" si="65"/>
        <v>20</v>
      </c>
      <c r="BB47" s="3">
        <f t="shared" si="65"/>
        <v>21</v>
      </c>
      <c r="BC47" s="3">
        <f t="shared" si="65"/>
        <v>22</v>
      </c>
      <c r="BD47" s="3">
        <f t="shared" si="65"/>
        <v>23</v>
      </c>
      <c r="BE47" s="3">
        <f t="shared" si="65"/>
        <v>24</v>
      </c>
      <c r="BF47" s="3">
        <f t="shared" si="65"/>
        <v>25</v>
      </c>
      <c r="BG47" s="3">
        <f t="shared" si="65"/>
        <v>26</v>
      </c>
      <c r="BH47" s="3">
        <f t="shared" si="65"/>
        <v>27</v>
      </c>
      <c r="BI47" s="3">
        <f t="shared" si="65"/>
        <v>28</v>
      </c>
      <c r="BJ47" s="46"/>
      <c r="BK47" s="4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5"/>
      <c r="CP47" s="5"/>
      <c r="CQ47" s="5"/>
      <c r="CR47" s="5"/>
    </row>
    <row r="48" spans="1:96" ht="15" hidden="1" customHeight="1" x14ac:dyDescent="0.25">
      <c r="B48" s="139">
        <v>6</v>
      </c>
      <c r="C48" s="140">
        <v>6</v>
      </c>
      <c r="D48" s="139" t="str">
        <f t="shared" si="0"/>
        <v>COUNTDOWN_EAST_B_1_21</v>
      </c>
      <c r="E48" s="140"/>
      <c r="F48" s="142" t="s">
        <v>33</v>
      </c>
      <c r="G48" s="140" t="s">
        <v>18</v>
      </c>
      <c r="H48" s="140" t="s">
        <v>3</v>
      </c>
      <c r="I48" s="140">
        <v>1</v>
      </c>
      <c r="J48" s="144"/>
      <c r="K48" s="144"/>
      <c r="L48" s="140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101"/>
      <c r="AA48" s="57"/>
      <c r="AB48" s="86"/>
      <c r="AC48" s="3"/>
      <c r="AD48" s="3"/>
      <c r="AE48" s="3"/>
      <c r="AF48" s="3"/>
      <c r="AG48" s="31"/>
      <c r="AH48" s="86"/>
      <c r="AI48" s="3"/>
      <c r="AJ48" s="3"/>
      <c r="AK48" s="3"/>
      <c r="AL48" s="6"/>
      <c r="AM48" s="6"/>
      <c r="AN48" s="46"/>
      <c r="AO48" s="46"/>
      <c r="AP48" s="56"/>
      <c r="AQ48" s="56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5"/>
      <c r="CP48" s="5"/>
      <c r="CQ48" s="5"/>
      <c r="CR48" s="5"/>
    </row>
    <row r="49" spans="2:96" hidden="1" x14ac:dyDescent="0.25">
      <c r="B49" s="139">
        <v>7</v>
      </c>
      <c r="C49" s="139">
        <v>1</v>
      </c>
      <c r="D49" s="139" t="str">
        <f t="shared" si="0"/>
        <v>SORTING_EAST_E_2_21</v>
      </c>
      <c r="E49" s="139" t="s">
        <v>35</v>
      </c>
      <c r="F49" s="138" t="s">
        <v>45</v>
      </c>
      <c r="G49" s="140" t="s">
        <v>18</v>
      </c>
      <c r="H49" s="140" t="s">
        <v>6</v>
      </c>
      <c r="I49" s="140">
        <v>2</v>
      </c>
      <c r="J49" s="139"/>
      <c r="K49" s="184">
        <f>COUNT(AB49:BB49)</f>
        <v>13</v>
      </c>
      <c r="L49" s="139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101"/>
      <c r="AA49" s="57"/>
      <c r="AB49" s="86">
        <v>1</v>
      </c>
      <c r="AC49" s="3">
        <f t="shared" ref="AC49:AN49" si="66">AB49+1</f>
        <v>2</v>
      </c>
      <c r="AD49" s="3">
        <f t="shared" si="66"/>
        <v>3</v>
      </c>
      <c r="AE49" s="3">
        <f t="shared" si="66"/>
        <v>4</v>
      </c>
      <c r="AF49" s="3">
        <f t="shared" si="66"/>
        <v>5</v>
      </c>
      <c r="AG49" s="3">
        <f t="shared" si="66"/>
        <v>6</v>
      </c>
      <c r="AH49" s="3">
        <f t="shared" si="66"/>
        <v>7</v>
      </c>
      <c r="AI49" s="3">
        <f t="shared" si="66"/>
        <v>8</v>
      </c>
      <c r="AJ49" s="3">
        <f t="shared" si="66"/>
        <v>9</v>
      </c>
      <c r="AK49" s="3">
        <f t="shared" si="66"/>
        <v>10</v>
      </c>
      <c r="AL49" s="3">
        <f t="shared" si="66"/>
        <v>11</v>
      </c>
      <c r="AM49" s="3">
        <f t="shared" si="66"/>
        <v>12</v>
      </c>
      <c r="AN49" s="3">
        <f t="shared" si="66"/>
        <v>13</v>
      </c>
      <c r="AO49" s="4"/>
      <c r="AP49" s="4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5"/>
      <c r="CP49" s="5"/>
      <c r="CQ49" s="5"/>
      <c r="CR49" s="5"/>
    </row>
    <row r="50" spans="2:96" ht="15" hidden="1" customHeight="1" x14ac:dyDescent="0.25">
      <c r="B50" s="139">
        <v>7</v>
      </c>
      <c r="C50" s="139">
        <v>2</v>
      </c>
      <c r="D50" s="139" t="str">
        <f t="shared" si="0"/>
        <v>TRANSFER_EAST_E_2_21</v>
      </c>
      <c r="E50" s="139" t="s">
        <v>21</v>
      </c>
      <c r="F50" s="138" t="s">
        <v>21</v>
      </c>
      <c r="G50" s="140" t="s">
        <v>18</v>
      </c>
      <c r="H50" s="140" t="s">
        <v>6</v>
      </c>
      <c r="I50" s="140">
        <v>2</v>
      </c>
      <c r="J50" s="139"/>
      <c r="K50" s="184">
        <f>COUNT(AB50:BB50)</f>
        <v>15</v>
      </c>
      <c r="L50" s="139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101"/>
      <c r="AA50" s="57"/>
      <c r="AB50" s="86">
        <v>1</v>
      </c>
      <c r="AC50" s="3">
        <f t="shared" ref="AC50:AP50" si="67">AB50+1</f>
        <v>2</v>
      </c>
      <c r="AD50" s="3">
        <f t="shared" si="67"/>
        <v>3</v>
      </c>
      <c r="AE50" s="3">
        <f t="shared" si="67"/>
        <v>4</v>
      </c>
      <c r="AF50" s="3">
        <f t="shared" si="67"/>
        <v>5</v>
      </c>
      <c r="AG50" s="3">
        <f t="shared" si="67"/>
        <v>6</v>
      </c>
      <c r="AH50" s="3">
        <f t="shared" si="67"/>
        <v>7</v>
      </c>
      <c r="AI50" s="3">
        <f t="shared" si="67"/>
        <v>8</v>
      </c>
      <c r="AJ50" s="3">
        <f t="shared" si="67"/>
        <v>9</v>
      </c>
      <c r="AK50" s="3">
        <f t="shared" si="67"/>
        <v>10</v>
      </c>
      <c r="AL50" s="3">
        <f t="shared" si="67"/>
        <v>11</v>
      </c>
      <c r="AM50" s="3">
        <f t="shared" si="67"/>
        <v>12</v>
      </c>
      <c r="AN50" s="3">
        <f t="shared" si="67"/>
        <v>13</v>
      </c>
      <c r="AO50" s="3">
        <f t="shared" si="67"/>
        <v>14</v>
      </c>
      <c r="AP50" s="3">
        <f t="shared" si="67"/>
        <v>15</v>
      </c>
      <c r="AQ50" s="4"/>
      <c r="AR50" s="4"/>
      <c r="AS50" s="4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5"/>
      <c r="CP50" s="5"/>
      <c r="CQ50" s="5"/>
      <c r="CR50" s="5"/>
    </row>
    <row r="51" spans="2:96" ht="15" hidden="1" customHeight="1" x14ac:dyDescent="0.25">
      <c r="B51" s="139">
        <v>7</v>
      </c>
      <c r="C51" s="139">
        <v>3</v>
      </c>
      <c r="D51" s="139" t="str">
        <f t="shared" si="0"/>
        <v>PREPARE_EAST_E_2_21</v>
      </c>
      <c r="E51" s="139" t="s">
        <v>0</v>
      </c>
      <c r="F51" s="138" t="s">
        <v>46</v>
      </c>
      <c r="G51" s="140" t="s">
        <v>18</v>
      </c>
      <c r="H51" s="140" t="s">
        <v>6</v>
      </c>
      <c r="I51" s="140">
        <v>2</v>
      </c>
      <c r="J51" s="141"/>
      <c r="K51" s="184">
        <f>COUNT(M51:BB51)</f>
        <v>33</v>
      </c>
      <c r="L51" s="139"/>
      <c r="M51" s="3">
        <v>1</v>
      </c>
      <c r="N51" s="3">
        <f t="shared" ref="N51:AS51" si="68">M51+1</f>
        <v>2</v>
      </c>
      <c r="O51" s="3">
        <f t="shared" si="68"/>
        <v>3</v>
      </c>
      <c r="P51" s="3">
        <f t="shared" si="68"/>
        <v>4</v>
      </c>
      <c r="Q51" s="3">
        <f t="shared" si="68"/>
        <v>5</v>
      </c>
      <c r="R51" s="3">
        <f t="shared" si="68"/>
        <v>6</v>
      </c>
      <c r="S51" s="3">
        <f t="shared" si="68"/>
        <v>7</v>
      </c>
      <c r="T51" s="3">
        <f t="shared" si="68"/>
        <v>8</v>
      </c>
      <c r="U51" s="3">
        <f t="shared" si="68"/>
        <v>9</v>
      </c>
      <c r="V51" s="3">
        <f t="shared" si="68"/>
        <v>10</v>
      </c>
      <c r="W51" s="3">
        <f t="shared" si="68"/>
        <v>11</v>
      </c>
      <c r="X51" s="3">
        <f t="shared" si="68"/>
        <v>12</v>
      </c>
      <c r="Y51" s="3">
        <f t="shared" si="68"/>
        <v>13</v>
      </c>
      <c r="Z51" s="3">
        <f t="shared" si="68"/>
        <v>14</v>
      </c>
      <c r="AA51" s="3">
        <f t="shared" si="68"/>
        <v>15</v>
      </c>
      <c r="AB51" s="3">
        <f t="shared" si="68"/>
        <v>16</v>
      </c>
      <c r="AC51" s="3">
        <f t="shared" si="68"/>
        <v>17</v>
      </c>
      <c r="AD51" s="3">
        <f t="shared" si="68"/>
        <v>18</v>
      </c>
      <c r="AE51" s="3">
        <f t="shared" si="68"/>
        <v>19</v>
      </c>
      <c r="AF51" s="3">
        <f t="shared" si="68"/>
        <v>20</v>
      </c>
      <c r="AG51" s="3">
        <f t="shared" si="68"/>
        <v>21</v>
      </c>
      <c r="AH51" s="3">
        <f t="shared" si="68"/>
        <v>22</v>
      </c>
      <c r="AI51" s="3">
        <f t="shared" si="68"/>
        <v>23</v>
      </c>
      <c r="AJ51" s="3">
        <f t="shared" si="68"/>
        <v>24</v>
      </c>
      <c r="AK51" s="3">
        <f t="shared" si="68"/>
        <v>25</v>
      </c>
      <c r="AL51" s="3">
        <f t="shared" si="68"/>
        <v>26</v>
      </c>
      <c r="AM51" s="3">
        <f t="shared" si="68"/>
        <v>27</v>
      </c>
      <c r="AN51" s="3">
        <f t="shared" si="68"/>
        <v>28</v>
      </c>
      <c r="AO51" s="3">
        <f t="shared" si="68"/>
        <v>29</v>
      </c>
      <c r="AP51" s="3">
        <f t="shared" si="68"/>
        <v>30</v>
      </c>
      <c r="AQ51" s="3">
        <f t="shared" si="68"/>
        <v>31</v>
      </c>
      <c r="AR51" s="3">
        <f t="shared" si="68"/>
        <v>32</v>
      </c>
      <c r="AS51" s="3">
        <f t="shared" si="68"/>
        <v>33</v>
      </c>
      <c r="AT51" s="4"/>
      <c r="AU51" s="4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5"/>
      <c r="CP51" s="5"/>
      <c r="CQ51" s="5"/>
      <c r="CR51" s="5"/>
    </row>
    <row r="52" spans="2:96" ht="15" hidden="1" customHeight="1" x14ac:dyDescent="0.25">
      <c r="B52" s="139">
        <v>7</v>
      </c>
      <c r="C52" s="139">
        <v>4</v>
      </c>
      <c r="D52" s="139" t="str">
        <f t="shared" si="0"/>
        <v>SUPPLY_EAST_E_2_21</v>
      </c>
      <c r="E52" s="139" t="s">
        <v>0</v>
      </c>
      <c r="F52" s="142" t="s">
        <v>0</v>
      </c>
      <c r="G52" s="140" t="s">
        <v>18</v>
      </c>
      <c r="H52" s="140" t="s">
        <v>6</v>
      </c>
      <c r="I52" s="140">
        <v>2</v>
      </c>
      <c r="J52" s="143"/>
      <c r="K52" s="184">
        <f>COUNT(AH52:BW52)</f>
        <v>14</v>
      </c>
      <c r="L52" s="140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101"/>
      <c r="AA52" s="57"/>
      <c r="AB52" s="133"/>
      <c r="AC52" s="46"/>
      <c r="AD52" s="46"/>
      <c r="AE52" s="46"/>
      <c r="AF52" s="46"/>
      <c r="AG52" s="57"/>
      <c r="AH52" s="86">
        <v>1</v>
      </c>
      <c r="AI52" s="3">
        <f t="shared" ref="AI52:AU52" si="69">AH52+1</f>
        <v>2</v>
      </c>
      <c r="AJ52" s="3">
        <f t="shared" si="69"/>
        <v>3</v>
      </c>
      <c r="AK52" s="3">
        <f t="shared" si="69"/>
        <v>4</v>
      </c>
      <c r="AL52" s="3">
        <f t="shared" si="69"/>
        <v>5</v>
      </c>
      <c r="AM52" s="3">
        <f t="shared" si="69"/>
        <v>6</v>
      </c>
      <c r="AN52" s="3">
        <f t="shared" si="69"/>
        <v>7</v>
      </c>
      <c r="AO52" s="3">
        <f t="shared" si="69"/>
        <v>8</v>
      </c>
      <c r="AP52" s="3">
        <f t="shared" si="69"/>
        <v>9</v>
      </c>
      <c r="AQ52" s="3">
        <f t="shared" si="69"/>
        <v>10</v>
      </c>
      <c r="AR52" s="3">
        <f t="shared" si="69"/>
        <v>11</v>
      </c>
      <c r="AS52" s="3">
        <f t="shared" si="69"/>
        <v>12</v>
      </c>
      <c r="AT52" s="3">
        <f t="shared" si="69"/>
        <v>13</v>
      </c>
      <c r="AU52" s="3">
        <f t="shared" si="69"/>
        <v>14</v>
      </c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97"/>
      <c r="BI52" s="4"/>
      <c r="BJ52" s="4"/>
      <c r="BK52" s="4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5"/>
      <c r="CP52" s="5"/>
      <c r="CQ52" s="5"/>
      <c r="CR52" s="5"/>
    </row>
    <row r="53" spans="2:96" ht="15" customHeight="1" x14ac:dyDescent="0.25">
      <c r="B53" s="139">
        <v>7</v>
      </c>
      <c r="C53" s="140">
        <v>5</v>
      </c>
      <c r="D53" s="139" t="str">
        <f t="shared" si="0"/>
        <v>EMPTY_EAST_E_2_21</v>
      </c>
      <c r="E53" s="140" t="s">
        <v>0</v>
      </c>
      <c r="F53" s="142" t="s">
        <v>32</v>
      </c>
      <c r="G53" s="140" t="s">
        <v>18</v>
      </c>
      <c r="H53" s="140" t="s">
        <v>6</v>
      </c>
      <c r="I53" s="140">
        <v>2</v>
      </c>
      <c r="J53" s="139"/>
      <c r="K53" s="184">
        <f>COUNT(AH53:BW53)</f>
        <v>30</v>
      </c>
      <c r="L53" s="139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101"/>
      <c r="AA53" s="57"/>
      <c r="AB53" s="133"/>
      <c r="AC53" s="46"/>
      <c r="AD53" s="46"/>
      <c r="AE53" s="46"/>
      <c r="AF53" s="46"/>
      <c r="AG53" s="57"/>
      <c r="AH53" s="86">
        <v>1</v>
      </c>
      <c r="AI53" s="3">
        <f t="shared" ref="AI53:BK53" si="70">AH53+1</f>
        <v>2</v>
      </c>
      <c r="AJ53" s="3">
        <f t="shared" si="70"/>
        <v>3</v>
      </c>
      <c r="AK53" s="3">
        <f t="shared" si="70"/>
        <v>4</v>
      </c>
      <c r="AL53" s="3">
        <f t="shared" si="70"/>
        <v>5</v>
      </c>
      <c r="AM53" s="3">
        <f t="shared" si="70"/>
        <v>6</v>
      </c>
      <c r="AN53" s="3">
        <f t="shared" si="70"/>
        <v>7</v>
      </c>
      <c r="AO53" s="3">
        <f t="shared" si="70"/>
        <v>8</v>
      </c>
      <c r="AP53" s="3">
        <f t="shared" si="70"/>
        <v>9</v>
      </c>
      <c r="AQ53" s="3">
        <f t="shared" si="70"/>
        <v>10</v>
      </c>
      <c r="AR53" s="3">
        <f t="shared" si="70"/>
        <v>11</v>
      </c>
      <c r="AS53" s="3">
        <f t="shared" si="70"/>
        <v>12</v>
      </c>
      <c r="AT53" s="3">
        <f t="shared" si="70"/>
        <v>13</v>
      </c>
      <c r="AU53" s="3">
        <f t="shared" si="70"/>
        <v>14</v>
      </c>
      <c r="AV53" s="3">
        <f t="shared" si="70"/>
        <v>15</v>
      </c>
      <c r="AW53" s="3">
        <f t="shared" si="70"/>
        <v>16</v>
      </c>
      <c r="AX53" s="3">
        <f t="shared" si="70"/>
        <v>17</v>
      </c>
      <c r="AY53" s="3">
        <f t="shared" si="70"/>
        <v>18</v>
      </c>
      <c r="AZ53" s="3">
        <f t="shared" si="70"/>
        <v>19</v>
      </c>
      <c r="BA53" s="3">
        <f t="shared" si="70"/>
        <v>20</v>
      </c>
      <c r="BB53" s="3">
        <f t="shared" si="70"/>
        <v>21</v>
      </c>
      <c r="BC53" s="3">
        <f t="shared" si="70"/>
        <v>22</v>
      </c>
      <c r="BD53" s="3">
        <f t="shared" si="70"/>
        <v>23</v>
      </c>
      <c r="BE53" s="3">
        <f t="shared" si="70"/>
        <v>24</v>
      </c>
      <c r="BF53" s="3">
        <f t="shared" si="70"/>
        <v>25</v>
      </c>
      <c r="BG53" s="3">
        <f t="shared" si="70"/>
        <v>26</v>
      </c>
      <c r="BH53" s="3">
        <f t="shared" si="70"/>
        <v>27</v>
      </c>
      <c r="BI53" s="3">
        <f t="shared" si="70"/>
        <v>28</v>
      </c>
      <c r="BJ53" s="3">
        <f t="shared" si="70"/>
        <v>29</v>
      </c>
      <c r="BK53" s="3">
        <f t="shared" si="70"/>
        <v>30</v>
      </c>
      <c r="BL53" s="46"/>
      <c r="BM53" s="4"/>
      <c r="BN53" s="4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5"/>
      <c r="CP53" s="5"/>
      <c r="CQ53" s="5"/>
      <c r="CR53" s="5"/>
    </row>
    <row r="54" spans="2:96" ht="15" hidden="1" customHeight="1" x14ac:dyDescent="0.25">
      <c r="B54" s="139">
        <v>7</v>
      </c>
      <c r="C54" s="140">
        <v>6</v>
      </c>
      <c r="D54" s="139" t="str">
        <f t="shared" si="0"/>
        <v>COUNTDOWN_EAST_E_2_21</v>
      </c>
      <c r="E54" s="140"/>
      <c r="F54" s="142" t="s">
        <v>33</v>
      </c>
      <c r="G54" s="140" t="s">
        <v>18</v>
      </c>
      <c r="H54" s="140" t="s">
        <v>6</v>
      </c>
      <c r="I54" s="140">
        <v>2</v>
      </c>
      <c r="J54" s="144"/>
      <c r="K54" s="144"/>
      <c r="L54" s="140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101"/>
      <c r="AA54" s="57"/>
      <c r="AB54" s="86"/>
      <c r="AC54" s="3"/>
      <c r="AD54" s="3"/>
      <c r="AE54" s="3"/>
      <c r="AF54" s="3"/>
      <c r="AG54" s="31"/>
      <c r="AH54" s="86"/>
      <c r="AI54" s="3"/>
      <c r="AJ54" s="3"/>
      <c r="AK54" s="3"/>
      <c r="AL54" s="3"/>
      <c r="AM54" s="3"/>
      <c r="AN54" s="6"/>
      <c r="AO54" s="6"/>
      <c r="AP54" s="46"/>
      <c r="AQ54" s="46"/>
      <c r="AR54" s="56"/>
      <c r="AS54" s="56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5"/>
      <c r="CP54" s="5"/>
      <c r="CQ54" s="5"/>
      <c r="CR54" s="5"/>
    </row>
    <row r="55" spans="2:96" hidden="1" x14ac:dyDescent="0.25">
      <c r="B55" s="139">
        <v>8</v>
      </c>
      <c r="C55" s="139">
        <v>1</v>
      </c>
      <c r="D55" s="139" t="str">
        <f t="shared" si="0"/>
        <v>SORTING_EAST_D_1_21</v>
      </c>
      <c r="E55" s="139" t="s">
        <v>35</v>
      </c>
      <c r="F55" s="138" t="s">
        <v>45</v>
      </c>
      <c r="G55" s="140" t="s">
        <v>18</v>
      </c>
      <c r="H55" s="140" t="s">
        <v>47</v>
      </c>
      <c r="I55" s="140">
        <v>1</v>
      </c>
      <c r="J55" s="139"/>
      <c r="K55" s="184">
        <f>COUNT(AB55:BB55)</f>
        <v>15</v>
      </c>
      <c r="L55" s="139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101"/>
      <c r="AA55" s="57"/>
      <c r="AB55" s="86">
        <v>1</v>
      </c>
      <c r="AC55" s="3">
        <f t="shared" ref="AC55:AP55" si="71">AB55+1</f>
        <v>2</v>
      </c>
      <c r="AD55" s="3">
        <f t="shared" si="71"/>
        <v>3</v>
      </c>
      <c r="AE55" s="3">
        <f t="shared" si="71"/>
        <v>4</v>
      </c>
      <c r="AF55" s="3">
        <f t="shared" si="71"/>
        <v>5</v>
      </c>
      <c r="AG55" s="3">
        <f t="shared" si="71"/>
        <v>6</v>
      </c>
      <c r="AH55" s="3">
        <f t="shared" si="71"/>
        <v>7</v>
      </c>
      <c r="AI55" s="3">
        <f t="shared" si="71"/>
        <v>8</v>
      </c>
      <c r="AJ55" s="3">
        <f t="shared" si="71"/>
        <v>9</v>
      </c>
      <c r="AK55" s="3">
        <f t="shared" si="71"/>
        <v>10</v>
      </c>
      <c r="AL55" s="3">
        <f t="shared" si="71"/>
        <v>11</v>
      </c>
      <c r="AM55" s="3">
        <f t="shared" si="71"/>
        <v>12</v>
      </c>
      <c r="AN55" s="3">
        <f t="shared" si="71"/>
        <v>13</v>
      </c>
      <c r="AO55" s="3">
        <f t="shared" si="71"/>
        <v>14</v>
      </c>
      <c r="AP55" s="3">
        <f t="shared" si="71"/>
        <v>15</v>
      </c>
      <c r="AQ55" s="4"/>
      <c r="AR55" s="4"/>
      <c r="AS55" s="4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5"/>
      <c r="CP55" s="5"/>
      <c r="CQ55" s="5"/>
      <c r="CR55" s="5"/>
    </row>
    <row r="56" spans="2:96" ht="15" hidden="1" customHeight="1" x14ac:dyDescent="0.25">
      <c r="B56" s="139">
        <v>8</v>
      </c>
      <c r="C56" s="139">
        <v>2</v>
      </c>
      <c r="D56" s="139" t="str">
        <f t="shared" si="0"/>
        <v>TRANSFER_EAST_D_1_21</v>
      </c>
      <c r="E56" s="139" t="s">
        <v>21</v>
      </c>
      <c r="F56" s="138" t="s">
        <v>21</v>
      </c>
      <c r="G56" s="140" t="s">
        <v>18</v>
      </c>
      <c r="H56" s="140" t="s">
        <v>47</v>
      </c>
      <c r="I56" s="140">
        <v>1</v>
      </c>
      <c r="J56" s="139"/>
      <c r="K56" s="184">
        <f>COUNT(AB56:BB56)</f>
        <v>18</v>
      </c>
      <c r="L56" s="139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101"/>
      <c r="AA56" s="57"/>
      <c r="AB56" s="86">
        <v>1</v>
      </c>
      <c r="AC56" s="3">
        <f t="shared" ref="AC56:AS56" si="72">AB56+1</f>
        <v>2</v>
      </c>
      <c r="AD56" s="3">
        <f t="shared" si="72"/>
        <v>3</v>
      </c>
      <c r="AE56" s="3">
        <f t="shared" si="72"/>
        <v>4</v>
      </c>
      <c r="AF56" s="3">
        <f t="shared" si="72"/>
        <v>5</v>
      </c>
      <c r="AG56" s="3">
        <f t="shared" si="72"/>
        <v>6</v>
      </c>
      <c r="AH56" s="3">
        <f t="shared" si="72"/>
        <v>7</v>
      </c>
      <c r="AI56" s="3">
        <f t="shared" si="72"/>
        <v>8</v>
      </c>
      <c r="AJ56" s="3">
        <f t="shared" si="72"/>
        <v>9</v>
      </c>
      <c r="AK56" s="3">
        <f t="shared" si="72"/>
        <v>10</v>
      </c>
      <c r="AL56" s="3">
        <f t="shared" si="72"/>
        <v>11</v>
      </c>
      <c r="AM56" s="3">
        <f t="shared" si="72"/>
        <v>12</v>
      </c>
      <c r="AN56" s="3">
        <f t="shared" si="72"/>
        <v>13</v>
      </c>
      <c r="AO56" s="3">
        <f t="shared" si="72"/>
        <v>14</v>
      </c>
      <c r="AP56" s="3">
        <f t="shared" si="72"/>
        <v>15</v>
      </c>
      <c r="AQ56" s="3">
        <f t="shared" si="72"/>
        <v>16</v>
      </c>
      <c r="AR56" s="3">
        <f t="shared" si="72"/>
        <v>17</v>
      </c>
      <c r="AS56" s="3">
        <f t="shared" si="72"/>
        <v>18</v>
      </c>
      <c r="AT56" s="4"/>
      <c r="AU56" s="4"/>
      <c r="AV56" s="4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5"/>
      <c r="CP56" s="5"/>
      <c r="CQ56" s="5"/>
      <c r="CR56" s="5"/>
    </row>
    <row r="57" spans="2:96" ht="15" hidden="1" customHeight="1" x14ac:dyDescent="0.25">
      <c r="B57" s="139">
        <v>8</v>
      </c>
      <c r="C57" s="139">
        <v>3</v>
      </c>
      <c r="D57" s="139" t="str">
        <f t="shared" si="0"/>
        <v>PREPARE_EAST_D_1_21</v>
      </c>
      <c r="E57" s="139" t="s">
        <v>0</v>
      </c>
      <c r="F57" s="138" t="s">
        <v>46</v>
      </c>
      <c r="G57" s="140" t="s">
        <v>18</v>
      </c>
      <c r="H57" s="140" t="s">
        <v>47</v>
      </c>
      <c r="I57" s="140">
        <v>1</v>
      </c>
      <c r="J57" s="141"/>
      <c r="K57" s="184">
        <f>COUNT(M57:BB57)</f>
        <v>35</v>
      </c>
      <c r="L57" s="139"/>
      <c r="M57" s="3">
        <v>1</v>
      </c>
      <c r="N57" s="3">
        <f t="shared" ref="N57:AU57" si="73">M57+1</f>
        <v>2</v>
      </c>
      <c r="O57" s="3">
        <f t="shared" si="73"/>
        <v>3</v>
      </c>
      <c r="P57" s="3">
        <f t="shared" si="73"/>
        <v>4</v>
      </c>
      <c r="Q57" s="3">
        <f t="shared" si="73"/>
        <v>5</v>
      </c>
      <c r="R57" s="3">
        <f t="shared" si="73"/>
        <v>6</v>
      </c>
      <c r="S57" s="3">
        <f t="shared" si="73"/>
        <v>7</v>
      </c>
      <c r="T57" s="3">
        <f t="shared" si="73"/>
        <v>8</v>
      </c>
      <c r="U57" s="3">
        <f t="shared" si="73"/>
        <v>9</v>
      </c>
      <c r="V57" s="3">
        <f t="shared" si="73"/>
        <v>10</v>
      </c>
      <c r="W57" s="3">
        <f t="shared" si="73"/>
        <v>11</v>
      </c>
      <c r="X57" s="3">
        <f t="shared" si="73"/>
        <v>12</v>
      </c>
      <c r="Y57" s="3">
        <f t="shared" si="73"/>
        <v>13</v>
      </c>
      <c r="Z57" s="3">
        <f t="shared" si="73"/>
        <v>14</v>
      </c>
      <c r="AA57" s="3">
        <f t="shared" si="73"/>
        <v>15</v>
      </c>
      <c r="AB57" s="3">
        <f t="shared" si="73"/>
        <v>16</v>
      </c>
      <c r="AC57" s="3">
        <f t="shared" si="73"/>
        <v>17</v>
      </c>
      <c r="AD57" s="3">
        <f t="shared" si="73"/>
        <v>18</v>
      </c>
      <c r="AE57" s="3">
        <f t="shared" si="73"/>
        <v>19</v>
      </c>
      <c r="AF57" s="3">
        <f t="shared" si="73"/>
        <v>20</v>
      </c>
      <c r="AG57" s="3">
        <f t="shared" si="73"/>
        <v>21</v>
      </c>
      <c r="AH57" s="3">
        <f t="shared" si="73"/>
        <v>22</v>
      </c>
      <c r="AI57" s="3">
        <f t="shared" si="73"/>
        <v>23</v>
      </c>
      <c r="AJ57" s="3">
        <f t="shared" si="73"/>
        <v>24</v>
      </c>
      <c r="AK57" s="3">
        <f t="shared" si="73"/>
        <v>25</v>
      </c>
      <c r="AL57" s="3">
        <f t="shared" si="73"/>
        <v>26</v>
      </c>
      <c r="AM57" s="3">
        <f t="shared" si="73"/>
        <v>27</v>
      </c>
      <c r="AN57" s="3">
        <f t="shared" si="73"/>
        <v>28</v>
      </c>
      <c r="AO57" s="3">
        <f t="shared" si="73"/>
        <v>29</v>
      </c>
      <c r="AP57" s="3">
        <f t="shared" si="73"/>
        <v>30</v>
      </c>
      <c r="AQ57" s="3">
        <f t="shared" si="73"/>
        <v>31</v>
      </c>
      <c r="AR57" s="3">
        <f t="shared" si="73"/>
        <v>32</v>
      </c>
      <c r="AS57" s="3">
        <f t="shared" si="73"/>
        <v>33</v>
      </c>
      <c r="AT57" s="3">
        <f t="shared" si="73"/>
        <v>34</v>
      </c>
      <c r="AU57" s="3">
        <f t="shared" si="73"/>
        <v>35</v>
      </c>
      <c r="AV57" s="4"/>
      <c r="AW57" s="4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5"/>
      <c r="CP57" s="5"/>
      <c r="CQ57" s="5"/>
      <c r="CR57" s="5"/>
    </row>
    <row r="58" spans="2:96" ht="15" hidden="1" customHeight="1" x14ac:dyDescent="0.25">
      <c r="B58" s="139">
        <v>8</v>
      </c>
      <c r="C58" s="139">
        <v>4</v>
      </c>
      <c r="D58" s="139" t="str">
        <f t="shared" si="0"/>
        <v>SUPPLY_EAST_D_1_21</v>
      </c>
      <c r="E58" s="139" t="s">
        <v>0</v>
      </c>
      <c r="F58" s="142" t="s">
        <v>0</v>
      </c>
      <c r="G58" s="140" t="s">
        <v>18</v>
      </c>
      <c r="H58" s="140" t="s">
        <v>47</v>
      </c>
      <c r="I58" s="140">
        <v>1</v>
      </c>
      <c r="J58" s="143"/>
      <c r="K58" s="184">
        <f>COUNT(AH58:BW58)</f>
        <v>16</v>
      </c>
      <c r="L58" s="140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101"/>
      <c r="AA58" s="57"/>
      <c r="AB58" s="133"/>
      <c r="AC58" s="46"/>
      <c r="AD58" s="46"/>
      <c r="AE58" s="46"/>
      <c r="AF58" s="46"/>
      <c r="AG58" s="57"/>
      <c r="AH58" s="86">
        <v>1</v>
      </c>
      <c r="AI58" s="3">
        <f t="shared" ref="AI58:AW58" si="74">AH58+1</f>
        <v>2</v>
      </c>
      <c r="AJ58" s="3">
        <f t="shared" si="74"/>
        <v>3</v>
      </c>
      <c r="AK58" s="3">
        <f t="shared" si="74"/>
        <v>4</v>
      </c>
      <c r="AL58" s="3">
        <f t="shared" si="74"/>
        <v>5</v>
      </c>
      <c r="AM58" s="3">
        <f t="shared" si="74"/>
        <v>6</v>
      </c>
      <c r="AN58" s="3">
        <f t="shared" si="74"/>
        <v>7</v>
      </c>
      <c r="AO58" s="3">
        <f t="shared" si="74"/>
        <v>8</v>
      </c>
      <c r="AP58" s="3">
        <f t="shared" si="74"/>
        <v>9</v>
      </c>
      <c r="AQ58" s="3">
        <f t="shared" si="74"/>
        <v>10</v>
      </c>
      <c r="AR58" s="3">
        <f t="shared" si="74"/>
        <v>11</v>
      </c>
      <c r="AS58" s="3">
        <f t="shared" si="74"/>
        <v>12</v>
      </c>
      <c r="AT58" s="3">
        <f t="shared" si="74"/>
        <v>13</v>
      </c>
      <c r="AU58" s="3">
        <f t="shared" si="74"/>
        <v>14</v>
      </c>
      <c r="AV58" s="3">
        <f t="shared" si="74"/>
        <v>15</v>
      </c>
      <c r="AW58" s="3">
        <f t="shared" si="74"/>
        <v>16</v>
      </c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97"/>
      <c r="BL58" s="4"/>
      <c r="BM58" s="4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5"/>
      <c r="CP58" s="5"/>
      <c r="CQ58" s="5"/>
      <c r="CR58" s="5"/>
    </row>
    <row r="59" spans="2:96" ht="15" customHeight="1" x14ac:dyDescent="0.25">
      <c r="B59" s="139">
        <v>8</v>
      </c>
      <c r="C59" s="140">
        <v>5</v>
      </c>
      <c r="D59" s="139" t="str">
        <f t="shared" si="0"/>
        <v>EMPTY_EAST_D_1_21</v>
      </c>
      <c r="E59" s="140" t="s">
        <v>0</v>
      </c>
      <c r="F59" s="142" t="s">
        <v>32</v>
      </c>
      <c r="G59" s="140" t="s">
        <v>18</v>
      </c>
      <c r="H59" s="140" t="s">
        <v>47</v>
      </c>
      <c r="I59" s="140">
        <v>1</v>
      </c>
      <c r="J59" s="139"/>
      <c r="K59" s="184">
        <f>COUNT(AH59:BW59)</f>
        <v>32</v>
      </c>
      <c r="L59" s="139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101"/>
      <c r="AA59" s="57"/>
      <c r="AB59" s="133"/>
      <c r="AC59" s="46"/>
      <c r="AD59" s="46"/>
      <c r="AE59" s="46"/>
      <c r="AF59" s="46"/>
      <c r="AG59" s="57"/>
      <c r="AH59" s="86">
        <v>1</v>
      </c>
      <c r="AI59" s="3">
        <f t="shared" ref="AI59:BM59" si="75">AH59+1</f>
        <v>2</v>
      </c>
      <c r="AJ59" s="3">
        <f t="shared" si="75"/>
        <v>3</v>
      </c>
      <c r="AK59" s="3">
        <f t="shared" si="75"/>
        <v>4</v>
      </c>
      <c r="AL59" s="3">
        <f t="shared" si="75"/>
        <v>5</v>
      </c>
      <c r="AM59" s="3">
        <f t="shared" si="75"/>
        <v>6</v>
      </c>
      <c r="AN59" s="3">
        <f t="shared" si="75"/>
        <v>7</v>
      </c>
      <c r="AO59" s="3">
        <f t="shared" si="75"/>
        <v>8</v>
      </c>
      <c r="AP59" s="3">
        <f t="shared" si="75"/>
        <v>9</v>
      </c>
      <c r="AQ59" s="3">
        <f t="shared" si="75"/>
        <v>10</v>
      </c>
      <c r="AR59" s="3">
        <f t="shared" si="75"/>
        <v>11</v>
      </c>
      <c r="AS59" s="3">
        <f t="shared" si="75"/>
        <v>12</v>
      </c>
      <c r="AT59" s="3">
        <f t="shared" si="75"/>
        <v>13</v>
      </c>
      <c r="AU59" s="3">
        <f t="shared" si="75"/>
        <v>14</v>
      </c>
      <c r="AV59" s="3">
        <f t="shared" si="75"/>
        <v>15</v>
      </c>
      <c r="AW59" s="3">
        <f t="shared" si="75"/>
        <v>16</v>
      </c>
      <c r="AX59" s="3">
        <f t="shared" si="75"/>
        <v>17</v>
      </c>
      <c r="AY59" s="3">
        <f t="shared" si="75"/>
        <v>18</v>
      </c>
      <c r="AZ59" s="3">
        <f t="shared" si="75"/>
        <v>19</v>
      </c>
      <c r="BA59" s="3">
        <f t="shared" si="75"/>
        <v>20</v>
      </c>
      <c r="BB59" s="3">
        <f t="shared" si="75"/>
        <v>21</v>
      </c>
      <c r="BC59" s="3">
        <f t="shared" si="75"/>
        <v>22</v>
      </c>
      <c r="BD59" s="3">
        <f t="shared" si="75"/>
        <v>23</v>
      </c>
      <c r="BE59" s="3">
        <f t="shared" si="75"/>
        <v>24</v>
      </c>
      <c r="BF59" s="3">
        <f t="shared" si="75"/>
        <v>25</v>
      </c>
      <c r="BG59" s="3">
        <f t="shared" si="75"/>
        <v>26</v>
      </c>
      <c r="BH59" s="3">
        <f t="shared" si="75"/>
        <v>27</v>
      </c>
      <c r="BI59" s="3">
        <f t="shared" si="75"/>
        <v>28</v>
      </c>
      <c r="BJ59" s="3">
        <f t="shared" si="75"/>
        <v>29</v>
      </c>
      <c r="BK59" s="3">
        <f t="shared" si="75"/>
        <v>30</v>
      </c>
      <c r="BL59" s="3">
        <f t="shared" si="75"/>
        <v>31</v>
      </c>
      <c r="BM59" s="3">
        <f t="shared" si="75"/>
        <v>32</v>
      </c>
      <c r="BN59" s="46"/>
      <c r="BO59" s="4"/>
      <c r="BP59" s="4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5"/>
      <c r="CP59" s="5"/>
      <c r="CQ59" s="5"/>
      <c r="CR59" s="5"/>
    </row>
    <row r="60" spans="2:96" ht="15" hidden="1" customHeight="1" x14ac:dyDescent="0.25">
      <c r="B60" s="139">
        <v>8</v>
      </c>
      <c r="C60" s="140">
        <v>6</v>
      </c>
      <c r="D60" s="139" t="str">
        <f t="shared" si="0"/>
        <v>COUNTDOWN_EAST_D_1_21</v>
      </c>
      <c r="E60" s="140"/>
      <c r="F60" s="142" t="s">
        <v>33</v>
      </c>
      <c r="G60" s="140" t="s">
        <v>18</v>
      </c>
      <c r="H60" s="140" t="s">
        <v>47</v>
      </c>
      <c r="I60" s="140">
        <v>1</v>
      </c>
      <c r="J60" s="144"/>
      <c r="K60" s="144"/>
      <c r="L60" s="140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101"/>
      <c r="AA60" s="57"/>
      <c r="AB60" s="86"/>
      <c r="AC60" s="3"/>
      <c r="AD60" s="3"/>
      <c r="AE60" s="3"/>
      <c r="AF60" s="3"/>
      <c r="AG60" s="31"/>
      <c r="AH60" s="86"/>
      <c r="AI60" s="3"/>
      <c r="AJ60" s="3"/>
      <c r="AK60" s="3"/>
      <c r="AL60" s="3"/>
      <c r="AM60" s="3"/>
      <c r="AN60" s="3"/>
      <c r="AO60" s="3"/>
      <c r="AP60" s="6"/>
      <c r="AQ60" s="6"/>
      <c r="AR60" s="46"/>
      <c r="AS60" s="46"/>
      <c r="AT60" s="56"/>
      <c r="AU60" s="56"/>
      <c r="AV60" s="56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5"/>
      <c r="CP60" s="5"/>
      <c r="CQ60" s="5"/>
      <c r="CR60" s="5"/>
    </row>
    <row r="61" spans="2:96" hidden="1" x14ac:dyDescent="0.25">
      <c r="B61" s="139">
        <v>10</v>
      </c>
      <c r="C61" s="139">
        <v>1</v>
      </c>
      <c r="D61" s="139" t="str">
        <f t="shared" si="0"/>
        <v>SORTING_EAST_K_2_21</v>
      </c>
      <c r="E61" s="139" t="s">
        <v>35</v>
      </c>
      <c r="F61" s="138" t="s">
        <v>45</v>
      </c>
      <c r="G61" s="140" t="s">
        <v>18</v>
      </c>
      <c r="H61" s="140" t="s">
        <v>12</v>
      </c>
      <c r="I61" s="140">
        <v>2</v>
      </c>
      <c r="J61" s="139"/>
      <c r="K61" s="184">
        <f>COUNT(AB61:BB61)</f>
        <v>18</v>
      </c>
      <c r="L61" s="139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101"/>
      <c r="AA61" s="57"/>
      <c r="AB61" s="86">
        <v>1</v>
      </c>
      <c r="AC61" s="3">
        <f t="shared" ref="AC61:AS61" si="76">AB61+1</f>
        <v>2</v>
      </c>
      <c r="AD61" s="3">
        <f t="shared" si="76"/>
        <v>3</v>
      </c>
      <c r="AE61" s="3">
        <f t="shared" si="76"/>
        <v>4</v>
      </c>
      <c r="AF61" s="3">
        <f t="shared" si="76"/>
        <v>5</v>
      </c>
      <c r="AG61" s="3">
        <f t="shared" si="76"/>
        <v>6</v>
      </c>
      <c r="AH61" s="3">
        <f t="shared" si="76"/>
        <v>7</v>
      </c>
      <c r="AI61" s="3">
        <f t="shared" si="76"/>
        <v>8</v>
      </c>
      <c r="AJ61" s="3">
        <f t="shared" si="76"/>
        <v>9</v>
      </c>
      <c r="AK61" s="3">
        <f t="shared" si="76"/>
        <v>10</v>
      </c>
      <c r="AL61" s="3">
        <f t="shared" si="76"/>
        <v>11</v>
      </c>
      <c r="AM61" s="3">
        <f t="shared" si="76"/>
        <v>12</v>
      </c>
      <c r="AN61" s="3">
        <f t="shared" si="76"/>
        <v>13</v>
      </c>
      <c r="AO61" s="3">
        <f t="shared" si="76"/>
        <v>14</v>
      </c>
      <c r="AP61" s="3">
        <f t="shared" si="76"/>
        <v>15</v>
      </c>
      <c r="AQ61" s="3">
        <f t="shared" si="76"/>
        <v>16</v>
      </c>
      <c r="AR61" s="3">
        <f t="shared" si="76"/>
        <v>17</v>
      </c>
      <c r="AS61" s="3">
        <f t="shared" si="76"/>
        <v>18</v>
      </c>
      <c r="AT61" s="4"/>
      <c r="AU61" s="4"/>
      <c r="AV61" s="4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5"/>
      <c r="CP61" s="5"/>
      <c r="CQ61" s="5"/>
      <c r="CR61" s="5"/>
    </row>
    <row r="62" spans="2:96" ht="15" hidden="1" customHeight="1" x14ac:dyDescent="0.25">
      <c r="B62" s="139">
        <v>10</v>
      </c>
      <c r="C62" s="139">
        <v>2</v>
      </c>
      <c r="D62" s="139" t="str">
        <f t="shared" si="0"/>
        <v>TRANSFER_EAST_K_2_21</v>
      </c>
      <c r="E62" s="139" t="s">
        <v>21</v>
      </c>
      <c r="F62" s="138" t="s">
        <v>21</v>
      </c>
      <c r="G62" s="140" t="s">
        <v>18</v>
      </c>
      <c r="H62" s="140" t="s">
        <v>12</v>
      </c>
      <c r="I62" s="140">
        <v>2</v>
      </c>
      <c r="J62" s="139"/>
      <c r="K62" s="184">
        <f>COUNT(AB62:BB62)</f>
        <v>21</v>
      </c>
      <c r="L62" s="139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101"/>
      <c r="AA62" s="57"/>
      <c r="AB62" s="86">
        <v>1</v>
      </c>
      <c r="AC62" s="3">
        <f t="shared" ref="AC62:AV62" si="77">AB62+1</f>
        <v>2</v>
      </c>
      <c r="AD62" s="3">
        <f t="shared" si="77"/>
        <v>3</v>
      </c>
      <c r="AE62" s="3">
        <f t="shared" si="77"/>
        <v>4</v>
      </c>
      <c r="AF62" s="3">
        <f t="shared" si="77"/>
        <v>5</v>
      </c>
      <c r="AG62" s="3">
        <f t="shared" si="77"/>
        <v>6</v>
      </c>
      <c r="AH62" s="3">
        <f t="shared" si="77"/>
        <v>7</v>
      </c>
      <c r="AI62" s="3">
        <f t="shared" si="77"/>
        <v>8</v>
      </c>
      <c r="AJ62" s="3">
        <f t="shared" si="77"/>
        <v>9</v>
      </c>
      <c r="AK62" s="3">
        <f t="shared" si="77"/>
        <v>10</v>
      </c>
      <c r="AL62" s="3">
        <f t="shared" si="77"/>
        <v>11</v>
      </c>
      <c r="AM62" s="3">
        <f t="shared" si="77"/>
        <v>12</v>
      </c>
      <c r="AN62" s="3">
        <f t="shared" si="77"/>
        <v>13</v>
      </c>
      <c r="AO62" s="3">
        <f t="shared" si="77"/>
        <v>14</v>
      </c>
      <c r="AP62" s="3">
        <f t="shared" si="77"/>
        <v>15</v>
      </c>
      <c r="AQ62" s="3">
        <f t="shared" si="77"/>
        <v>16</v>
      </c>
      <c r="AR62" s="3">
        <f t="shared" si="77"/>
        <v>17</v>
      </c>
      <c r="AS62" s="3">
        <f t="shared" si="77"/>
        <v>18</v>
      </c>
      <c r="AT62" s="3">
        <f t="shared" si="77"/>
        <v>19</v>
      </c>
      <c r="AU62" s="3">
        <f t="shared" si="77"/>
        <v>20</v>
      </c>
      <c r="AV62" s="3">
        <f t="shared" si="77"/>
        <v>21</v>
      </c>
      <c r="AW62" s="4"/>
      <c r="AX62" s="4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5"/>
      <c r="CP62" s="5"/>
      <c r="CQ62" s="5"/>
      <c r="CR62" s="5"/>
    </row>
    <row r="63" spans="2:96" ht="15" hidden="1" customHeight="1" x14ac:dyDescent="0.25">
      <c r="B63" s="139">
        <v>10</v>
      </c>
      <c r="C63" s="139">
        <v>3</v>
      </c>
      <c r="D63" s="139" t="str">
        <f t="shared" si="0"/>
        <v>PREPARE_EAST_K_2_21</v>
      </c>
      <c r="E63" s="139" t="s">
        <v>0</v>
      </c>
      <c r="F63" s="138" t="s">
        <v>46</v>
      </c>
      <c r="G63" s="140" t="s">
        <v>18</v>
      </c>
      <c r="H63" s="140" t="s">
        <v>12</v>
      </c>
      <c r="I63" s="140">
        <v>2</v>
      </c>
      <c r="J63" s="141"/>
      <c r="K63" s="184">
        <f>COUNT(M63:BB63)</f>
        <v>38</v>
      </c>
      <c r="L63" s="139"/>
      <c r="M63" s="3">
        <v>1</v>
      </c>
      <c r="N63" s="3">
        <f t="shared" ref="N63:AX63" si="78">M63+1</f>
        <v>2</v>
      </c>
      <c r="O63" s="3">
        <f t="shared" si="78"/>
        <v>3</v>
      </c>
      <c r="P63" s="3">
        <f t="shared" si="78"/>
        <v>4</v>
      </c>
      <c r="Q63" s="3">
        <f t="shared" si="78"/>
        <v>5</v>
      </c>
      <c r="R63" s="3">
        <f t="shared" si="78"/>
        <v>6</v>
      </c>
      <c r="S63" s="3">
        <f t="shared" si="78"/>
        <v>7</v>
      </c>
      <c r="T63" s="3">
        <f t="shared" si="78"/>
        <v>8</v>
      </c>
      <c r="U63" s="3">
        <f t="shared" si="78"/>
        <v>9</v>
      </c>
      <c r="V63" s="3">
        <f t="shared" si="78"/>
        <v>10</v>
      </c>
      <c r="W63" s="3">
        <f t="shared" si="78"/>
        <v>11</v>
      </c>
      <c r="X63" s="3">
        <f t="shared" si="78"/>
        <v>12</v>
      </c>
      <c r="Y63" s="3">
        <f t="shared" si="78"/>
        <v>13</v>
      </c>
      <c r="Z63" s="3">
        <f t="shared" si="78"/>
        <v>14</v>
      </c>
      <c r="AA63" s="3">
        <f t="shared" si="78"/>
        <v>15</v>
      </c>
      <c r="AB63" s="3">
        <f t="shared" si="78"/>
        <v>16</v>
      </c>
      <c r="AC63" s="3">
        <f t="shared" si="78"/>
        <v>17</v>
      </c>
      <c r="AD63" s="3">
        <f t="shared" si="78"/>
        <v>18</v>
      </c>
      <c r="AE63" s="3">
        <f t="shared" si="78"/>
        <v>19</v>
      </c>
      <c r="AF63" s="3">
        <f t="shared" si="78"/>
        <v>20</v>
      </c>
      <c r="AG63" s="3">
        <f t="shared" si="78"/>
        <v>21</v>
      </c>
      <c r="AH63" s="3">
        <f t="shared" si="78"/>
        <v>22</v>
      </c>
      <c r="AI63" s="3">
        <f t="shared" si="78"/>
        <v>23</v>
      </c>
      <c r="AJ63" s="3">
        <f t="shared" si="78"/>
        <v>24</v>
      </c>
      <c r="AK63" s="3">
        <f t="shared" si="78"/>
        <v>25</v>
      </c>
      <c r="AL63" s="3">
        <f t="shared" si="78"/>
        <v>26</v>
      </c>
      <c r="AM63" s="3">
        <f t="shared" si="78"/>
        <v>27</v>
      </c>
      <c r="AN63" s="3">
        <f t="shared" si="78"/>
        <v>28</v>
      </c>
      <c r="AO63" s="3">
        <f t="shared" si="78"/>
        <v>29</v>
      </c>
      <c r="AP63" s="3">
        <f t="shared" si="78"/>
        <v>30</v>
      </c>
      <c r="AQ63" s="3">
        <f t="shared" si="78"/>
        <v>31</v>
      </c>
      <c r="AR63" s="3">
        <f t="shared" si="78"/>
        <v>32</v>
      </c>
      <c r="AS63" s="3">
        <f t="shared" si="78"/>
        <v>33</v>
      </c>
      <c r="AT63" s="3">
        <f t="shared" si="78"/>
        <v>34</v>
      </c>
      <c r="AU63" s="3">
        <f t="shared" si="78"/>
        <v>35</v>
      </c>
      <c r="AV63" s="3">
        <f t="shared" si="78"/>
        <v>36</v>
      </c>
      <c r="AW63" s="3">
        <f t="shared" si="78"/>
        <v>37</v>
      </c>
      <c r="AX63" s="3">
        <f t="shared" si="78"/>
        <v>38</v>
      </c>
      <c r="AY63" s="4"/>
      <c r="AZ63" s="4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5"/>
      <c r="CP63" s="5"/>
      <c r="CQ63" s="5"/>
      <c r="CR63" s="5"/>
    </row>
    <row r="64" spans="2:96" ht="15" hidden="1" customHeight="1" x14ac:dyDescent="0.25">
      <c r="B64" s="139">
        <v>10</v>
      </c>
      <c r="C64" s="139">
        <v>4</v>
      </c>
      <c r="D64" s="139" t="str">
        <f t="shared" si="0"/>
        <v>SUPPLY_EAST_K_2_21</v>
      </c>
      <c r="E64" s="139" t="s">
        <v>0</v>
      </c>
      <c r="F64" s="142" t="s">
        <v>0</v>
      </c>
      <c r="G64" s="140" t="s">
        <v>18</v>
      </c>
      <c r="H64" s="140" t="s">
        <v>12</v>
      </c>
      <c r="I64" s="140">
        <v>2</v>
      </c>
      <c r="J64" s="143"/>
      <c r="K64" s="184">
        <f>COUNT(AH64:BW64)</f>
        <v>19</v>
      </c>
      <c r="L64" s="140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101"/>
      <c r="AA64" s="57"/>
      <c r="AB64" s="133"/>
      <c r="AC64" s="46"/>
      <c r="AD64" s="46"/>
      <c r="AE64" s="46"/>
      <c r="AF64" s="46"/>
      <c r="AG64" s="57"/>
      <c r="AH64" s="86">
        <v>1</v>
      </c>
      <c r="AI64" s="3">
        <f t="shared" ref="AI64:AZ64" si="79">AH64+1</f>
        <v>2</v>
      </c>
      <c r="AJ64" s="3">
        <f t="shared" si="79"/>
        <v>3</v>
      </c>
      <c r="AK64" s="3">
        <f t="shared" si="79"/>
        <v>4</v>
      </c>
      <c r="AL64" s="3">
        <f t="shared" si="79"/>
        <v>5</v>
      </c>
      <c r="AM64" s="3">
        <f t="shared" si="79"/>
        <v>6</v>
      </c>
      <c r="AN64" s="3">
        <f t="shared" si="79"/>
        <v>7</v>
      </c>
      <c r="AO64" s="3">
        <f t="shared" si="79"/>
        <v>8</v>
      </c>
      <c r="AP64" s="3">
        <f t="shared" si="79"/>
        <v>9</v>
      </c>
      <c r="AQ64" s="3">
        <f t="shared" si="79"/>
        <v>10</v>
      </c>
      <c r="AR64" s="3">
        <f t="shared" si="79"/>
        <v>11</v>
      </c>
      <c r="AS64" s="3">
        <f t="shared" si="79"/>
        <v>12</v>
      </c>
      <c r="AT64" s="3">
        <f t="shared" si="79"/>
        <v>13</v>
      </c>
      <c r="AU64" s="3">
        <f t="shared" si="79"/>
        <v>14</v>
      </c>
      <c r="AV64" s="3">
        <f t="shared" si="79"/>
        <v>15</v>
      </c>
      <c r="AW64" s="3">
        <f t="shared" si="79"/>
        <v>16</v>
      </c>
      <c r="AX64" s="3">
        <f t="shared" si="79"/>
        <v>17</v>
      </c>
      <c r="AY64" s="3">
        <f t="shared" si="79"/>
        <v>18</v>
      </c>
      <c r="AZ64" s="3">
        <f t="shared" si="79"/>
        <v>19</v>
      </c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97"/>
      <c r="BP64" s="4"/>
      <c r="BQ64" s="4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5"/>
      <c r="CP64" s="5"/>
      <c r="CQ64" s="5"/>
      <c r="CR64" s="5"/>
    </row>
    <row r="65" spans="1:96" ht="15" customHeight="1" x14ac:dyDescent="0.25">
      <c r="B65" s="139">
        <v>10</v>
      </c>
      <c r="C65" s="140">
        <v>5</v>
      </c>
      <c r="D65" s="139" t="str">
        <f t="shared" si="0"/>
        <v>EMPTY_EAST_K_2_21</v>
      </c>
      <c r="E65" s="140" t="s">
        <v>0</v>
      </c>
      <c r="F65" s="142" t="s">
        <v>32</v>
      </c>
      <c r="G65" s="140" t="s">
        <v>18</v>
      </c>
      <c r="H65" s="140" t="s">
        <v>12</v>
      </c>
      <c r="I65" s="140">
        <v>2</v>
      </c>
      <c r="J65" s="139"/>
      <c r="K65" s="184">
        <f>COUNT(AH65:BW65)</f>
        <v>36</v>
      </c>
      <c r="L65" s="139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101"/>
      <c r="AA65" s="57"/>
      <c r="AB65" s="133"/>
      <c r="AC65" s="46"/>
      <c r="AD65" s="46"/>
      <c r="AE65" s="46"/>
      <c r="AF65" s="46"/>
      <c r="AG65" s="57"/>
      <c r="AH65" s="86">
        <v>1</v>
      </c>
      <c r="AI65" s="3">
        <f t="shared" ref="AI65:BQ65" si="80">AH65+1</f>
        <v>2</v>
      </c>
      <c r="AJ65" s="3">
        <f t="shared" si="80"/>
        <v>3</v>
      </c>
      <c r="AK65" s="3">
        <f t="shared" si="80"/>
        <v>4</v>
      </c>
      <c r="AL65" s="3">
        <f t="shared" si="80"/>
        <v>5</v>
      </c>
      <c r="AM65" s="3">
        <f t="shared" si="80"/>
        <v>6</v>
      </c>
      <c r="AN65" s="3">
        <f t="shared" si="80"/>
        <v>7</v>
      </c>
      <c r="AO65" s="3">
        <f t="shared" si="80"/>
        <v>8</v>
      </c>
      <c r="AP65" s="3">
        <f t="shared" si="80"/>
        <v>9</v>
      </c>
      <c r="AQ65" s="3">
        <f t="shared" si="80"/>
        <v>10</v>
      </c>
      <c r="AR65" s="3">
        <f t="shared" si="80"/>
        <v>11</v>
      </c>
      <c r="AS65" s="3">
        <f t="shared" si="80"/>
        <v>12</v>
      </c>
      <c r="AT65" s="3">
        <f t="shared" si="80"/>
        <v>13</v>
      </c>
      <c r="AU65" s="3">
        <f t="shared" si="80"/>
        <v>14</v>
      </c>
      <c r="AV65" s="3">
        <f t="shared" si="80"/>
        <v>15</v>
      </c>
      <c r="AW65" s="3">
        <f t="shared" si="80"/>
        <v>16</v>
      </c>
      <c r="AX65" s="3">
        <f t="shared" si="80"/>
        <v>17</v>
      </c>
      <c r="AY65" s="3">
        <f t="shared" si="80"/>
        <v>18</v>
      </c>
      <c r="AZ65" s="3">
        <f t="shared" si="80"/>
        <v>19</v>
      </c>
      <c r="BA65" s="3">
        <f t="shared" si="80"/>
        <v>20</v>
      </c>
      <c r="BB65" s="3">
        <f t="shared" si="80"/>
        <v>21</v>
      </c>
      <c r="BC65" s="3">
        <f t="shared" si="80"/>
        <v>22</v>
      </c>
      <c r="BD65" s="3">
        <f t="shared" si="80"/>
        <v>23</v>
      </c>
      <c r="BE65" s="3">
        <f t="shared" si="80"/>
        <v>24</v>
      </c>
      <c r="BF65" s="3">
        <f t="shared" si="80"/>
        <v>25</v>
      </c>
      <c r="BG65" s="3">
        <f t="shared" si="80"/>
        <v>26</v>
      </c>
      <c r="BH65" s="3">
        <f t="shared" si="80"/>
        <v>27</v>
      </c>
      <c r="BI65" s="3">
        <f t="shared" si="80"/>
        <v>28</v>
      </c>
      <c r="BJ65" s="3">
        <f t="shared" si="80"/>
        <v>29</v>
      </c>
      <c r="BK65" s="3">
        <f t="shared" si="80"/>
        <v>30</v>
      </c>
      <c r="BL65" s="3">
        <f t="shared" si="80"/>
        <v>31</v>
      </c>
      <c r="BM65" s="3">
        <f t="shared" si="80"/>
        <v>32</v>
      </c>
      <c r="BN65" s="3">
        <f t="shared" si="80"/>
        <v>33</v>
      </c>
      <c r="BO65" s="3">
        <f t="shared" si="80"/>
        <v>34</v>
      </c>
      <c r="BP65" s="3">
        <f t="shared" si="80"/>
        <v>35</v>
      </c>
      <c r="BQ65" s="3">
        <f t="shared" si="80"/>
        <v>36</v>
      </c>
      <c r="BR65" s="46"/>
      <c r="BS65" s="4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5"/>
      <c r="CP65" s="5"/>
      <c r="CQ65" s="5"/>
      <c r="CR65" s="5"/>
    </row>
    <row r="66" spans="1:96" ht="15.75" hidden="1" customHeight="1" thickBot="1" x14ac:dyDescent="0.3">
      <c r="B66" s="139">
        <v>10</v>
      </c>
      <c r="C66" s="140">
        <v>6</v>
      </c>
      <c r="D66" s="139" t="str">
        <f t="shared" si="0"/>
        <v>COUNTDOWN_EAST_K_2_21</v>
      </c>
      <c r="E66" s="140"/>
      <c r="F66" s="142" t="s">
        <v>33</v>
      </c>
      <c r="G66" s="140" t="s">
        <v>18</v>
      </c>
      <c r="H66" s="140" t="s">
        <v>12</v>
      </c>
      <c r="I66" s="140">
        <v>2</v>
      </c>
      <c r="J66" s="144"/>
      <c r="K66" s="144"/>
      <c r="L66" s="140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101"/>
      <c r="AA66" s="57"/>
      <c r="AB66" s="171"/>
      <c r="AC66" s="74"/>
      <c r="AD66" s="74"/>
      <c r="AE66" s="74"/>
      <c r="AF66" s="194"/>
      <c r="AG66" s="75"/>
      <c r="AH66" s="86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6"/>
      <c r="AU66" s="6"/>
      <c r="AV66" s="6"/>
      <c r="AW66" s="46"/>
      <c r="AX66" s="46"/>
      <c r="AY66" s="56"/>
      <c r="AZ66" s="56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5"/>
      <c r="CP66" s="5"/>
      <c r="CQ66" s="5"/>
      <c r="CR66" s="5"/>
    </row>
    <row r="67" spans="1:96" ht="15" hidden="1" customHeight="1" x14ac:dyDescent="0.25">
      <c r="B67" s="139">
        <v>11</v>
      </c>
      <c r="C67" s="139">
        <v>1</v>
      </c>
      <c r="D67" s="139" t="str">
        <f t="shared" si="0"/>
        <v>SORTING_WEST_H_1_21</v>
      </c>
      <c r="E67" s="139" t="s">
        <v>35</v>
      </c>
      <c r="F67" s="138" t="s">
        <v>45</v>
      </c>
      <c r="G67" s="140" t="s">
        <v>19</v>
      </c>
      <c r="H67" s="140" t="s">
        <v>9</v>
      </c>
      <c r="I67" s="140">
        <v>1</v>
      </c>
      <c r="J67" s="139"/>
      <c r="K67" s="184">
        <f>COUNT(AB67:BB67)</f>
        <v>0</v>
      </c>
      <c r="L67" s="139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193"/>
      <c r="AB67" s="11"/>
      <c r="AC67" s="12"/>
      <c r="AD67" s="176"/>
      <c r="AE67" s="176"/>
      <c r="AF67" s="3"/>
      <c r="AG67" s="177"/>
      <c r="AH67" s="86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5"/>
      <c r="CP67" s="5"/>
      <c r="CQ67" s="5"/>
      <c r="CR67" s="5"/>
    </row>
    <row r="68" spans="1:96" ht="15" hidden="1" customHeight="1" x14ac:dyDescent="0.25">
      <c r="B68" s="139">
        <v>11</v>
      </c>
      <c r="C68" s="139">
        <v>2</v>
      </c>
      <c r="D68" s="139" t="str">
        <f t="shared" si="0"/>
        <v>TRANSFER_WEST_H_1_21</v>
      </c>
      <c r="E68" s="139" t="s">
        <v>21</v>
      </c>
      <c r="F68" s="138" t="s">
        <v>21</v>
      </c>
      <c r="G68" s="140" t="s">
        <v>19</v>
      </c>
      <c r="H68" s="140" t="s">
        <v>9</v>
      </c>
      <c r="I68" s="140">
        <v>1</v>
      </c>
      <c r="J68" s="139"/>
      <c r="K68" s="184">
        <f>COUNT(AB68:BB68)</f>
        <v>2</v>
      </c>
      <c r="L68" s="139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101"/>
      <c r="AB68" s="8">
        <v>1</v>
      </c>
      <c r="AC68" s="3">
        <f>AB68+1</f>
        <v>2</v>
      </c>
      <c r="AD68" s="4"/>
      <c r="AE68" s="4"/>
      <c r="AF68" s="4"/>
      <c r="AG68" s="31"/>
      <c r="AH68" s="86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5"/>
      <c r="CP68" s="5"/>
      <c r="CQ68" s="5"/>
      <c r="CR68" s="5"/>
    </row>
    <row r="69" spans="1:96" ht="15" hidden="1" customHeight="1" x14ac:dyDescent="0.25">
      <c r="B69" s="139">
        <v>11</v>
      </c>
      <c r="C69" s="139">
        <v>3</v>
      </c>
      <c r="D69" s="139" t="str">
        <f t="shared" si="0"/>
        <v>PREPARE_WEST_H_1_21</v>
      </c>
      <c r="E69" s="139" t="s">
        <v>0</v>
      </c>
      <c r="F69" s="138" t="s">
        <v>46</v>
      </c>
      <c r="G69" s="140" t="s">
        <v>19</v>
      </c>
      <c r="H69" s="140" t="s">
        <v>9</v>
      </c>
      <c r="I69" s="140">
        <v>1</v>
      </c>
      <c r="J69" s="141"/>
      <c r="K69" s="184">
        <f>COUNT(M69:BB69)</f>
        <v>20</v>
      </c>
      <c r="L69" s="139"/>
      <c r="M69" s="3">
        <v>1</v>
      </c>
      <c r="N69" s="3">
        <f t="shared" ref="N69:AF69" si="81">M69+1</f>
        <v>2</v>
      </c>
      <c r="O69" s="3">
        <f t="shared" si="81"/>
        <v>3</v>
      </c>
      <c r="P69" s="3">
        <f t="shared" si="81"/>
        <v>4</v>
      </c>
      <c r="Q69" s="3">
        <f t="shared" si="81"/>
        <v>5</v>
      </c>
      <c r="R69" s="3">
        <f t="shared" si="81"/>
        <v>6</v>
      </c>
      <c r="S69" s="3">
        <f t="shared" si="81"/>
        <v>7</v>
      </c>
      <c r="T69" s="3">
        <f t="shared" si="81"/>
        <v>8</v>
      </c>
      <c r="U69" s="3">
        <f t="shared" si="81"/>
        <v>9</v>
      </c>
      <c r="V69" s="3">
        <f t="shared" si="81"/>
        <v>10</v>
      </c>
      <c r="W69" s="3">
        <f t="shared" si="81"/>
        <v>11</v>
      </c>
      <c r="X69" s="3">
        <f t="shared" si="81"/>
        <v>12</v>
      </c>
      <c r="Y69" s="3">
        <f t="shared" si="81"/>
        <v>13</v>
      </c>
      <c r="Z69" s="3">
        <f t="shared" si="81"/>
        <v>14</v>
      </c>
      <c r="AA69" s="3">
        <f t="shared" si="81"/>
        <v>15</v>
      </c>
      <c r="AB69" s="3">
        <f t="shared" si="81"/>
        <v>16</v>
      </c>
      <c r="AC69" s="3">
        <f t="shared" si="81"/>
        <v>17</v>
      </c>
      <c r="AD69" s="3">
        <f t="shared" si="81"/>
        <v>18</v>
      </c>
      <c r="AE69" s="3">
        <f t="shared" si="81"/>
        <v>19</v>
      </c>
      <c r="AF69" s="3">
        <f t="shared" si="81"/>
        <v>20</v>
      </c>
      <c r="AG69" s="21"/>
      <c r="AH69" s="86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5"/>
      <c r="CP69" s="5"/>
      <c r="CQ69" s="5"/>
      <c r="CR69" s="5"/>
    </row>
    <row r="70" spans="1:96" ht="15" hidden="1" customHeight="1" x14ac:dyDescent="0.25">
      <c r="B70" s="139">
        <v>11</v>
      </c>
      <c r="C70" s="139">
        <v>4</v>
      </c>
      <c r="D70" s="139" t="str">
        <f t="shared" si="0"/>
        <v>SUPPLY_WEST_H_1_21</v>
      </c>
      <c r="E70" s="139" t="s">
        <v>0</v>
      </c>
      <c r="F70" s="142" t="s">
        <v>0</v>
      </c>
      <c r="G70" s="140" t="s">
        <v>19</v>
      </c>
      <c r="H70" s="140" t="s">
        <v>9</v>
      </c>
      <c r="I70" s="140">
        <v>1</v>
      </c>
      <c r="J70" s="143"/>
      <c r="K70" s="184">
        <f>COUNT(AH70:BW70)</f>
        <v>0</v>
      </c>
      <c r="L70" s="140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101"/>
      <c r="AB70" s="42"/>
      <c r="AC70" s="46"/>
      <c r="AD70" s="46"/>
      <c r="AE70" s="46"/>
      <c r="AF70" s="46"/>
      <c r="AG70" s="57"/>
      <c r="AH70" s="93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97"/>
      <c r="AW70" s="4"/>
      <c r="AX70" s="4"/>
      <c r="AY70" s="4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5"/>
      <c r="CP70" s="5"/>
      <c r="CQ70" s="5"/>
      <c r="CR70" s="5"/>
    </row>
    <row r="71" spans="1:96" ht="15" customHeight="1" x14ac:dyDescent="0.25">
      <c r="B71" s="139">
        <v>11</v>
      </c>
      <c r="C71" s="140">
        <v>5</v>
      </c>
      <c r="D71" s="139" t="str">
        <f t="shared" si="0"/>
        <v>EMPTY_WEST_H_1_21</v>
      </c>
      <c r="E71" s="140" t="s">
        <v>0</v>
      </c>
      <c r="F71" s="142" t="s">
        <v>32</v>
      </c>
      <c r="G71" s="140" t="s">
        <v>19</v>
      </c>
      <c r="H71" s="140" t="s">
        <v>9</v>
      </c>
      <c r="I71" s="140">
        <v>1</v>
      </c>
      <c r="J71" s="139"/>
      <c r="K71" s="184">
        <f>COUNT(AH71:BW71)</f>
        <v>18</v>
      </c>
      <c r="L71" s="139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101"/>
      <c r="AB71" s="42"/>
      <c r="AC71" s="46"/>
      <c r="AD71" s="46"/>
      <c r="AE71" s="46"/>
      <c r="AF71" s="46"/>
      <c r="AG71" s="57"/>
      <c r="AH71" s="86">
        <v>1</v>
      </c>
      <c r="AI71" s="3">
        <f t="shared" ref="AI71:AY71" si="82">AH71+1</f>
        <v>2</v>
      </c>
      <c r="AJ71" s="3">
        <f t="shared" si="82"/>
        <v>3</v>
      </c>
      <c r="AK71" s="3">
        <f t="shared" si="82"/>
        <v>4</v>
      </c>
      <c r="AL71" s="3">
        <f t="shared" si="82"/>
        <v>5</v>
      </c>
      <c r="AM71" s="3">
        <f t="shared" si="82"/>
        <v>6</v>
      </c>
      <c r="AN71" s="3">
        <f t="shared" si="82"/>
        <v>7</v>
      </c>
      <c r="AO71" s="3">
        <f t="shared" si="82"/>
        <v>8</v>
      </c>
      <c r="AP71" s="3">
        <f t="shared" si="82"/>
        <v>9</v>
      </c>
      <c r="AQ71" s="3">
        <f t="shared" si="82"/>
        <v>10</v>
      </c>
      <c r="AR71" s="3">
        <f t="shared" si="82"/>
        <v>11</v>
      </c>
      <c r="AS71" s="3">
        <f t="shared" si="82"/>
        <v>12</v>
      </c>
      <c r="AT71" s="3">
        <f t="shared" si="82"/>
        <v>13</v>
      </c>
      <c r="AU71" s="3">
        <f t="shared" si="82"/>
        <v>14</v>
      </c>
      <c r="AV71" s="3">
        <f t="shared" si="82"/>
        <v>15</v>
      </c>
      <c r="AW71" s="3">
        <f t="shared" si="82"/>
        <v>16</v>
      </c>
      <c r="AX71" s="3">
        <f t="shared" si="82"/>
        <v>17</v>
      </c>
      <c r="AY71" s="3">
        <f t="shared" si="82"/>
        <v>18</v>
      </c>
      <c r="AZ71" s="46"/>
      <c r="BA71" s="4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5"/>
      <c r="CP71" s="5"/>
      <c r="CQ71" s="5"/>
      <c r="CR71" s="5"/>
    </row>
    <row r="72" spans="1:96" ht="15" hidden="1" customHeight="1" x14ac:dyDescent="0.25">
      <c r="B72" s="139">
        <v>11</v>
      </c>
      <c r="C72" s="140">
        <v>6</v>
      </c>
      <c r="D72" s="139" t="str">
        <f t="shared" si="0"/>
        <v>COUNTDOWN_WEST_H_1_21</v>
      </c>
      <c r="E72" s="140"/>
      <c r="F72" s="142" t="s">
        <v>33</v>
      </c>
      <c r="G72" s="140" t="s">
        <v>19</v>
      </c>
      <c r="H72" s="140" t="s">
        <v>9</v>
      </c>
      <c r="I72" s="140">
        <v>1</v>
      </c>
      <c r="J72" s="144"/>
      <c r="K72" s="144"/>
      <c r="L72" s="140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101"/>
      <c r="AB72" s="29"/>
      <c r="AC72" s="6"/>
      <c r="AD72" s="46"/>
      <c r="AE72" s="46"/>
      <c r="AF72" s="220"/>
      <c r="AG72" s="59"/>
      <c r="AH72" s="86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5"/>
      <c r="CP72" s="5"/>
      <c r="CQ72" s="5"/>
      <c r="CR72" s="5"/>
    </row>
    <row r="73" spans="1:96" ht="15" hidden="1" customHeight="1" x14ac:dyDescent="0.25">
      <c r="B73" s="139">
        <v>12</v>
      </c>
      <c r="C73" s="139">
        <v>1</v>
      </c>
      <c r="D73" s="139" t="str">
        <f t="shared" si="0"/>
        <v>SORTING_WEST_P_2_21</v>
      </c>
      <c r="E73" s="139" t="s">
        <v>35</v>
      </c>
      <c r="F73" s="138" t="s">
        <v>45</v>
      </c>
      <c r="G73" s="140" t="s">
        <v>19</v>
      </c>
      <c r="H73" s="140" t="s">
        <v>41</v>
      </c>
      <c r="I73" s="140">
        <v>2</v>
      </c>
      <c r="J73" s="139"/>
      <c r="K73" s="184">
        <f>COUNT(AB73:BB73)</f>
        <v>2</v>
      </c>
      <c r="L73" s="139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101"/>
      <c r="AB73" s="8">
        <v>1</v>
      </c>
      <c r="AC73" s="3">
        <f>AB73+1</f>
        <v>2</v>
      </c>
      <c r="AD73" s="4"/>
      <c r="AE73" s="4"/>
      <c r="AF73" s="4"/>
      <c r="AG73" s="31"/>
      <c r="AH73" s="86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5"/>
      <c r="CP73" s="5"/>
      <c r="CQ73" s="5"/>
      <c r="CR73" s="5"/>
    </row>
    <row r="74" spans="1:96" ht="15" hidden="1" customHeight="1" x14ac:dyDescent="0.25">
      <c r="B74" s="139">
        <v>12</v>
      </c>
      <c r="C74" s="139">
        <v>2</v>
      </c>
      <c r="D74" s="139" t="str">
        <f t="shared" si="0"/>
        <v>TRANSFER_WEST_P_2_21</v>
      </c>
      <c r="E74" s="139" t="s">
        <v>21</v>
      </c>
      <c r="F74" s="138" t="s">
        <v>21</v>
      </c>
      <c r="G74" s="140" t="s">
        <v>19</v>
      </c>
      <c r="H74" s="140" t="s">
        <v>41</v>
      </c>
      <c r="I74" s="140">
        <v>2</v>
      </c>
      <c r="J74" s="139"/>
      <c r="K74" s="184">
        <f>COUNT(AB74:BB74)</f>
        <v>5</v>
      </c>
      <c r="L74" s="139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101"/>
      <c r="AB74" s="8">
        <v>1</v>
      </c>
      <c r="AC74" s="3">
        <f>AB74+1</f>
        <v>2</v>
      </c>
      <c r="AD74" s="3">
        <f t="shared" ref="AD74:AF74" si="83">AC74+1</f>
        <v>3</v>
      </c>
      <c r="AE74" s="3">
        <f t="shared" si="83"/>
        <v>4</v>
      </c>
      <c r="AF74" s="3">
        <f t="shared" si="83"/>
        <v>5</v>
      </c>
      <c r="AG74" s="21"/>
      <c r="AH74" s="4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5"/>
      <c r="CP74" s="5"/>
      <c r="CQ74" s="5"/>
      <c r="CR74" s="5"/>
    </row>
    <row r="75" spans="1:96" ht="15" hidden="1" customHeight="1" x14ac:dyDescent="0.25">
      <c r="B75" s="139">
        <v>12</v>
      </c>
      <c r="C75" s="139">
        <v>3</v>
      </c>
      <c r="D75" s="139" t="str">
        <f t="shared" si="0"/>
        <v>PREPARE_WEST_P_2_21</v>
      </c>
      <c r="E75" s="139" t="s">
        <v>0</v>
      </c>
      <c r="F75" s="138" t="s">
        <v>46</v>
      </c>
      <c r="G75" s="140" t="s">
        <v>19</v>
      </c>
      <c r="H75" s="140" t="s">
        <v>41</v>
      </c>
      <c r="I75" s="140">
        <v>2</v>
      </c>
      <c r="J75" s="141"/>
      <c r="K75" s="184">
        <f>COUNT(M75:BB75)</f>
        <v>22</v>
      </c>
      <c r="L75" s="139"/>
      <c r="M75" s="3">
        <v>1</v>
      </c>
      <c r="N75" s="3">
        <f t="shared" ref="N75:AH75" si="84">M75+1</f>
        <v>2</v>
      </c>
      <c r="O75" s="3">
        <f t="shared" si="84"/>
        <v>3</v>
      </c>
      <c r="P75" s="3">
        <f t="shared" si="84"/>
        <v>4</v>
      </c>
      <c r="Q75" s="3">
        <f t="shared" si="84"/>
        <v>5</v>
      </c>
      <c r="R75" s="3">
        <f t="shared" si="84"/>
        <v>6</v>
      </c>
      <c r="S75" s="3">
        <f t="shared" si="84"/>
        <v>7</v>
      </c>
      <c r="T75" s="3">
        <f t="shared" si="84"/>
        <v>8</v>
      </c>
      <c r="U75" s="3">
        <f t="shared" si="84"/>
        <v>9</v>
      </c>
      <c r="V75" s="3">
        <f t="shared" si="84"/>
        <v>10</v>
      </c>
      <c r="W75" s="3">
        <f t="shared" si="84"/>
        <v>11</v>
      </c>
      <c r="X75" s="3">
        <f t="shared" si="84"/>
        <v>12</v>
      </c>
      <c r="Y75" s="3">
        <f t="shared" si="84"/>
        <v>13</v>
      </c>
      <c r="Z75" s="3">
        <f t="shared" si="84"/>
        <v>14</v>
      </c>
      <c r="AA75" s="3">
        <f t="shared" si="84"/>
        <v>15</v>
      </c>
      <c r="AB75" s="3">
        <f t="shared" si="84"/>
        <v>16</v>
      </c>
      <c r="AC75" s="3">
        <f t="shared" si="84"/>
        <v>17</v>
      </c>
      <c r="AD75" s="3">
        <f t="shared" si="84"/>
        <v>18</v>
      </c>
      <c r="AE75" s="3">
        <f t="shared" si="84"/>
        <v>19</v>
      </c>
      <c r="AF75" s="3">
        <f t="shared" si="84"/>
        <v>20</v>
      </c>
      <c r="AG75" s="3">
        <f t="shared" si="84"/>
        <v>21</v>
      </c>
      <c r="AH75" s="3">
        <f t="shared" si="84"/>
        <v>22</v>
      </c>
      <c r="AI75" s="4"/>
      <c r="AJ75" s="4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5"/>
      <c r="CP75" s="5"/>
      <c r="CQ75" s="5"/>
      <c r="CR75" s="5"/>
    </row>
    <row r="76" spans="1:96" ht="15" hidden="1" customHeight="1" x14ac:dyDescent="0.25">
      <c r="B76" s="139">
        <v>12</v>
      </c>
      <c r="C76" s="139">
        <v>4</v>
      </c>
      <c r="D76" s="139" t="str">
        <f t="shared" si="0"/>
        <v>SUPPLY_WEST_P_2_21</v>
      </c>
      <c r="E76" s="139" t="s">
        <v>0</v>
      </c>
      <c r="F76" s="142" t="s">
        <v>0</v>
      </c>
      <c r="G76" s="140" t="s">
        <v>19</v>
      </c>
      <c r="H76" s="140" t="s">
        <v>41</v>
      </c>
      <c r="I76" s="140">
        <v>2</v>
      </c>
      <c r="J76" s="143"/>
      <c r="K76" s="184">
        <f>COUNT(AH76:BW76)</f>
        <v>3</v>
      </c>
      <c r="L76" s="140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101"/>
      <c r="AB76" s="42"/>
      <c r="AC76" s="46"/>
      <c r="AD76" s="46"/>
      <c r="AE76" s="46"/>
      <c r="AF76" s="46"/>
      <c r="AG76" s="57"/>
      <c r="AH76" s="86">
        <v>1</v>
      </c>
      <c r="AI76" s="3">
        <f t="shared" ref="AI76:AJ76" si="85">AH76+1</f>
        <v>2</v>
      </c>
      <c r="AJ76" s="3">
        <f t="shared" si="85"/>
        <v>3</v>
      </c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97"/>
      <c r="AY76" s="4"/>
      <c r="AZ76" s="4"/>
      <c r="BA76" s="4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5"/>
      <c r="CP76" s="5"/>
      <c r="CQ76" s="5"/>
      <c r="CR76" s="5"/>
    </row>
    <row r="77" spans="1:96" ht="15" customHeight="1" x14ac:dyDescent="0.25">
      <c r="B77" s="139">
        <v>12</v>
      </c>
      <c r="C77" s="140">
        <v>5</v>
      </c>
      <c r="D77" s="139" t="str">
        <f t="shared" si="0"/>
        <v>EMPTY_WEST_P_2_21</v>
      </c>
      <c r="E77" s="140" t="s">
        <v>0</v>
      </c>
      <c r="F77" s="142" t="s">
        <v>32</v>
      </c>
      <c r="G77" s="140" t="s">
        <v>19</v>
      </c>
      <c r="H77" s="140" t="s">
        <v>41</v>
      </c>
      <c r="I77" s="140">
        <v>2</v>
      </c>
      <c r="J77" s="139"/>
      <c r="K77" s="184">
        <f>COUNT(AH77:BW77)</f>
        <v>20</v>
      </c>
      <c r="L77" s="139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101"/>
      <c r="AB77" s="42"/>
      <c r="AC77" s="46"/>
      <c r="AD77" s="46"/>
      <c r="AE77" s="46"/>
      <c r="AF77" s="46"/>
      <c r="AG77" s="57"/>
      <c r="AH77" s="86">
        <v>1</v>
      </c>
      <c r="AI77" s="3">
        <f t="shared" ref="AI77:BA77" si="86">AH77+1</f>
        <v>2</v>
      </c>
      <c r="AJ77" s="3">
        <f t="shared" si="86"/>
        <v>3</v>
      </c>
      <c r="AK77" s="3">
        <f t="shared" si="86"/>
        <v>4</v>
      </c>
      <c r="AL77" s="3">
        <f t="shared" si="86"/>
        <v>5</v>
      </c>
      <c r="AM77" s="3">
        <f t="shared" si="86"/>
        <v>6</v>
      </c>
      <c r="AN77" s="3">
        <f t="shared" si="86"/>
        <v>7</v>
      </c>
      <c r="AO77" s="3">
        <f t="shared" si="86"/>
        <v>8</v>
      </c>
      <c r="AP77" s="3">
        <f t="shared" si="86"/>
        <v>9</v>
      </c>
      <c r="AQ77" s="3">
        <f t="shared" si="86"/>
        <v>10</v>
      </c>
      <c r="AR77" s="3">
        <f t="shared" si="86"/>
        <v>11</v>
      </c>
      <c r="AS77" s="3">
        <f t="shared" si="86"/>
        <v>12</v>
      </c>
      <c r="AT77" s="3">
        <f t="shared" si="86"/>
        <v>13</v>
      </c>
      <c r="AU77" s="3">
        <f t="shared" si="86"/>
        <v>14</v>
      </c>
      <c r="AV77" s="3">
        <f t="shared" si="86"/>
        <v>15</v>
      </c>
      <c r="AW77" s="3">
        <f t="shared" si="86"/>
        <v>16</v>
      </c>
      <c r="AX77" s="3">
        <f t="shared" si="86"/>
        <v>17</v>
      </c>
      <c r="AY77" s="3">
        <f t="shared" si="86"/>
        <v>18</v>
      </c>
      <c r="AZ77" s="3">
        <f t="shared" si="86"/>
        <v>19</v>
      </c>
      <c r="BA77" s="3">
        <f t="shared" si="86"/>
        <v>20</v>
      </c>
      <c r="BB77" s="46"/>
      <c r="BC77" s="4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5"/>
      <c r="CP77" s="5"/>
      <c r="CQ77" s="5"/>
      <c r="CR77" s="5"/>
    </row>
    <row r="78" spans="1:96" ht="15" hidden="1" customHeight="1" x14ac:dyDescent="0.25">
      <c r="B78" s="139">
        <v>12</v>
      </c>
      <c r="C78" s="140">
        <v>6</v>
      </c>
      <c r="D78" s="139" t="str">
        <f t="shared" ref="D78:D120" si="87">F78&amp;"_"&amp;G78&amp;"_"&amp;H78&amp;"_"&amp;I78&amp;"_"&amp;$D$1</f>
        <v>COUNTDOWN_WEST_P_2_21</v>
      </c>
      <c r="E78" s="140"/>
      <c r="F78" s="142" t="s">
        <v>33</v>
      </c>
      <c r="G78" s="140" t="s">
        <v>19</v>
      </c>
      <c r="H78" s="140" t="s">
        <v>41</v>
      </c>
      <c r="I78" s="140">
        <v>2</v>
      </c>
      <c r="J78" s="144"/>
      <c r="K78" s="144"/>
      <c r="L78" s="140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101"/>
      <c r="AB78" s="8"/>
      <c r="AC78" s="3"/>
      <c r="AD78" s="6"/>
      <c r="AE78" s="6"/>
      <c r="AF78" s="46"/>
      <c r="AG78" s="57"/>
      <c r="AH78" s="134"/>
      <c r="AI78" s="56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5"/>
      <c r="CP78" s="5"/>
      <c r="CQ78" s="5"/>
      <c r="CR78" s="5"/>
    </row>
    <row r="79" spans="1:96" ht="15" hidden="1" customHeight="1" x14ac:dyDescent="0.25">
      <c r="A79" t="s">
        <v>8</v>
      </c>
      <c r="B79" s="139">
        <v>13</v>
      </c>
      <c r="C79" s="139">
        <v>1</v>
      </c>
      <c r="D79" s="139" t="str">
        <f t="shared" si="87"/>
        <v>SORTING_WEST_O_1_21</v>
      </c>
      <c r="E79" s="139" t="s">
        <v>35</v>
      </c>
      <c r="F79" s="138" t="s">
        <v>45</v>
      </c>
      <c r="G79" s="140" t="s">
        <v>19</v>
      </c>
      <c r="H79" s="140" t="s">
        <v>40</v>
      </c>
      <c r="I79" s="140">
        <v>1</v>
      </c>
      <c r="J79" s="139"/>
      <c r="K79" s="184">
        <f>COUNT(AB79:BB79)</f>
        <v>5</v>
      </c>
      <c r="L79" s="139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101"/>
      <c r="AB79" s="8">
        <v>1</v>
      </c>
      <c r="AC79" s="3">
        <f>AB79+1</f>
        <v>2</v>
      </c>
      <c r="AD79" s="3">
        <f t="shared" ref="AD79:AF79" si="88">AC79+1</f>
        <v>3</v>
      </c>
      <c r="AE79" s="3">
        <f t="shared" si="88"/>
        <v>4</v>
      </c>
      <c r="AF79" s="3">
        <f t="shared" si="88"/>
        <v>5</v>
      </c>
      <c r="AG79" s="21"/>
      <c r="AH79" s="4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5"/>
      <c r="CP79" s="5"/>
      <c r="CQ79" s="5"/>
      <c r="CR79" s="5"/>
    </row>
    <row r="80" spans="1:96" ht="15" hidden="1" customHeight="1" x14ac:dyDescent="0.25">
      <c r="A80" t="s">
        <v>8</v>
      </c>
      <c r="B80" s="139">
        <v>13</v>
      </c>
      <c r="C80" s="139">
        <v>2</v>
      </c>
      <c r="D80" s="139" t="str">
        <f t="shared" si="87"/>
        <v>TRANSFER_WEST_O_1_21</v>
      </c>
      <c r="E80" s="139" t="s">
        <v>21</v>
      </c>
      <c r="F80" s="138" t="s">
        <v>21</v>
      </c>
      <c r="G80" s="140" t="s">
        <v>19</v>
      </c>
      <c r="H80" s="140" t="s">
        <v>40</v>
      </c>
      <c r="I80" s="140">
        <v>1</v>
      </c>
      <c r="J80" s="139"/>
      <c r="K80" s="184">
        <f>COUNT(AB80:BB80)</f>
        <v>7</v>
      </c>
      <c r="L80" s="139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101"/>
      <c r="AB80" s="8">
        <v>1</v>
      </c>
      <c r="AC80" s="3">
        <f>AB80+1</f>
        <v>2</v>
      </c>
      <c r="AD80" s="3">
        <f t="shared" ref="AD80:AH80" si="89">AC80+1</f>
        <v>3</v>
      </c>
      <c r="AE80" s="3">
        <f t="shared" si="89"/>
        <v>4</v>
      </c>
      <c r="AF80" s="3">
        <f t="shared" si="89"/>
        <v>5</v>
      </c>
      <c r="AG80" s="3">
        <f t="shared" si="89"/>
        <v>6</v>
      </c>
      <c r="AH80" s="3">
        <f t="shared" si="89"/>
        <v>7</v>
      </c>
      <c r="AI80" s="4"/>
      <c r="AJ80" s="4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5"/>
      <c r="CP80" s="5"/>
      <c r="CQ80" s="5"/>
      <c r="CR80" s="5"/>
    </row>
    <row r="81" spans="1:96" ht="15" hidden="1" customHeight="1" x14ac:dyDescent="0.25">
      <c r="A81" t="s">
        <v>8</v>
      </c>
      <c r="B81" s="139">
        <v>13</v>
      </c>
      <c r="C81" s="139">
        <v>3</v>
      </c>
      <c r="D81" s="139" t="str">
        <f t="shared" si="87"/>
        <v>PREPARE_WEST_O_1_21</v>
      </c>
      <c r="E81" s="139" t="s">
        <v>0</v>
      </c>
      <c r="F81" s="138" t="s">
        <v>46</v>
      </c>
      <c r="G81" s="140" t="s">
        <v>19</v>
      </c>
      <c r="H81" s="140" t="s">
        <v>40</v>
      </c>
      <c r="I81" s="140">
        <v>1</v>
      </c>
      <c r="J81" s="141"/>
      <c r="K81" s="184">
        <f>COUNT(M81:BB81)</f>
        <v>25</v>
      </c>
      <c r="L81" s="139"/>
      <c r="M81" s="3">
        <v>1</v>
      </c>
      <c r="N81" s="3">
        <f t="shared" ref="N81:AK81" si="90">M81+1</f>
        <v>2</v>
      </c>
      <c r="O81" s="3">
        <f t="shared" si="90"/>
        <v>3</v>
      </c>
      <c r="P81" s="3">
        <f t="shared" si="90"/>
        <v>4</v>
      </c>
      <c r="Q81" s="3">
        <f t="shared" si="90"/>
        <v>5</v>
      </c>
      <c r="R81" s="3">
        <f t="shared" si="90"/>
        <v>6</v>
      </c>
      <c r="S81" s="3">
        <f t="shared" si="90"/>
        <v>7</v>
      </c>
      <c r="T81" s="3">
        <f t="shared" si="90"/>
        <v>8</v>
      </c>
      <c r="U81" s="3">
        <f t="shared" si="90"/>
        <v>9</v>
      </c>
      <c r="V81" s="3">
        <f t="shared" si="90"/>
        <v>10</v>
      </c>
      <c r="W81" s="3">
        <f t="shared" si="90"/>
        <v>11</v>
      </c>
      <c r="X81" s="3">
        <f t="shared" si="90"/>
        <v>12</v>
      </c>
      <c r="Y81" s="3">
        <f t="shared" si="90"/>
        <v>13</v>
      </c>
      <c r="Z81" s="3">
        <f t="shared" si="90"/>
        <v>14</v>
      </c>
      <c r="AA81" s="3">
        <f t="shared" si="90"/>
        <v>15</v>
      </c>
      <c r="AB81" s="3">
        <f t="shared" si="90"/>
        <v>16</v>
      </c>
      <c r="AC81" s="3">
        <f t="shared" si="90"/>
        <v>17</v>
      </c>
      <c r="AD81" s="3">
        <f t="shared" si="90"/>
        <v>18</v>
      </c>
      <c r="AE81" s="3">
        <f t="shared" si="90"/>
        <v>19</v>
      </c>
      <c r="AF81" s="3">
        <f t="shared" si="90"/>
        <v>20</v>
      </c>
      <c r="AG81" s="3">
        <f t="shared" si="90"/>
        <v>21</v>
      </c>
      <c r="AH81" s="3">
        <f t="shared" si="90"/>
        <v>22</v>
      </c>
      <c r="AI81" s="3">
        <f t="shared" si="90"/>
        <v>23</v>
      </c>
      <c r="AJ81" s="3">
        <f t="shared" si="90"/>
        <v>24</v>
      </c>
      <c r="AK81" s="3">
        <f t="shared" si="90"/>
        <v>25</v>
      </c>
      <c r="AL81" s="4"/>
      <c r="AM81" s="4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5"/>
      <c r="CP81" s="5"/>
      <c r="CQ81" s="5"/>
      <c r="CR81" s="5"/>
    </row>
    <row r="82" spans="1:96" ht="15" hidden="1" customHeight="1" x14ac:dyDescent="0.25">
      <c r="A82" t="s">
        <v>8</v>
      </c>
      <c r="B82" s="139">
        <v>13</v>
      </c>
      <c r="C82" s="139">
        <v>4</v>
      </c>
      <c r="D82" s="139" t="str">
        <f t="shared" si="87"/>
        <v>SUPPLY_WEST_O_1_21</v>
      </c>
      <c r="E82" s="139" t="s">
        <v>0</v>
      </c>
      <c r="F82" s="142" t="s">
        <v>0</v>
      </c>
      <c r="G82" s="140" t="s">
        <v>19</v>
      </c>
      <c r="H82" s="140" t="s">
        <v>40</v>
      </c>
      <c r="I82" s="140">
        <v>1</v>
      </c>
      <c r="J82" s="143"/>
      <c r="K82" s="184">
        <f>COUNT(AH82:BW82)</f>
        <v>6</v>
      </c>
      <c r="L82" s="140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101"/>
      <c r="AB82" s="42"/>
      <c r="AC82" s="46"/>
      <c r="AD82" s="46"/>
      <c r="AE82" s="46"/>
      <c r="AF82" s="46"/>
      <c r="AG82" s="57"/>
      <c r="AH82" s="86">
        <v>1</v>
      </c>
      <c r="AI82" s="3">
        <f t="shared" ref="AI82:AM82" si="91">AH82+1</f>
        <v>2</v>
      </c>
      <c r="AJ82" s="3">
        <f t="shared" si="91"/>
        <v>3</v>
      </c>
      <c r="AK82" s="3">
        <f t="shared" si="91"/>
        <v>4</v>
      </c>
      <c r="AL82" s="3">
        <f t="shared" si="91"/>
        <v>5</v>
      </c>
      <c r="AM82" s="3">
        <f t="shared" si="91"/>
        <v>6</v>
      </c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97"/>
      <c r="BA82" s="4"/>
      <c r="BB82" s="4"/>
      <c r="BC82" s="4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5"/>
      <c r="CP82" s="5"/>
      <c r="CQ82" s="5"/>
      <c r="CR82" s="5"/>
    </row>
    <row r="83" spans="1:96" ht="15" customHeight="1" x14ac:dyDescent="0.25">
      <c r="A83" t="s">
        <v>8</v>
      </c>
      <c r="B83" s="139">
        <v>13</v>
      </c>
      <c r="C83" s="140">
        <v>5</v>
      </c>
      <c r="D83" s="139" t="str">
        <f t="shared" si="87"/>
        <v>EMPTY_WEST_O_1_21</v>
      </c>
      <c r="E83" s="140" t="s">
        <v>0</v>
      </c>
      <c r="F83" s="142" t="s">
        <v>32</v>
      </c>
      <c r="G83" s="140" t="s">
        <v>19</v>
      </c>
      <c r="H83" s="140" t="s">
        <v>40</v>
      </c>
      <c r="I83" s="140">
        <v>1</v>
      </c>
      <c r="J83" s="139"/>
      <c r="K83" s="184">
        <f>COUNT(AH83:BW83)</f>
        <v>22</v>
      </c>
      <c r="L83" s="139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101"/>
      <c r="AB83" s="42"/>
      <c r="AC83" s="46"/>
      <c r="AD83" s="46"/>
      <c r="AE83" s="46"/>
      <c r="AF83" s="46"/>
      <c r="AG83" s="57"/>
      <c r="AH83" s="86">
        <v>1</v>
      </c>
      <c r="AI83" s="3">
        <f t="shared" ref="AI83:BC83" si="92">AH83+1</f>
        <v>2</v>
      </c>
      <c r="AJ83" s="3">
        <f t="shared" si="92"/>
        <v>3</v>
      </c>
      <c r="AK83" s="3">
        <f t="shared" si="92"/>
        <v>4</v>
      </c>
      <c r="AL83" s="3">
        <f t="shared" si="92"/>
        <v>5</v>
      </c>
      <c r="AM83" s="3">
        <f t="shared" si="92"/>
        <v>6</v>
      </c>
      <c r="AN83" s="3">
        <f t="shared" si="92"/>
        <v>7</v>
      </c>
      <c r="AO83" s="3">
        <f t="shared" si="92"/>
        <v>8</v>
      </c>
      <c r="AP83" s="3">
        <f t="shared" si="92"/>
        <v>9</v>
      </c>
      <c r="AQ83" s="3">
        <f t="shared" si="92"/>
        <v>10</v>
      </c>
      <c r="AR83" s="3">
        <f t="shared" si="92"/>
        <v>11</v>
      </c>
      <c r="AS83" s="3">
        <f t="shared" si="92"/>
        <v>12</v>
      </c>
      <c r="AT83" s="3">
        <f t="shared" si="92"/>
        <v>13</v>
      </c>
      <c r="AU83" s="3">
        <f t="shared" si="92"/>
        <v>14</v>
      </c>
      <c r="AV83" s="3">
        <f t="shared" si="92"/>
        <v>15</v>
      </c>
      <c r="AW83" s="3">
        <f t="shared" si="92"/>
        <v>16</v>
      </c>
      <c r="AX83" s="3">
        <f t="shared" si="92"/>
        <v>17</v>
      </c>
      <c r="AY83" s="3">
        <f t="shared" si="92"/>
        <v>18</v>
      </c>
      <c r="AZ83" s="3">
        <f t="shared" si="92"/>
        <v>19</v>
      </c>
      <c r="BA83" s="3">
        <f t="shared" si="92"/>
        <v>20</v>
      </c>
      <c r="BB83" s="3">
        <f t="shared" si="92"/>
        <v>21</v>
      </c>
      <c r="BC83" s="3">
        <f t="shared" si="92"/>
        <v>22</v>
      </c>
      <c r="BD83" s="46"/>
      <c r="BE83" s="4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5"/>
      <c r="CP83" s="5"/>
      <c r="CQ83" s="5"/>
      <c r="CR83" s="5"/>
    </row>
    <row r="84" spans="1:96" ht="15" hidden="1" customHeight="1" x14ac:dyDescent="0.25">
      <c r="A84" t="s">
        <v>8</v>
      </c>
      <c r="B84" s="139">
        <v>13</v>
      </c>
      <c r="C84" s="140">
        <v>6</v>
      </c>
      <c r="D84" s="139" t="str">
        <f t="shared" si="87"/>
        <v>COUNTDOWN_WEST_O_1_21</v>
      </c>
      <c r="E84" s="140"/>
      <c r="F84" s="142" t="s">
        <v>33</v>
      </c>
      <c r="G84" s="140" t="s">
        <v>19</v>
      </c>
      <c r="H84" s="140" t="s">
        <v>40</v>
      </c>
      <c r="I84" s="140">
        <v>1</v>
      </c>
      <c r="J84" s="144"/>
      <c r="K84" s="144"/>
      <c r="L84" s="140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101"/>
      <c r="AB84" s="42"/>
      <c r="AC84" s="46"/>
      <c r="AD84" s="46"/>
      <c r="AE84" s="46"/>
      <c r="AF84" s="6"/>
      <c r="AG84" s="28"/>
      <c r="AH84" s="133"/>
      <c r="AI84" s="46"/>
      <c r="AJ84" s="56"/>
      <c r="AK84" s="56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5"/>
      <c r="CP84" s="5"/>
      <c r="CQ84" s="5"/>
      <c r="CR84" s="5"/>
    </row>
    <row r="85" spans="1:96" ht="15" hidden="1" customHeight="1" x14ac:dyDescent="0.25">
      <c r="B85" s="139">
        <v>14</v>
      </c>
      <c r="C85" s="139">
        <v>1</v>
      </c>
      <c r="D85" s="139" t="str">
        <f t="shared" si="87"/>
        <v>SORTING_WEST_L_2_21</v>
      </c>
      <c r="E85" s="139" t="s">
        <v>35</v>
      </c>
      <c r="F85" s="138" t="s">
        <v>45</v>
      </c>
      <c r="G85" s="140" t="s">
        <v>19</v>
      </c>
      <c r="H85" s="140" t="s">
        <v>13</v>
      </c>
      <c r="I85" s="140">
        <v>2</v>
      </c>
      <c r="J85" s="139"/>
      <c r="K85" s="184">
        <f>COUNT(AB85:BB85)</f>
        <v>7</v>
      </c>
      <c r="L85" s="139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101"/>
      <c r="AB85" s="8">
        <v>1</v>
      </c>
      <c r="AC85" s="3">
        <f>AB85+1</f>
        <v>2</v>
      </c>
      <c r="AD85" s="3">
        <f t="shared" ref="AD85:AH85" si="93">AC85+1</f>
        <v>3</v>
      </c>
      <c r="AE85" s="3">
        <f t="shared" si="93"/>
        <v>4</v>
      </c>
      <c r="AF85" s="3">
        <f t="shared" si="93"/>
        <v>5</v>
      </c>
      <c r="AG85" s="3">
        <f t="shared" si="93"/>
        <v>6</v>
      </c>
      <c r="AH85" s="3">
        <f t="shared" si="93"/>
        <v>7</v>
      </c>
      <c r="AI85" s="4"/>
      <c r="AJ85" s="4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5"/>
      <c r="CP85" s="5"/>
      <c r="CQ85" s="5"/>
      <c r="CR85" s="5"/>
    </row>
    <row r="86" spans="1:96" ht="15" hidden="1" customHeight="1" x14ac:dyDescent="0.25">
      <c r="B86" s="139">
        <v>14</v>
      </c>
      <c r="C86" s="139">
        <v>2</v>
      </c>
      <c r="D86" s="139" t="str">
        <f t="shared" si="87"/>
        <v>TRANSFER_WEST_L_2_21</v>
      </c>
      <c r="E86" s="139" t="s">
        <v>21</v>
      </c>
      <c r="F86" s="138" t="s">
        <v>21</v>
      </c>
      <c r="G86" s="140" t="s">
        <v>19</v>
      </c>
      <c r="H86" s="140" t="s">
        <v>13</v>
      </c>
      <c r="I86" s="140">
        <v>2</v>
      </c>
      <c r="J86" s="139"/>
      <c r="K86" s="184">
        <f>COUNT(AB86:BB86)</f>
        <v>9</v>
      </c>
      <c r="L86" s="139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101"/>
      <c r="AB86" s="8">
        <v>1</v>
      </c>
      <c r="AC86" s="3">
        <f>AB86+1</f>
        <v>2</v>
      </c>
      <c r="AD86" s="3">
        <f t="shared" ref="AD86:AJ86" si="94">AC86+1</f>
        <v>3</v>
      </c>
      <c r="AE86" s="3">
        <f t="shared" si="94"/>
        <v>4</v>
      </c>
      <c r="AF86" s="3">
        <f t="shared" si="94"/>
        <v>5</v>
      </c>
      <c r="AG86" s="3">
        <f t="shared" si="94"/>
        <v>6</v>
      </c>
      <c r="AH86" s="3">
        <f t="shared" si="94"/>
        <v>7</v>
      </c>
      <c r="AI86" s="3">
        <f t="shared" si="94"/>
        <v>8</v>
      </c>
      <c r="AJ86" s="3">
        <f t="shared" si="94"/>
        <v>9</v>
      </c>
      <c r="AK86" s="4"/>
      <c r="AL86" s="4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5"/>
      <c r="CP86" s="5"/>
      <c r="CQ86" s="5"/>
      <c r="CR86" s="5"/>
    </row>
    <row r="87" spans="1:96" ht="15" hidden="1" customHeight="1" x14ac:dyDescent="0.25">
      <c r="B87" s="139">
        <v>14</v>
      </c>
      <c r="C87" s="139">
        <v>3</v>
      </c>
      <c r="D87" s="139" t="str">
        <f t="shared" si="87"/>
        <v>PREPARE_WEST_L_2_21</v>
      </c>
      <c r="E87" s="139" t="s">
        <v>0</v>
      </c>
      <c r="F87" s="138" t="s">
        <v>46</v>
      </c>
      <c r="G87" s="140" t="s">
        <v>19</v>
      </c>
      <c r="H87" s="140" t="s">
        <v>13</v>
      </c>
      <c r="I87" s="140">
        <v>2</v>
      </c>
      <c r="J87" s="141"/>
      <c r="K87" s="184">
        <f>COUNT(M87:BB87)</f>
        <v>27</v>
      </c>
      <c r="L87" s="139"/>
      <c r="M87" s="3">
        <v>1</v>
      </c>
      <c r="N87" s="3">
        <f t="shared" ref="N87:AM87" si="95">M87+1</f>
        <v>2</v>
      </c>
      <c r="O87" s="3">
        <f t="shared" si="95"/>
        <v>3</v>
      </c>
      <c r="P87" s="3">
        <f t="shared" si="95"/>
        <v>4</v>
      </c>
      <c r="Q87" s="3">
        <f t="shared" si="95"/>
        <v>5</v>
      </c>
      <c r="R87" s="3">
        <f t="shared" si="95"/>
        <v>6</v>
      </c>
      <c r="S87" s="3">
        <f t="shared" si="95"/>
        <v>7</v>
      </c>
      <c r="T87" s="3">
        <f t="shared" si="95"/>
        <v>8</v>
      </c>
      <c r="U87" s="3">
        <f t="shared" si="95"/>
        <v>9</v>
      </c>
      <c r="V87" s="3">
        <f t="shared" si="95"/>
        <v>10</v>
      </c>
      <c r="W87" s="3">
        <f t="shared" si="95"/>
        <v>11</v>
      </c>
      <c r="X87" s="3">
        <f t="shared" si="95"/>
        <v>12</v>
      </c>
      <c r="Y87" s="3">
        <f t="shared" si="95"/>
        <v>13</v>
      </c>
      <c r="Z87" s="3">
        <f t="shared" si="95"/>
        <v>14</v>
      </c>
      <c r="AA87" s="3">
        <f t="shared" si="95"/>
        <v>15</v>
      </c>
      <c r="AB87" s="3">
        <f t="shared" si="95"/>
        <v>16</v>
      </c>
      <c r="AC87" s="3">
        <f t="shared" si="95"/>
        <v>17</v>
      </c>
      <c r="AD87" s="3">
        <f t="shared" si="95"/>
        <v>18</v>
      </c>
      <c r="AE87" s="3">
        <f t="shared" si="95"/>
        <v>19</v>
      </c>
      <c r="AF87" s="3">
        <f t="shared" si="95"/>
        <v>20</v>
      </c>
      <c r="AG87" s="3">
        <f t="shared" si="95"/>
        <v>21</v>
      </c>
      <c r="AH87" s="3">
        <f t="shared" si="95"/>
        <v>22</v>
      </c>
      <c r="AI87" s="3">
        <f t="shared" si="95"/>
        <v>23</v>
      </c>
      <c r="AJ87" s="3">
        <f t="shared" si="95"/>
        <v>24</v>
      </c>
      <c r="AK87" s="3">
        <f t="shared" si="95"/>
        <v>25</v>
      </c>
      <c r="AL87" s="3">
        <f t="shared" si="95"/>
        <v>26</v>
      </c>
      <c r="AM87" s="3">
        <f t="shared" si="95"/>
        <v>27</v>
      </c>
      <c r="AN87" s="4"/>
      <c r="AO87" s="4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5"/>
      <c r="CP87" s="5"/>
      <c r="CQ87" s="5"/>
      <c r="CR87" s="5"/>
    </row>
    <row r="88" spans="1:96" ht="15" hidden="1" customHeight="1" x14ac:dyDescent="0.25">
      <c r="B88" s="139">
        <v>14</v>
      </c>
      <c r="C88" s="139">
        <v>4</v>
      </c>
      <c r="D88" s="139" t="str">
        <f t="shared" si="87"/>
        <v>SUPPLY_WEST_L_2_21</v>
      </c>
      <c r="E88" s="139" t="s">
        <v>0</v>
      </c>
      <c r="F88" s="142" t="s">
        <v>0</v>
      </c>
      <c r="G88" s="140" t="s">
        <v>19</v>
      </c>
      <c r="H88" s="140" t="s">
        <v>13</v>
      </c>
      <c r="I88" s="140">
        <v>2</v>
      </c>
      <c r="J88" s="143"/>
      <c r="K88" s="184">
        <f>COUNT(AH88:BW88)</f>
        <v>8</v>
      </c>
      <c r="L88" s="140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101"/>
      <c r="AB88" s="42"/>
      <c r="AC88" s="46"/>
      <c r="AD88" s="46"/>
      <c r="AE88" s="46"/>
      <c r="AF88" s="46"/>
      <c r="AG88" s="57"/>
      <c r="AH88" s="86">
        <v>1</v>
      </c>
      <c r="AI88" s="3">
        <f t="shared" ref="AI88:AO88" si="96">AH88+1</f>
        <v>2</v>
      </c>
      <c r="AJ88" s="3">
        <f t="shared" si="96"/>
        <v>3</v>
      </c>
      <c r="AK88" s="3">
        <f t="shared" si="96"/>
        <v>4</v>
      </c>
      <c r="AL88" s="3">
        <f t="shared" si="96"/>
        <v>5</v>
      </c>
      <c r="AM88" s="3">
        <f t="shared" si="96"/>
        <v>6</v>
      </c>
      <c r="AN88" s="3">
        <f t="shared" si="96"/>
        <v>7</v>
      </c>
      <c r="AO88" s="3">
        <f t="shared" si="96"/>
        <v>8</v>
      </c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97"/>
      <c r="BC88" s="4"/>
      <c r="BD88" s="4"/>
      <c r="BE88" s="4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5"/>
      <c r="CP88" s="5"/>
      <c r="CQ88" s="5"/>
      <c r="CR88" s="5"/>
    </row>
    <row r="89" spans="1:96" ht="15" customHeight="1" x14ac:dyDescent="0.25">
      <c r="B89" s="139">
        <v>14</v>
      </c>
      <c r="C89" s="140">
        <v>5</v>
      </c>
      <c r="D89" s="139" t="str">
        <f t="shared" si="87"/>
        <v>EMPTY_WEST_L_2_21</v>
      </c>
      <c r="E89" s="140" t="s">
        <v>0</v>
      </c>
      <c r="F89" s="142" t="s">
        <v>32</v>
      </c>
      <c r="G89" s="140" t="s">
        <v>19</v>
      </c>
      <c r="H89" s="140" t="s">
        <v>13</v>
      </c>
      <c r="I89" s="140">
        <v>2</v>
      </c>
      <c r="J89" s="139"/>
      <c r="K89" s="184">
        <f>COUNT(AH89:BW89)</f>
        <v>24</v>
      </c>
      <c r="L89" s="139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101"/>
      <c r="AB89" s="42"/>
      <c r="AC89" s="46"/>
      <c r="AD89" s="46"/>
      <c r="AE89" s="46"/>
      <c r="AF89" s="46"/>
      <c r="AG89" s="57"/>
      <c r="AH89" s="86">
        <v>1</v>
      </c>
      <c r="AI89" s="3">
        <f t="shared" ref="AI89:BE89" si="97">AH89+1</f>
        <v>2</v>
      </c>
      <c r="AJ89" s="3">
        <f t="shared" si="97"/>
        <v>3</v>
      </c>
      <c r="AK89" s="3">
        <f t="shared" si="97"/>
        <v>4</v>
      </c>
      <c r="AL89" s="3">
        <f t="shared" si="97"/>
        <v>5</v>
      </c>
      <c r="AM89" s="3">
        <f t="shared" si="97"/>
        <v>6</v>
      </c>
      <c r="AN89" s="3">
        <f t="shared" si="97"/>
        <v>7</v>
      </c>
      <c r="AO89" s="3">
        <f t="shared" si="97"/>
        <v>8</v>
      </c>
      <c r="AP89" s="3">
        <f t="shared" si="97"/>
        <v>9</v>
      </c>
      <c r="AQ89" s="3">
        <f t="shared" si="97"/>
        <v>10</v>
      </c>
      <c r="AR89" s="3">
        <f t="shared" si="97"/>
        <v>11</v>
      </c>
      <c r="AS89" s="3">
        <f t="shared" si="97"/>
        <v>12</v>
      </c>
      <c r="AT89" s="3">
        <f t="shared" si="97"/>
        <v>13</v>
      </c>
      <c r="AU89" s="3">
        <f t="shared" si="97"/>
        <v>14</v>
      </c>
      <c r="AV89" s="3">
        <f t="shared" si="97"/>
        <v>15</v>
      </c>
      <c r="AW89" s="3">
        <f t="shared" si="97"/>
        <v>16</v>
      </c>
      <c r="AX89" s="3">
        <f t="shared" si="97"/>
        <v>17</v>
      </c>
      <c r="AY89" s="3">
        <f t="shared" si="97"/>
        <v>18</v>
      </c>
      <c r="AZ89" s="3">
        <f t="shared" si="97"/>
        <v>19</v>
      </c>
      <c r="BA89" s="3">
        <f t="shared" si="97"/>
        <v>20</v>
      </c>
      <c r="BB89" s="3">
        <f t="shared" si="97"/>
        <v>21</v>
      </c>
      <c r="BC89" s="3">
        <f t="shared" si="97"/>
        <v>22</v>
      </c>
      <c r="BD89" s="3">
        <f t="shared" si="97"/>
        <v>23</v>
      </c>
      <c r="BE89" s="3">
        <f t="shared" si="97"/>
        <v>24</v>
      </c>
      <c r="BF89" s="46"/>
      <c r="BG89" s="4"/>
      <c r="BH89" s="4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5"/>
      <c r="CP89" s="5"/>
      <c r="CQ89" s="5"/>
      <c r="CR89" s="5"/>
    </row>
    <row r="90" spans="1:96" ht="15" hidden="1" customHeight="1" x14ac:dyDescent="0.25">
      <c r="B90" s="139">
        <v>14</v>
      </c>
      <c r="C90" s="140">
        <v>6</v>
      </c>
      <c r="D90" s="139" t="str">
        <f t="shared" si="87"/>
        <v>COUNTDOWN_WEST_L_2_21</v>
      </c>
      <c r="E90" s="140"/>
      <c r="F90" s="142" t="s">
        <v>33</v>
      </c>
      <c r="G90" s="140" t="s">
        <v>19</v>
      </c>
      <c r="H90" s="140" t="s">
        <v>13</v>
      </c>
      <c r="I90" s="140">
        <v>2</v>
      </c>
      <c r="J90" s="144"/>
      <c r="K90" s="144"/>
      <c r="L90" s="140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101"/>
      <c r="AB90" s="8"/>
      <c r="AC90" s="3"/>
      <c r="AD90" s="3"/>
      <c r="AE90" s="3"/>
      <c r="AF90" s="3"/>
      <c r="AG90" s="31"/>
      <c r="AH90" s="132"/>
      <c r="AI90" s="6"/>
      <c r="AJ90" s="46"/>
      <c r="AK90" s="46"/>
      <c r="AL90" s="56"/>
      <c r="AM90" s="56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5"/>
      <c r="CP90" s="5"/>
      <c r="CQ90" s="5"/>
      <c r="CR90" s="5"/>
    </row>
    <row r="91" spans="1:96" ht="15" hidden="1" customHeight="1" x14ac:dyDescent="0.25">
      <c r="B91" s="139">
        <v>16</v>
      </c>
      <c r="C91" s="139">
        <v>1</v>
      </c>
      <c r="D91" s="139" t="str">
        <f t="shared" si="87"/>
        <v>SORTING_WEST_N_1_21</v>
      </c>
      <c r="E91" s="139" t="s">
        <v>35</v>
      </c>
      <c r="F91" s="138" t="s">
        <v>45</v>
      </c>
      <c r="G91" s="140" t="s">
        <v>19</v>
      </c>
      <c r="H91" s="140" t="s">
        <v>15</v>
      </c>
      <c r="I91" s="140">
        <v>1</v>
      </c>
      <c r="J91" s="139"/>
      <c r="K91" s="184">
        <f>COUNT(AB91:BB91)</f>
        <v>9</v>
      </c>
      <c r="L91" s="139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101"/>
      <c r="AB91" s="8">
        <v>1</v>
      </c>
      <c r="AC91" s="3">
        <f>AB91+1</f>
        <v>2</v>
      </c>
      <c r="AD91" s="3">
        <f t="shared" ref="AD91:AJ91" si="98">AC91+1</f>
        <v>3</v>
      </c>
      <c r="AE91" s="3">
        <f t="shared" si="98"/>
        <v>4</v>
      </c>
      <c r="AF91" s="3">
        <f t="shared" si="98"/>
        <v>5</v>
      </c>
      <c r="AG91" s="3">
        <f t="shared" si="98"/>
        <v>6</v>
      </c>
      <c r="AH91" s="3">
        <f t="shared" si="98"/>
        <v>7</v>
      </c>
      <c r="AI91" s="3">
        <f t="shared" si="98"/>
        <v>8</v>
      </c>
      <c r="AJ91" s="3">
        <f t="shared" si="98"/>
        <v>9</v>
      </c>
      <c r="AK91" s="4"/>
      <c r="AL91" s="4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5"/>
      <c r="CP91" s="5"/>
      <c r="CQ91" s="5"/>
      <c r="CR91" s="5"/>
    </row>
    <row r="92" spans="1:96" ht="15" hidden="1" customHeight="1" x14ac:dyDescent="0.25">
      <c r="B92" s="139">
        <v>16</v>
      </c>
      <c r="C92" s="139">
        <v>2</v>
      </c>
      <c r="D92" s="139" t="str">
        <f t="shared" si="87"/>
        <v>TRANSFER_WEST_N_1_21</v>
      </c>
      <c r="E92" s="139" t="s">
        <v>21</v>
      </c>
      <c r="F92" s="138" t="s">
        <v>21</v>
      </c>
      <c r="G92" s="140" t="s">
        <v>19</v>
      </c>
      <c r="H92" s="140" t="s">
        <v>15</v>
      </c>
      <c r="I92" s="140">
        <v>1</v>
      </c>
      <c r="J92" s="139"/>
      <c r="K92" s="184">
        <f>COUNT(AB92:BB92)</f>
        <v>11</v>
      </c>
      <c r="L92" s="139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101"/>
      <c r="AB92" s="8">
        <v>1</v>
      </c>
      <c r="AC92" s="3">
        <f>AB92+1</f>
        <v>2</v>
      </c>
      <c r="AD92" s="3">
        <f t="shared" ref="AD92:AL92" si="99">AC92+1</f>
        <v>3</v>
      </c>
      <c r="AE92" s="3">
        <f t="shared" si="99"/>
        <v>4</v>
      </c>
      <c r="AF92" s="3">
        <f t="shared" si="99"/>
        <v>5</v>
      </c>
      <c r="AG92" s="3">
        <f t="shared" si="99"/>
        <v>6</v>
      </c>
      <c r="AH92" s="3">
        <f t="shared" si="99"/>
        <v>7</v>
      </c>
      <c r="AI92" s="3">
        <f t="shared" si="99"/>
        <v>8</v>
      </c>
      <c r="AJ92" s="3">
        <f t="shared" si="99"/>
        <v>9</v>
      </c>
      <c r="AK92" s="3">
        <f t="shared" si="99"/>
        <v>10</v>
      </c>
      <c r="AL92" s="3">
        <f t="shared" si="99"/>
        <v>11</v>
      </c>
      <c r="AM92" s="4"/>
      <c r="AN92" s="4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5"/>
      <c r="CP92" s="5"/>
      <c r="CQ92" s="5"/>
      <c r="CR92" s="5"/>
    </row>
    <row r="93" spans="1:96" ht="15" hidden="1" customHeight="1" x14ac:dyDescent="0.25">
      <c r="B93" s="139">
        <v>16</v>
      </c>
      <c r="C93" s="139">
        <v>3</v>
      </c>
      <c r="D93" s="139" t="str">
        <f t="shared" si="87"/>
        <v>PREPARE_WEST_N_1_21</v>
      </c>
      <c r="E93" s="139" t="s">
        <v>0</v>
      </c>
      <c r="F93" s="138" t="s">
        <v>46</v>
      </c>
      <c r="G93" s="140" t="s">
        <v>19</v>
      </c>
      <c r="H93" s="140" t="s">
        <v>15</v>
      </c>
      <c r="I93" s="140">
        <v>1</v>
      </c>
      <c r="J93" s="141"/>
      <c r="K93" s="184">
        <f>COUNT(M93:BB93)</f>
        <v>29</v>
      </c>
      <c r="L93" s="139"/>
      <c r="M93" s="3">
        <v>1</v>
      </c>
      <c r="N93" s="3">
        <f t="shared" ref="N93:AO93" si="100">M93+1</f>
        <v>2</v>
      </c>
      <c r="O93" s="3">
        <f t="shared" si="100"/>
        <v>3</v>
      </c>
      <c r="P93" s="3">
        <f t="shared" si="100"/>
        <v>4</v>
      </c>
      <c r="Q93" s="3">
        <f t="shared" si="100"/>
        <v>5</v>
      </c>
      <c r="R93" s="3">
        <f t="shared" si="100"/>
        <v>6</v>
      </c>
      <c r="S93" s="3">
        <f t="shared" si="100"/>
        <v>7</v>
      </c>
      <c r="T93" s="3">
        <f t="shared" si="100"/>
        <v>8</v>
      </c>
      <c r="U93" s="3">
        <f t="shared" si="100"/>
        <v>9</v>
      </c>
      <c r="V93" s="3">
        <f t="shared" si="100"/>
        <v>10</v>
      </c>
      <c r="W93" s="3">
        <f t="shared" si="100"/>
        <v>11</v>
      </c>
      <c r="X93" s="3">
        <f t="shared" si="100"/>
        <v>12</v>
      </c>
      <c r="Y93" s="3">
        <f t="shared" si="100"/>
        <v>13</v>
      </c>
      <c r="Z93" s="3">
        <f t="shared" si="100"/>
        <v>14</v>
      </c>
      <c r="AA93" s="3">
        <f t="shared" si="100"/>
        <v>15</v>
      </c>
      <c r="AB93" s="3">
        <f t="shared" si="100"/>
        <v>16</v>
      </c>
      <c r="AC93" s="3">
        <f t="shared" si="100"/>
        <v>17</v>
      </c>
      <c r="AD93" s="3">
        <f t="shared" si="100"/>
        <v>18</v>
      </c>
      <c r="AE93" s="3">
        <f t="shared" si="100"/>
        <v>19</v>
      </c>
      <c r="AF93" s="3">
        <f t="shared" si="100"/>
        <v>20</v>
      </c>
      <c r="AG93" s="3">
        <f t="shared" si="100"/>
        <v>21</v>
      </c>
      <c r="AH93" s="3">
        <f t="shared" si="100"/>
        <v>22</v>
      </c>
      <c r="AI93" s="3">
        <f t="shared" si="100"/>
        <v>23</v>
      </c>
      <c r="AJ93" s="3">
        <f t="shared" si="100"/>
        <v>24</v>
      </c>
      <c r="AK93" s="3">
        <f t="shared" si="100"/>
        <v>25</v>
      </c>
      <c r="AL93" s="3">
        <f t="shared" si="100"/>
        <v>26</v>
      </c>
      <c r="AM93" s="3">
        <f t="shared" si="100"/>
        <v>27</v>
      </c>
      <c r="AN93" s="3">
        <f t="shared" si="100"/>
        <v>28</v>
      </c>
      <c r="AO93" s="3">
        <f t="shared" si="100"/>
        <v>29</v>
      </c>
      <c r="AP93" s="4"/>
      <c r="AQ93" s="4"/>
      <c r="AR93" s="4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5"/>
      <c r="CP93" s="5"/>
      <c r="CQ93" s="5"/>
      <c r="CR93" s="5"/>
    </row>
    <row r="94" spans="1:96" ht="15" hidden="1" customHeight="1" x14ac:dyDescent="0.25">
      <c r="B94" s="139">
        <v>16</v>
      </c>
      <c r="C94" s="139">
        <v>4</v>
      </c>
      <c r="D94" s="139" t="str">
        <f t="shared" si="87"/>
        <v>SUPPLY_WEST_N_1_21</v>
      </c>
      <c r="E94" s="139" t="s">
        <v>0</v>
      </c>
      <c r="F94" s="142" t="s">
        <v>0</v>
      </c>
      <c r="G94" s="140" t="s">
        <v>19</v>
      </c>
      <c r="H94" s="140" t="s">
        <v>15</v>
      </c>
      <c r="I94" s="140">
        <v>1</v>
      </c>
      <c r="J94" s="143"/>
      <c r="K94" s="184">
        <f>COUNT(AH94:BW94)</f>
        <v>11</v>
      </c>
      <c r="L94" s="140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101"/>
      <c r="AB94" s="42"/>
      <c r="AC94" s="46"/>
      <c r="AD94" s="46"/>
      <c r="AE94" s="46"/>
      <c r="AF94" s="46"/>
      <c r="AG94" s="57"/>
      <c r="AH94" s="86">
        <v>1</v>
      </c>
      <c r="AI94" s="3">
        <f t="shared" ref="AI94:AR94" si="101">AH94+1</f>
        <v>2</v>
      </c>
      <c r="AJ94" s="3">
        <f t="shared" si="101"/>
        <v>3</v>
      </c>
      <c r="AK94" s="3">
        <f t="shared" si="101"/>
        <v>4</v>
      </c>
      <c r="AL94" s="3">
        <f t="shared" si="101"/>
        <v>5</v>
      </c>
      <c r="AM94" s="3">
        <f t="shared" si="101"/>
        <v>6</v>
      </c>
      <c r="AN94" s="3">
        <f t="shared" si="101"/>
        <v>7</v>
      </c>
      <c r="AO94" s="3">
        <f t="shared" si="101"/>
        <v>8</v>
      </c>
      <c r="AP94" s="3">
        <f t="shared" si="101"/>
        <v>9</v>
      </c>
      <c r="AQ94" s="3">
        <f t="shared" si="101"/>
        <v>10</v>
      </c>
      <c r="AR94" s="3">
        <f t="shared" si="101"/>
        <v>11</v>
      </c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97"/>
      <c r="BG94" s="4"/>
      <c r="BH94" s="4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5"/>
      <c r="CP94" s="5"/>
      <c r="CQ94" s="5"/>
      <c r="CR94" s="5"/>
    </row>
    <row r="95" spans="1:96" ht="15" customHeight="1" x14ac:dyDescent="0.25">
      <c r="B95" s="139">
        <v>16</v>
      </c>
      <c r="C95" s="140">
        <v>5</v>
      </c>
      <c r="D95" s="139" t="str">
        <f t="shared" si="87"/>
        <v>EMPTY_WEST_N_1_21</v>
      </c>
      <c r="E95" s="140" t="s">
        <v>0</v>
      </c>
      <c r="F95" s="142" t="s">
        <v>32</v>
      </c>
      <c r="G95" s="140" t="s">
        <v>19</v>
      </c>
      <c r="H95" s="140" t="s">
        <v>15</v>
      </c>
      <c r="I95" s="140">
        <v>1</v>
      </c>
      <c r="J95" s="139"/>
      <c r="K95" s="184">
        <f>COUNT(AH95:BW95)</f>
        <v>27</v>
      </c>
      <c r="L95" s="139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101"/>
      <c r="AB95" s="42"/>
      <c r="AC95" s="46"/>
      <c r="AD95" s="46"/>
      <c r="AE95" s="46"/>
      <c r="AF95" s="46"/>
      <c r="AG95" s="57"/>
      <c r="AH95" s="86">
        <v>1</v>
      </c>
      <c r="AI95" s="3">
        <f t="shared" ref="AI95:BH95" si="102">AH95+1</f>
        <v>2</v>
      </c>
      <c r="AJ95" s="3">
        <f t="shared" si="102"/>
        <v>3</v>
      </c>
      <c r="AK95" s="3">
        <f t="shared" si="102"/>
        <v>4</v>
      </c>
      <c r="AL95" s="3">
        <f t="shared" si="102"/>
        <v>5</v>
      </c>
      <c r="AM95" s="3">
        <f t="shared" si="102"/>
        <v>6</v>
      </c>
      <c r="AN95" s="3">
        <f t="shared" si="102"/>
        <v>7</v>
      </c>
      <c r="AO95" s="3">
        <f t="shared" si="102"/>
        <v>8</v>
      </c>
      <c r="AP95" s="3">
        <f t="shared" si="102"/>
        <v>9</v>
      </c>
      <c r="AQ95" s="3">
        <f t="shared" si="102"/>
        <v>10</v>
      </c>
      <c r="AR95" s="3">
        <f t="shared" si="102"/>
        <v>11</v>
      </c>
      <c r="AS95" s="3">
        <f t="shared" si="102"/>
        <v>12</v>
      </c>
      <c r="AT95" s="3">
        <f t="shared" si="102"/>
        <v>13</v>
      </c>
      <c r="AU95" s="3">
        <f t="shared" si="102"/>
        <v>14</v>
      </c>
      <c r="AV95" s="3">
        <f t="shared" si="102"/>
        <v>15</v>
      </c>
      <c r="AW95" s="3">
        <f t="shared" si="102"/>
        <v>16</v>
      </c>
      <c r="AX95" s="3">
        <f t="shared" si="102"/>
        <v>17</v>
      </c>
      <c r="AY95" s="3">
        <f t="shared" si="102"/>
        <v>18</v>
      </c>
      <c r="AZ95" s="3">
        <f t="shared" si="102"/>
        <v>19</v>
      </c>
      <c r="BA95" s="3">
        <f t="shared" si="102"/>
        <v>20</v>
      </c>
      <c r="BB95" s="3">
        <f t="shared" si="102"/>
        <v>21</v>
      </c>
      <c r="BC95" s="3">
        <f t="shared" si="102"/>
        <v>22</v>
      </c>
      <c r="BD95" s="3">
        <f t="shared" si="102"/>
        <v>23</v>
      </c>
      <c r="BE95" s="3">
        <f t="shared" si="102"/>
        <v>24</v>
      </c>
      <c r="BF95" s="3">
        <f t="shared" si="102"/>
        <v>25</v>
      </c>
      <c r="BG95" s="3">
        <f t="shared" si="102"/>
        <v>26</v>
      </c>
      <c r="BH95" s="3">
        <f t="shared" si="102"/>
        <v>27</v>
      </c>
      <c r="BI95" s="46"/>
      <c r="BJ95" s="4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5"/>
      <c r="CP95" s="5"/>
      <c r="CQ95" s="5"/>
      <c r="CR95" s="5"/>
    </row>
    <row r="96" spans="1:96" ht="15" hidden="1" customHeight="1" x14ac:dyDescent="0.25">
      <c r="B96" s="139">
        <v>16</v>
      </c>
      <c r="C96" s="140">
        <v>6</v>
      </c>
      <c r="D96" s="139" t="str">
        <f t="shared" si="87"/>
        <v>COUNTDOWN_WEST_N_1_21</v>
      </c>
      <c r="E96" s="140"/>
      <c r="F96" s="142" t="s">
        <v>33</v>
      </c>
      <c r="G96" s="140" t="s">
        <v>19</v>
      </c>
      <c r="H96" s="140" t="s">
        <v>15</v>
      </c>
      <c r="I96" s="140">
        <v>1</v>
      </c>
      <c r="J96" s="144"/>
      <c r="K96" s="144"/>
      <c r="L96" s="140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101"/>
      <c r="AB96" s="42"/>
      <c r="AC96" s="46"/>
      <c r="AD96" s="46"/>
      <c r="AE96" s="46"/>
      <c r="AF96" s="46"/>
      <c r="AG96" s="57"/>
      <c r="AH96" s="133"/>
      <c r="AI96" s="46"/>
      <c r="AJ96" s="46"/>
      <c r="AK96" s="46"/>
      <c r="AL96" s="6"/>
      <c r="AM96" s="6"/>
      <c r="AN96" s="46"/>
      <c r="AO96" s="46"/>
      <c r="AP96" s="56"/>
      <c r="AQ96" s="56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5"/>
      <c r="CP96" s="5"/>
      <c r="CQ96" s="5"/>
      <c r="CR96" s="5"/>
    </row>
    <row r="97" spans="1:96" ht="15" hidden="1" customHeight="1" x14ac:dyDescent="0.25">
      <c r="B97" s="139">
        <v>17</v>
      </c>
      <c r="C97" s="139">
        <v>1</v>
      </c>
      <c r="D97" s="139" t="str">
        <f t="shared" si="87"/>
        <v>SORTING_WEST_J_2_21</v>
      </c>
      <c r="E97" s="139" t="s">
        <v>35</v>
      </c>
      <c r="F97" s="138" t="s">
        <v>45</v>
      </c>
      <c r="G97" s="140" t="s">
        <v>19</v>
      </c>
      <c r="H97" s="140" t="s">
        <v>11</v>
      </c>
      <c r="I97" s="140">
        <v>2</v>
      </c>
      <c r="J97" s="139"/>
      <c r="K97" s="184">
        <f>COUNT(AB97:BB97)</f>
        <v>11</v>
      </c>
      <c r="L97" s="139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101"/>
      <c r="AB97" s="8">
        <v>1</v>
      </c>
      <c r="AC97" s="3">
        <f>AB97+1</f>
        <v>2</v>
      </c>
      <c r="AD97" s="3">
        <f t="shared" ref="AD97:AL97" si="103">AC97+1</f>
        <v>3</v>
      </c>
      <c r="AE97" s="3">
        <f t="shared" si="103"/>
        <v>4</v>
      </c>
      <c r="AF97" s="3">
        <f t="shared" si="103"/>
        <v>5</v>
      </c>
      <c r="AG97" s="3">
        <f t="shared" si="103"/>
        <v>6</v>
      </c>
      <c r="AH97" s="3">
        <f t="shared" si="103"/>
        <v>7</v>
      </c>
      <c r="AI97" s="3">
        <f t="shared" si="103"/>
        <v>8</v>
      </c>
      <c r="AJ97" s="3">
        <f t="shared" si="103"/>
        <v>9</v>
      </c>
      <c r="AK97" s="3">
        <f t="shared" si="103"/>
        <v>10</v>
      </c>
      <c r="AL97" s="3">
        <f t="shared" si="103"/>
        <v>11</v>
      </c>
      <c r="AM97" s="4"/>
      <c r="AN97" s="4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5"/>
      <c r="CP97" s="5"/>
      <c r="CQ97" s="5"/>
      <c r="CR97" s="5"/>
    </row>
    <row r="98" spans="1:96" ht="15" hidden="1" customHeight="1" x14ac:dyDescent="0.25">
      <c r="B98" s="139">
        <v>17</v>
      </c>
      <c r="C98" s="139">
        <v>2</v>
      </c>
      <c r="D98" s="139" t="str">
        <f t="shared" si="87"/>
        <v>TRANSFER_WEST_J_2_21</v>
      </c>
      <c r="E98" s="139" t="s">
        <v>21</v>
      </c>
      <c r="F98" s="138" t="s">
        <v>21</v>
      </c>
      <c r="G98" s="140" t="s">
        <v>19</v>
      </c>
      <c r="H98" s="140" t="s">
        <v>11</v>
      </c>
      <c r="I98" s="140">
        <v>2</v>
      </c>
      <c r="J98" s="139"/>
      <c r="K98" s="184">
        <f>COUNT(AB98:BB98)</f>
        <v>13</v>
      </c>
      <c r="L98" s="139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101"/>
      <c r="AB98" s="8">
        <v>1</v>
      </c>
      <c r="AC98" s="3">
        <f>AB98+1</f>
        <v>2</v>
      </c>
      <c r="AD98" s="3">
        <f t="shared" ref="AD98:AN98" si="104">AC98+1</f>
        <v>3</v>
      </c>
      <c r="AE98" s="3">
        <f t="shared" si="104"/>
        <v>4</v>
      </c>
      <c r="AF98" s="3">
        <f t="shared" si="104"/>
        <v>5</v>
      </c>
      <c r="AG98" s="3">
        <f t="shared" si="104"/>
        <v>6</v>
      </c>
      <c r="AH98" s="3">
        <f t="shared" si="104"/>
        <v>7</v>
      </c>
      <c r="AI98" s="3">
        <f t="shared" si="104"/>
        <v>8</v>
      </c>
      <c r="AJ98" s="3">
        <f t="shared" si="104"/>
        <v>9</v>
      </c>
      <c r="AK98" s="3">
        <f t="shared" si="104"/>
        <v>10</v>
      </c>
      <c r="AL98" s="3">
        <f t="shared" si="104"/>
        <v>11</v>
      </c>
      <c r="AM98" s="3">
        <f t="shared" si="104"/>
        <v>12</v>
      </c>
      <c r="AN98" s="3">
        <f t="shared" si="104"/>
        <v>13</v>
      </c>
      <c r="AO98" s="4"/>
      <c r="AP98" s="4"/>
      <c r="AQ98" s="4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5"/>
      <c r="CP98" s="5"/>
      <c r="CQ98" s="5"/>
      <c r="CR98" s="5"/>
    </row>
    <row r="99" spans="1:96" ht="15" hidden="1" customHeight="1" x14ac:dyDescent="0.25">
      <c r="B99" s="139">
        <v>17</v>
      </c>
      <c r="C99" s="139">
        <v>3</v>
      </c>
      <c r="D99" s="139" t="str">
        <f t="shared" si="87"/>
        <v>PREPARE_WEST_J_2_21</v>
      </c>
      <c r="E99" s="139" t="s">
        <v>0</v>
      </c>
      <c r="F99" s="138" t="s">
        <v>46</v>
      </c>
      <c r="G99" s="140" t="s">
        <v>19</v>
      </c>
      <c r="H99" s="140" t="s">
        <v>11</v>
      </c>
      <c r="I99" s="140">
        <v>2</v>
      </c>
      <c r="J99" s="141"/>
      <c r="K99" s="184">
        <f>COUNT(M99:BB99)</f>
        <v>32</v>
      </c>
      <c r="L99" s="139"/>
      <c r="M99" s="3">
        <v>1</v>
      </c>
      <c r="N99" s="3">
        <f t="shared" ref="N99:AR99" si="105">M99+1</f>
        <v>2</v>
      </c>
      <c r="O99" s="3">
        <f t="shared" si="105"/>
        <v>3</v>
      </c>
      <c r="P99" s="3">
        <f t="shared" si="105"/>
        <v>4</v>
      </c>
      <c r="Q99" s="3">
        <f t="shared" si="105"/>
        <v>5</v>
      </c>
      <c r="R99" s="3">
        <f t="shared" si="105"/>
        <v>6</v>
      </c>
      <c r="S99" s="3">
        <f t="shared" si="105"/>
        <v>7</v>
      </c>
      <c r="T99" s="3">
        <f t="shared" si="105"/>
        <v>8</v>
      </c>
      <c r="U99" s="3">
        <f t="shared" si="105"/>
        <v>9</v>
      </c>
      <c r="V99" s="3">
        <f t="shared" si="105"/>
        <v>10</v>
      </c>
      <c r="W99" s="3">
        <f t="shared" si="105"/>
        <v>11</v>
      </c>
      <c r="X99" s="3">
        <f t="shared" si="105"/>
        <v>12</v>
      </c>
      <c r="Y99" s="3">
        <f t="shared" si="105"/>
        <v>13</v>
      </c>
      <c r="Z99" s="3">
        <f t="shared" si="105"/>
        <v>14</v>
      </c>
      <c r="AA99" s="3">
        <f t="shared" si="105"/>
        <v>15</v>
      </c>
      <c r="AB99" s="3">
        <f t="shared" si="105"/>
        <v>16</v>
      </c>
      <c r="AC99" s="3">
        <f t="shared" si="105"/>
        <v>17</v>
      </c>
      <c r="AD99" s="3">
        <f t="shared" si="105"/>
        <v>18</v>
      </c>
      <c r="AE99" s="3">
        <f t="shared" si="105"/>
        <v>19</v>
      </c>
      <c r="AF99" s="3">
        <f t="shared" si="105"/>
        <v>20</v>
      </c>
      <c r="AG99" s="3">
        <f t="shared" si="105"/>
        <v>21</v>
      </c>
      <c r="AH99" s="3">
        <f t="shared" si="105"/>
        <v>22</v>
      </c>
      <c r="AI99" s="3">
        <f t="shared" si="105"/>
        <v>23</v>
      </c>
      <c r="AJ99" s="3">
        <f t="shared" si="105"/>
        <v>24</v>
      </c>
      <c r="AK99" s="3">
        <f t="shared" si="105"/>
        <v>25</v>
      </c>
      <c r="AL99" s="3">
        <f t="shared" si="105"/>
        <v>26</v>
      </c>
      <c r="AM99" s="3">
        <f t="shared" si="105"/>
        <v>27</v>
      </c>
      <c r="AN99" s="3">
        <f t="shared" si="105"/>
        <v>28</v>
      </c>
      <c r="AO99" s="3">
        <f t="shared" si="105"/>
        <v>29</v>
      </c>
      <c r="AP99" s="3">
        <f t="shared" si="105"/>
        <v>30</v>
      </c>
      <c r="AQ99" s="3">
        <f t="shared" si="105"/>
        <v>31</v>
      </c>
      <c r="AR99" s="3">
        <f t="shared" si="105"/>
        <v>32</v>
      </c>
      <c r="AS99" s="4"/>
      <c r="AT99" s="4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5"/>
      <c r="CP99" s="5"/>
      <c r="CQ99" s="5"/>
      <c r="CR99" s="5"/>
    </row>
    <row r="100" spans="1:96" ht="15" hidden="1" customHeight="1" x14ac:dyDescent="0.25">
      <c r="B100" s="139">
        <v>17</v>
      </c>
      <c r="C100" s="139">
        <v>4</v>
      </c>
      <c r="D100" s="139" t="str">
        <f t="shared" si="87"/>
        <v>SUPPLY_WEST_J_2_21</v>
      </c>
      <c r="E100" s="139" t="s">
        <v>0</v>
      </c>
      <c r="F100" s="142" t="s">
        <v>0</v>
      </c>
      <c r="G100" s="140" t="s">
        <v>19</v>
      </c>
      <c r="H100" s="140" t="s">
        <v>11</v>
      </c>
      <c r="I100" s="140">
        <v>2</v>
      </c>
      <c r="J100" s="143"/>
      <c r="K100" s="184">
        <f>COUNT(AH100:BW100)</f>
        <v>13</v>
      </c>
      <c r="L100" s="140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101"/>
      <c r="AB100" s="42"/>
      <c r="AC100" s="46"/>
      <c r="AD100" s="46"/>
      <c r="AE100" s="46"/>
      <c r="AF100" s="46"/>
      <c r="AG100" s="57"/>
      <c r="AH100" s="86">
        <v>1</v>
      </c>
      <c r="AI100" s="3">
        <f t="shared" ref="AI100:AT100" si="106">AH100+1</f>
        <v>2</v>
      </c>
      <c r="AJ100" s="3">
        <f t="shared" si="106"/>
        <v>3</v>
      </c>
      <c r="AK100" s="3">
        <f t="shared" si="106"/>
        <v>4</v>
      </c>
      <c r="AL100" s="3">
        <f t="shared" si="106"/>
        <v>5</v>
      </c>
      <c r="AM100" s="3">
        <f t="shared" si="106"/>
        <v>6</v>
      </c>
      <c r="AN100" s="3">
        <f t="shared" si="106"/>
        <v>7</v>
      </c>
      <c r="AO100" s="3">
        <f t="shared" si="106"/>
        <v>8</v>
      </c>
      <c r="AP100" s="3">
        <f t="shared" si="106"/>
        <v>9</v>
      </c>
      <c r="AQ100" s="3">
        <f t="shared" si="106"/>
        <v>10</v>
      </c>
      <c r="AR100" s="3">
        <f t="shared" si="106"/>
        <v>11</v>
      </c>
      <c r="AS100" s="3">
        <f t="shared" si="106"/>
        <v>12</v>
      </c>
      <c r="AT100" s="3">
        <f t="shared" si="106"/>
        <v>13</v>
      </c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97"/>
      <c r="BI100" s="4"/>
      <c r="BJ100" s="4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5"/>
      <c r="CP100" s="5"/>
      <c r="CQ100" s="5"/>
      <c r="CR100" s="5"/>
    </row>
    <row r="101" spans="1:96" ht="15" customHeight="1" x14ac:dyDescent="0.25">
      <c r="B101" s="139">
        <v>17</v>
      </c>
      <c r="C101" s="140">
        <v>5</v>
      </c>
      <c r="D101" s="139" t="str">
        <f t="shared" si="87"/>
        <v>EMPTY_WEST_J_2_21</v>
      </c>
      <c r="E101" s="140" t="s">
        <v>0</v>
      </c>
      <c r="F101" s="142" t="s">
        <v>32</v>
      </c>
      <c r="G101" s="140" t="s">
        <v>19</v>
      </c>
      <c r="H101" s="140" t="s">
        <v>11</v>
      </c>
      <c r="I101" s="140">
        <v>2</v>
      </c>
      <c r="J101" s="139"/>
      <c r="K101" s="184">
        <f>COUNT(AH101:BW101)</f>
        <v>29</v>
      </c>
      <c r="L101" s="139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101"/>
      <c r="AB101" s="42"/>
      <c r="AC101" s="46"/>
      <c r="AD101" s="46"/>
      <c r="AE101" s="46"/>
      <c r="AF101" s="46"/>
      <c r="AG101" s="57"/>
      <c r="AH101" s="86">
        <v>1</v>
      </c>
      <c r="AI101" s="3">
        <f t="shared" ref="AI101:BJ101" si="107">AH101+1</f>
        <v>2</v>
      </c>
      <c r="AJ101" s="3">
        <f t="shared" si="107"/>
        <v>3</v>
      </c>
      <c r="AK101" s="3">
        <f t="shared" si="107"/>
        <v>4</v>
      </c>
      <c r="AL101" s="3">
        <f t="shared" si="107"/>
        <v>5</v>
      </c>
      <c r="AM101" s="3">
        <f t="shared" si="107"/>
        <v>6</v>
      </c>
      <c r="AN101" s="3">
        <f t="shared" si="107"/>
        <v>7</v>
      </c>
      <c r="AO101" s="3">
        <f t="shared" si="107"/>
        <v>8</v>
      </c>
      <c r="AP101" s="3">
        <f t="shared" si="107"/>
        <v>9</v>
      </c>
      <c r="AQ101" s="3">
        <f t="shared" si="107"/>
        <v>10</v>
      </c>
      <c r="AR101" s="3">
        <f t="shared" si="107"/>
        <v>11</v>
      </c>
      <c r="AS101" s="3">
        <f t="shared" si="107"/>
        <v>12</v>
      </c>
      <c r="AT101" s="3">
        <f t="shared" si="107"/>
        <v>13</v>
      </c>
      <c r="AU101" s="3">
        <f t="shared" si="107"/>
        <v>14</v>
      </c>
      <c r="AV101" s="3">
        <f t="shared" si="107"/>
        <v>15</v>
      </c>
      <c r="AW101" s="3">
        <f t="shared" si="107"/>
        <v>16</v>
      </c>
      <c r="AX101" s="3">
        <f t="shared" si="107"/>
        <v>17</v>
      </c>
      <c r="AY101" s="3">
        <f t="shared" si="107"/>
        <v>18</v>
      </c>
      <c r="AZ101" s="3">
        <f t="shared" si="107"/>
        <v>19</v>
      </c>
      <c r="BA101" s="3">
        <f t="shared" si="107"/>
        <v>20</v>
      </c>
      <c r="BB101" s="3">
        <f t="shared" si="107"/>
        <v>21</v>
      </c>
      <c r="BC101" s="3">
        <f t="shared" si="107"/>
        <v>22</v>
      </c>
      <c r="BD101" s="3">
        <f t="shared" si="107"/>
        <v>23</v>
      </c>
      <c r="BE101" s="3">
        <f t="shared" si="107"/>
        <v>24</v>
      </c>
      <c r="BF101" s="3">
        <f t="shared" si="107"/>
        <v>25</v>
      </c>
      <c r="BG101" s="3">
        <f t="shared" si="107"/>
        <v>26</v>
      </c>
      <c r="BH101" s="3">
        <f t="shared" si="107"/>
        <v>27</v>
      </c>
      <c r="BI101" s="3">
        <f t="shared" si="107"/>
        <v>28</v>
      </c>
      <c r="BJ101" s="3">
        <f t="shared" si="107"/>
        <v>29</v>
      </c>
      <c r="BK101" s="46"/>
      <c r="BL101" s="4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5"/>
      <c r="CP101" s="5"/>
      <c r="CQ101" s="5"/>
      <c r="CR101" s="5"/>
    </row>
    <row r="102" spans="1:96" ht="15" hidden="1" customHeight="1" x14ac:dyDescent="0.25">
      <c r="B102" s="139">
        <v>17</v>
      </c>
      <c r="C102" s="140">
        <v>6</v>
      </c>
      <c r="D102" s="139" t="str">
        <f t="shared" si="87"/>
        <v>COUNTDOWN_WEST_J_2_21</v>
      </c>
      <c r="E102" s="140"/>
      <c r="F102" s="142" t="s">
        <v>33</v>
      </c>
      <c r="G102" s="140" t="s">
        <v>19</v>
      </c>
      <c r="H102" s="140" t="s">
        <v>11</v>
      </c>
      <c r="I102" s="140">
        <v>2</v>
      </c>
      <c r="J102" s="144"/>
      <c r="K102" s="144"/>
      <c r="L102" s="140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101"/>
      <c r="AB102" s="8"/>
      <c r="AC102" s="3"/>
      <c r="AD102" s="3"/>
      <c r="AE102" s="3"/>
      <c r="AF102" s="3"/>
      <c r="AG102" s="31"/>
      <c r="AH102" s="86"/>
      <c r="AI102" s="3"/>
      <c r="AJ102" s="3"/>
      <c r="AK102" s="3"/>
      <c r="AL102" s="3"/>
      <c r="AM102" s="3"/>
      <c r="AN102" s="6"/>
      <c r="AO102" s="6"/>
      <c r="AP102" s="46"/>
      <c r="AQ102" s="46"/>
      <c r="AR102" s="56"/>
      <c r="AS102" s="56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5"/>
      <c r="CP102" s="5"/>
      <c r="CQ102" s="5"/>
      <c r="CR102" s="5"/>
    </row>
    <row r="103" spans="1:96" ht="15" hidden="1" customHeight="1" x14ac:dyDescent="0.25">
      <c r="B103" s="139">
        <v>18</v>
      </c>
      <c r="C103" s="139">
        <v>1</v>
      </c>
      <c r="D103" s="139" t="str">
        <f t="shared" si="87"/>
        <v>SORTING_WEST_Q_1_21</v>
      </c>
      <c r="E103" s="139" t="s">
        <v>35</v>
      </c>
      <c r="F103" s="138" t="s">
        <v>45</v>
      </c>
      <c r="G103" s="140" t="s">
        <v>19</v>
      </c>
      <c r="H103" s="140" t="s">
        <v>59</v>
      </c>
      <c r="I103" s="140">
        <v>1</v>
      </c>
      <c r="J103" s="143"/>
      <c r="K103" s="184">
        <f>COUNT(AB103:BB103)</f>
        <v>13</v>
      </c>
      <c r="L103" s="140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101"/>
      <c r="AB103" s="8">
        <v>1</v>
      </c>
      <c r="AC103" s="3">
        <f>AB103+1</f>
        <v>2</v>
      </c>
      <c r="AD103" s="3">
        <f t="shared" ref="AD103:AD104" si="108">AC103+1</f>
        <v>3</v>
      </c>
      <c r="AE103" s="3">
        <f t="shared" ref="AE103:AE104" si="109">AD103+1</f>
        <v>4</v>
      </c>
      <c r="AF103" s="3">
        <f t="shared" ref="AF103:AF104" si="110">AE103+1</f>
        <v>5</v>
      </c>
      <c r="AG103" s="3">
        <f t="shared" ref="AG103:AG104" si="111">AF103+1</f>
        <v>6</v>
      </c>
      <c r="AH103" s="3">
        <f t="shared" ref="AH103:AH104" si="112">AG103+1</f>
        <v>7</v>
      </c>
      <c r="AI103" s="3">
        <f t="shared" ref="AI103:AI104" si="113">AH103+1</f>
        <v>8</v>
      </c>
      <c r="AJ103" s="3">
        <f t="shared" ref="AJ103:AJ104" si="114">AI103+1</f>
        <v>9</v>
      </c>
      <c r="AK103" s="3">
        <f t="shared" ref="AK103:AK104" si="115">AJ103+1</f>
        <v>10</v>
      </c>
      <c r="AL103" s="3">
        <f t="shared" ref="AL103:AL104" si="116">AK103+1</f>
        <v>11</v>
      </c>
      <c r="AM103" s="3">
        <f t="shared" ref="AM103:AN104" si="117">AL103+1</f>
        <v>12</v>
      </c>
      <c r="AN103" s="3">
        <f t="shared" si="117"/>
        <v>13</v>
      </c>
      <c r="AO103" s="4"/>
      <c r="AP103" s="4"/>
      <c r="AQ103" s="4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5"/>
      <c r="CP103" s="5"/>
      <c r="CQ103" s="5"/>
      <c r="CR103" s="5"/>
    </row>
    <row r="104" spans="1:96" ht="15" hidden="1" customHeight="1" x14ac:dyDescent="0.25">
      <c r="B104" s="139">
        <v>18</v>
      </c>
      <c r="C104" s="139">
        <v>2</v>
      </c>
      <c r="D104" s="139" t="str">
        <f t="shared" si="87"/>
        <v>TRANSFER_WEST_Q_1_21</v>
      </c>
      <c r="E104" s="139" t="s">
        <v>21</v>
      </c>
      <c r="F104" s="138" t="s">
        <v>21</v>
      </c>
      <c r="G104" s="140" t="s">
        <v>19</v>
      </c>
      <c r="H104" s="140" t="s">
        <v>59</v>
      </c>
      <c r="I104" s="140">
        <v>1</v>
      </c>
      <c r="J104" s="143"/>
      <c r="K104" s="184">
        <f>COUNT(AB104:BB104)</f>
        <v>16</v>
      </c>
      <c r="L104" s="140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101"/>
      <c r="AB104" s="8">
        <v>1</v>
      </c>
      <c r="AC104" s="3">
        <f>AB104+1</f>
        <v>2</v>
      </c>
      <c r="AD104" s="3">
        <f t="shared" si="108"/>
        <v>3</v>
      </c>
      <c r="AE104" s="3">
        <f t="shared" si="109"/>
        <v>4</v>
      </c>
      <c r="AF104" s="3">
        <f t="shared" si="110"/>
        <v>5</v>
      </c>
      <c r="AG104" s="3">
        <f t="shared" si="111"/>
        <v>6</v>
      </c>
      <c r="AH104" s="3">
        <f t="shared" si="112"/>
        <v>7</v>
      </c>
      <c r="AI104" s="3">
        <f t="shared" si="113"/>
        <v>8</v>
      </c>
      <c r="AJ104" s="3">
        <f t="shared" si="114"/>
        <v>9</v>
      </c>
      <c r="AK104" s="3">
        <f t="shared" si="115"/>
        <v>10</v>
      </c>
      <c r="AL104" s="3">
        <f t="shared" si="116"/>
        <v>11</v>
      </c>
      <c r="AM104" s="3">
        <f t="shared" si="117"/>
        <v>12</v>
      </c>
      <c r="AN104" s="3">
        <f t="shared" ref="AN104" si="118">AM104+1</f>
        <v>13</v>
      </c>
      <c r="AO104" s="3">
        <f t="shared" ref="AO104" si="119">AN104+1</f>
        <v>14</v>
      </c>
      <c r="AP104" s="3">
        <f t="shared" ref="AP104:AQ104" si="120">AO104+1</f>
        <v>15</v>
      </c>
      <c r="AQ104" s="3">
        <f t="shared" si="120"/>
        <v>16</v>
      </c>
      <c r="AR104" s="4"/>
      <c r="AS104" s="4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5"/>
      <c r="CP104" s="5"/>
      <c r="CQ104" s="5"/>
      <c r="CR104" s="5"/>
    </row>
    <row r="105" spans="1:96" ht="15" hidden="1" customHeight="1" x14ac:dyDescent="0.25">
      <c r="B105" s="139">
        <v>18</v>
      </c>
      <c r="C105" s="139">
        <v>3</v>
      </c>
      <c r="D105" s="139" t="str">
        <f t="shared" si="87"/>
        <v>PREPARE_WEST_Q_1_21</v>
      </c>
      <c r="E105" s="139" t="s">
        <v>0</v>
      </c>
      <c r="F105" s="138" t="s">
        <v>46</v>
      </c>
      <c r="G105" s="140" t="s">
        <v>19</v>
      </c>
      <c r="H105" s="140" t="s">
        <v>59</v>
      </c>
      <c r="I105" s="140">
        <v>1</v>
      </c>
      <c r="J105" s="143"/>
      <c r="K105" s="184">
        <f>COUNT(M105:BB105)</f>
        <v>34</v>
      </c>
      <c r="L105" s="140"/>
      <c r="M105" s="3">
        <v>1</v>
      </c>
      <c r="N105" s="3">
        <f t="shared" ref="N105" si="121">M105+1</f>
        <v>2</v>
      </c>
      <c r="O105" s="3">
        <f t="shared" ref="O105" si="122">N105+1</f>
        <v>3</v>
      </c>
      <c r="P105" s="3">
        <f t="shared" ref="P105" si="123">O105+1</f>
        <v>4</v>
      </c>
      <c r="Q105" s="3">
        <f t="shared" ref="Q105" si="124">P105+1</f>
        <v>5</v>
      </c>
      <c r="R105" s="3">
        <f t="shared" ref="R105" si="125">Q105+1</f>
        <v>6</v>
      </c>
      <c r="S105" s="3">
        <f t="shared" ref="S105" si="126">R105+1</f>
        <v>7</v>
      </c>
      <c r="T105" s="3">
        <f t="shared" ref="T105" si="127">S105+1</f>
        <v>8</v>
      </c>
      <c r="U105" s="3">
        <f t="shared" ref="U105" si="128">T105+1</f>
        <v>9</v>
      </c>
      <c r="V105" s="3">
        <f t="shared" ref="V105" si="129">U105+1</f>
        <v>10</v>
      </c>
      <c r="W105" s="3">
        <f t="shared" ref="W105" si="130">V105+1</f>
        <v>11</v>
      </c>
      <c r="X105" s="3">
        <f t="shared" ref="X105" si="131">W105+1</f>
        <v>12</v>
      </c>
      <c r="Y105" s="3">
        <f t="shared" ref="Y105" si="132">X105+1</f>
        <v>13</v>
      </c>
      <c r="Z105" s="3">
        <f t="shared" ref="Z105" si="133">Y105+1</f>
        <v>14</v>
      </c>
      <c r="AA105" s="3">
        <f t="shared" ref="AA105" si="134">Z105+1</f>
        <v>15</v>
      </c>
      <c r="AB105" s="3">
        <f t="shared" ref="AB105" si="135">AA105+1</f>
        <v>16</v>
      </c>
      <c r="AC105" s="3">
        <f t="shared" ref="AC105" si="136">AB105+1</f>
        <v>17</v>
      </c>
      <c r="AD105" s="3">
        <f t="shared" ref="AD105" si="137">AC105+1</f>
        <v>18</v>
      </c>
      <c r="AE105" s="3">
        <f t="shared" ref="AE105" si="138">AD105+1</f>
        <v>19</v>
      </c>
      <c r="AF105" s="3">
        <f t="shared" ref="AF105" si="139">AE105+1</f>
        <v>20</v>
      </c>
      <c r="AG105" s="3">
        <f t="shared" ref="AG105" si="140">AF105+1</f>
        <v>21</v>
      </c>
      <c r="AH105" s="3">
        <f t="shared" ref="AH105" si="141">AG105+1</f>
        <v>22</v>
      </c>
      <c r="AI105" s="3">
        <f t="shared" ref="AI105" si="142">AH105+1</f>
        <v>23</v>
      </c>
      <c r="AJ105" s="3">
        <f t="shared" ref="AJ105" si="143">AI105+1</f>
        <v>24</v>
      </c>
      <c r="AK105" s="3">
        <f t="shared" ref="AK105" si="144">AJ105+1</f>
        <v>25</v>
      </c>
      <c r="AL105" s="3">
        <f t="shared" ref="AL105" si="145">AK105+1</f>
        <v>26</v>
      </c>
      <c r="AM105" s="3">
        <f t="shared" ref="AM105" si="146">AL105+1</f>
        <v>27</v>
      </c>
      <c r="AN105" s="3">
        <f t="shared" ref="AN105" si="147">AM105+1</f>
        <v>28</v>
      </c>
      <c r="AO105" s="3">
        <f t="shared" ref="AO105" si="148">AN105+1</f>
        <v>29</v>
      </c>
      <c r="AP105" s="3">
        <f t="shared" ref="AP105" si="149">AO105+1</f>
        <v>30</v>
      </c>
      <c r="AQ105" s="3">
        <f t="shared" ref="AQ105" si="150">AP105+1</f>
        <v>31</v>
      </c>
      <c r="AR105" s="3">
        <f t="shared" ref="AR105:AT105" si="151">AQ105+1</f>
        <v>32</v>
      </c>
      <c r="AS105" s="3">
        <f t="shared" si="151"/>
        <v>33</v>
      </c>
      <c r="AT105" s="3">
        <f t="shared" si="151"/>
        <v>34</v>
      </c>
      <c r="AU105" s="4"/>
      <c r="AV105" s="4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5"/>
      <c r="CP105" s="5"/>
      <c r="CQ105" s="5"/>
      <c r="CR105" s="5"/>
    </row>
    <row r="106" spans="1:96" ht="15" hidden="1" customHeight="1" x14ac:dyDescent="0.25">
      <c r="B106" s="139">
        <v>18</v>
      </c>
      <c r="C106" s="139">
        <v>4</v>
      </c>
      <c r="D106" s="139" t="str">
        <f t="shared" si="87"/>
        <v>SUPPLY_WEST_Q_1_21</v>
      </c>
      <c r="E106" s="139" t="s">
        <v>0</v>
      </c>
      <c r="F106" s="142" t="s">
        <v>0</v>
      </c>
      <c r="G106" s="140" t="s">
        <v>19</v>
      </c>
      <c r="H106" s="140" t="s">
        <v>59</v>
      </c>
      <c r="I106" s="140">
        <v>1</v>
      </c>
      <c r="J106" s="143"/>
      <c r="K106" s="184">
        <f>COUNT(AH106:BW106)</f>
        <v>15</v>
      </c>
      <c r="L106" s="140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101"/>
      <c r="AB106" s="42"/>
      <c r="AC106" s="46"/>
      <c r="AD106" s="46"/>
      <c r="AE106" s="46"/>
      <c r="AF106" s="46"/>
      <c r="AG106" s="101"/>
      <c r="AH106" s="86">
        <v>1</v>
      </c>
      <c r="AI106" s="3">
        <f t="shared" ref="AI106:AI107" si="152">AH106+1</f>
        <v>2</v>
      </c>
      <c r="AJ106" s="3">
        <f t="shared" ref="AJ106:AJ107" si="153">AI106+1</f>
        <v>3</v>
      </c>
      <c r="AK106" s="3">
        <f t="shared" ref="AK106:AK107" si="154">AJ106+1</f>
        <v>4</v>
      </c>
      <c r="AL106" s="3">
        <f t="shared" ref="AL106:AL107" si="155">AK106+1</f>
        <v>5</v>
      </c>
      <c r="AM106" s="3">
        <f t="shared" ref="AM106:AM107" si="156">AL106+1</f>
        <v>6</v>
      </c>
      <c r="AN106" s="3">
        <f t="shared" ref="AN106:AN107" si="157">AM106+1</f>
        <v>7</v>
      </c>
      <c r="AO106" s="3">
        <f t="shared" ref="AO106:AO107" si="158">AN106+1</f>
        <v>8</v>
      </c>
      <c r="AP106" s="3">
        <f t="shared" ref="AP106:AP107" si="159">AO106+1</f>
        <v>9</v>
      </c>
      <c r="AQ106" s="3">
        <f t="shared" ref="AQ106:AQ107" si="160">AP106+1</f>
        <v>10</v>
      </c>
      <c r="AR106" s="3">
        <f t="shared" ref="AR106:AR107" si="161">AQ106+1</f>
        <v>11</v>
      </c>
      <c r="AS106" s="3">
        <f t="shared" ref="AS106:AS107" si="162">AR106+1</f>
        <v>12</v>
      </c>
      <c r="AT106" s="3">
        <f t="shared" ref="AT106:AT107" si="163">AS106+1</f>
        <v>13</v>
      </c>
      <c r="AU106" s="3">
        <f t="shared" ref="AU106:AV107" si="164">AT106+1</f>
        <v>14</v>
      </c>
      <c r="AV106" s="3">
        <f t="shared" si="164"/>
        <v>15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97"/>
      <c r="BK106" s="4"/>
      <c r="BL106" s="4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5"/>
      <c r="CP106" s="5"/>
      <c r="CQ106" s="5"/>
      <c r="CR106" s="5"/>
    </row>
    <row r="107" spans="1:96" ht="15" customHeight="1" x14ac:dyDescent="0.25">
      <c r="B107" s="139">
        <v>18</v>
      </c>
      <c r="C107" s="140">
        <v>5</v>
      </c>
      <c r="D107" s="139" t="str">
        <f t="shared" si="87"/>
        <v>EMPTY_WEST_Q_1_21</v>
      </c>
      <c r="E107" s="140" t="s">
        <v>0</v>
      </c>
      <c r="F107" s="142" t="s">
        <v>32</v>
      </c>
      <c r="G107" s="140" t="s">
        <v>19</v>
      </c>
      <c r="H107" s="140" t="s">
        <v>59</v>
      </c>
      <c r="I107" s="140">
        <v>1</v>
      </c>
      <c r="J107" s="143"/>
      <c r="K107" s="184">
        <f>COUNT(AH107:BW107)</f>
        <v>31</v>
      </c>
      <c r="L107" s="140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101"/>
      <c r="AB107" s="42"/>
      <c r="AC107" s="46"/>
      <c r="AD107" s="46"/>
      <c r="AE107" s="46"/>
      <c r="AF107" s="46"/>
      <c r="AG107" s="57"/>
      <c r="AH107" s="86">
        <v>1</v>
      </c>
      <c r="AI107" s="3">
        <f t="shared" si="152"/>
        <v>2</v>
      </c>
      <c r="AJ107" s="3">
        <f t="shared" si="153"/>
        <v>3</v>
      </c>
      <c r="AK107" s="3">
        <f t="shared" si="154"/>
        <v>4</v>
      </c>
      <c r="AL107" s="3">
        <f t="shared" si="155"/>
        <v>5</v>
      </c>
      <c r="AM107" s="3">
        <f t="shared" si="156"/>
        <v>6</v>
      </c>
      <c r="AN107" s="3">
        <f t="shared" si="157"/>
        <v>7</v>
      </c>
      <c r="AO107" s="3">
        <f t="shared" si="158"/>
        <v>8</v>
      </c>
      <c r="AP107" s="3">
        <f t="shared" si="159"/>
        <v>9</v>
      </c>
      <c r="AQ107" s="3">
        <f t="shared" si="160"/>
        <v>10</v>
      </c>
      <c r="AR107" s="3">
        <f t="shared" si="161"/>
        <v>11</v>
      </c>
      <c r="AS107" s="3">
        <f t="shared" si="162"/>
        <v>12</v>
      </c>
      <c r="AT107" s="3">
        <f t="shared" si="163"/>
        <v>13</v>
      </c>
      <c r="AU107" s="3">
        <f t="shared" si="164"/>
        <v>14</v>
      </c>
      <c r="AV107" s="3">
        <f t="shared" ref="AV107" si="165">AU107+1</f>
        <v>15</v>
      </c>
      <c r="AW107" s="3">
        <f t="shared" ref="AW107" si="166">AV107+1</f>
        <v>16</v>
      </c>
      <c r="AX107" s="3">
        <f t="shared" ref="AX107" si="167">AW107+1</f>
        <v>17</v>
      </c>
      <c r="AY107" s="3">
        <f t="shared" ref="AY107" si="168">AX107+1</f>
        <v>18</v>
      </c>
      <c r="AZ107" s="3">
        <f t="shared" ref="AZ107" si="169">AY107+1</f>
        <v>19</v>
      </c>
      <c r="BA107" s="3">
        <f t="shared" ref="BA107" si="170">AZ107+1</f>
        <v>20</v>
      </c>
      <c r="BB107" s="3">
        <f t="shared" ref="BB107" si="171">BA107+1</f>
        <v>21</v>
      </c>
      <c r="BC107" s="3">
        <f t="shared" ref="BC107" si="172">BB107+1</f>
        <v>22</v>
      </c>
      <c r="BD107" s="3">
        <f t="shared" ref="BD107" si="173">BC107+1</f>
        <v>23</v>
      </c>
      <c r="BE107" s="3">
        <f t="shared" ref="BE107" si="174">BD107+1</f>
        <v>24</v>
      </c>
      <c r="BF107" s="3">
        <f t="shared" ref="BF107" si="175">BE107+1</f>
        <v>25</v>
      </c>
      <c r="BG107" s="3">
        <f t="shared" ref="BG107" si="176">BF107+1</f>
        <v>26</v>
      </c>
      <c r="BH107" s="3">
        <f t="shared" ref="BH107" si="177">BG107+1</f>
        <v>27</v>
      </c>
      <c r="BI107" s="3">
        <f t="shared" ref="BI107" si="178">BH107+1</f>
        <v>28</v>
      </c>
      <c r="BJ107" s="3">
        <f t="shared" ref="BJ107" si="179">BI107+1</f>
        <v>29</v>
      </c>
      <c r="BK107" s="3">
        <f t="shared" ref="BK107:BL107" si="180">BJ107+1</f>
        <v>30</v>
      </c>
      <c r="BL107" s="3">
        <f t="shared" si="180"/>
        <v>31</v>
      </c>
      <c r="BM107" s="46"/>
      <c r="BN107" s="4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5"/>
      <c r="CP107" s="5"/>
      <c r="CQ107" s="5"/>
      <c r="CR107" s="5"/>
    </row>
    <row r="108" spans="1:96" ht="15" hidden="1" customHeight="1" x14ac:dyDescent="0.25">
      <c r="B108" s="139">
        <v>18</v>
      </c>
      <c r="C108" s="140">
        <v>6</v>
      </c>
      <c r="D108" s="139" t="str">
        <f t="shared" si="87"/>
        <v>COUNTDOWN_WEST_Q_1_21</v>
      </c>
      <c r="E108" s="140"/>
      <c r="F108" s="142" t="s">
        <v>33</v>
      </c>
      <c r="G108" s="140" t="s">
        <v>19</v>
      </c>
      <c r="H108" s="140" t="s">
        <v>59</v>
      </c>
      <c r="I108" s="140">
        <v>1</v>
      </c>
      <c r="J108" s="144"/>
      <c r="K108" s="144"/>
      <c r="L108" s="140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101"/>
      <c r="AB108" s="42"/>
      <c r="AC108" s="46"/>
      <c r="AD108" s="46"/>
      <c r="AE108" s="46"/>
      <c r="AF108" s="46"/>
      <c r="AG108" s="101"/>
      <c r="AH108" s="133"/>
      <c r="AI108" s="46"/>
      <c r="AJ108" s="46"/>
      <c r="AK108" s="46"/>
      <c r="AL108" s="46"/>
      <c r="AM108" s="46"/>
      <c r="AN108" s="46"/>
      <c r="AO108" s="46"/>
      <c r="AP108" s="6"/>
      <c r="AQ108" s="6"/>
      <c r="AR108" s="46"/>
      <c r="AS108" s="46"/>
      <c r="AT108" s="56"/>
      <c r="AU108" s="56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5"/>
      <c r="CP108" s="5"/>
      <c r="CQ108" s="5"/>
      <c r="CR108" s="5"/>
    </row>
    <row r="109" spans="1:96" ht="15" hidden="1" customHeight="1" x14ac:dyDescent="0.25">
      <c r="A109" t="s">
        <v>7</v>
      </c>
      <c r="B109" s="139">
        <v>19</v>
      </c>
      <c r="C109" s="139">
        <v>1</v>
      </c>
      <c r="D109" s="139" t="str">
        <f t="shared" si="87"/>
        <v>SORTING_WEST_F_2_21</v>
      </c>
      <c r="E109" s="139" t="s">
        <v>35</v>
      </c>
      <c r="F109" s="138" t="s">
        <v>45</v>
      </c>
      <c r="G109" s="140" t="s">
        <v>19</v>
      </c>
      <c r="H109" s="140" t="s">
        <v>7</v>
      </c>
      <c r="I109" s="140">
        <v>2</v>
      </c>
      <c r="J109" s="139"/>
      <c r="K109" s="184">
        <f>COUNT(AB109:BB109)</f>
        <v>16</v>
      </c>
      <c r="L109" s="139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101"/>
      <c r="AB109" s="8">
        <v>1</v>
      </c>
      <c r="AC109" s="3">
        <f>AB109+1</f>
        <v>2</v>
      </c>
      <c r="AD109" s="3">
        <f t="shared" ref="AD109:AQ109" si="181">AC109+1</f>
        <v>3</v>
      </c>
      <c r="AE109" s="3">
        <f t="shared" si="181"/>
        <v>4</v>
      </c>
      <c r="AF109" s="3">
        <f t="shared" si="181"/>
        <v>5</v>
      </c>
      <c r="AG109" s="3">
        <f t="shared" si="181"/>
        <v>6</v>
      </c>
      <c r="AH109" s="3">
        <f t="shared" si="181"/>
        <v>7</v>
      </c>
      <c r="AI109" s="3">
        <f t="shared" si="181"/>
        <v>8</v>
      </c>
      <c r="AJ109" s="3">
        <f t="shared" si="181"/>
        <v>9</v>
      </c>
      <c r="AK109" s="3">
        <f t="shared" si="181"/>
        <v>10</v>
      </c>
      <c r="AL109" s="3">
        <f t="shared" si="181"/>
        <v>11</v>
      </c>
      <c r="AM109" s="3">
        <f t="shared" si="181"/>
        <v>12</v>
      </c>
      <c r="AN109" s="3">
        <f t="shared" si="181"/>
        <v>13</v>
      </c>
      <c r="AO109" s="3">
        <f t="shared" si="181"/>
        <v>14</v>
      </c>
      <c r="AP109" s="3">
        <f t="shared" si="181"/>
        <v>15</v>
      </c>
      <c r="AQ109" s="3">
        <f t="shared" si="181"/>
        <v>16</v>
      </c>
      <c r="AR109" s="4"/>
      <c r="AS109" s="4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5"/>
      <c r="CP109" s="5"/>
      <c r="CQ109" s="5"/>
      <c r="CR109" s="5"/>
    </row>
    <row r="110" spans="1:96" ht="15" hidden="1" customHeight="1" x14ac:dyDescent="0.25">
      <c r="A110" t="s">
        <v>7</v>
      </c>
      <c r="B110" s="139">
        <v>19</v>
      </c>
      <c r="C110" s="139">
        <v>2</v>
      </c>
      <c r="D110" s="139" t="str">
        <f t="shared" si="87"/>
        <v>TRANSFER_WEST_F_2_21</v>
      </c>
      <c r="E110" s="139" t="s">
        <v>21</v>
      </c>
      <c r="F110" s="138" t="s">
        <v>21</v>
      </c>
      <c r="G110" s="140" t="s">
        <v>19</v>
      </c>
      <c r="H110" s="140" t="s">
        <v>7</v>
      </c>
      <c r="I110" s="140">
        <v>2</v>
      </c>
      <c r="J110" s="139"/>
      <c r="K110" s="184">
        <f>COUNT(AB110:BB110)</f>
        <v>18</v>
      </c>
      <c r="L110" s="139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101"/>
      <c r="AB110" s="8">
        <v>1</v>
      </c>
      <c r="AC110" s="3">
        <f>AB110+1</f>
        <v>2</v>
      </c>
      <c r="AD110" s="3">
        <f t="shared" ref="AD110:AS110" si="182">AC110+1</f>
        <v>3</v>
      </c>
      <c r="AE110" s="3">
        <f t="shared" si="182"/>
        <v>4</v>
      </c>
      <c r="AF110" s="3">
        <f t="shared" si="182"/>
        <v>5</v>
      </c>
      <c r="AG110" s="3">
        <f t="shared" si="182"/>
        <v>6</v>
      </c>
      <c r="AH110" s="3">
        <f t="shared" si="182"/>
        <v>7</v>
      </c>
      <c r="AI110" s="3">
        <f t="shared" si="182"/>
        <v>8</v>
      </c>
      <c r="AJ110" s="3">
        <f t="shared" si="182"/>
        <v>9</v>
      </c>
      <c r="AK110" s="3">
        <f t="shared" si="182"/>
        <v>10</v>
      </c>
      <c r="AL110" s="3">
        <f t="shared" si="182"/>
        <v>11</v>
      </c>
      <c r="AM110" s="3">
        <f t="shared" si="182"/>
        <v>12</v>
      </c>
      <c r="AN110" s="3">
        <f t="shared" si="182"/>
        <v>13</v>
      </c>
      <c r="AO110" s="3">
        <f t="shared" si="182"/>
        <v>14</v>
      </c>
      <c r="AP110" s="3">
        <f t="shared" si="182"/>
        <v>15</v>
      </c>
      <c r="AQ110" s="3">
        <f t="shared" si="182"/>
        <v>16</v>
      </c>
      <c r="AR110" s="3">
        <f t="shared" si="182"/>
        <v>17</v>
      </c>
      <c r="AS110" s="3">
        <f t="shared" si="182"/>
        <v>18</v>
      </c>
      <c r="AT110" s="4"/>
      <c r="AU110" s="4"/>
      <c r="AV110" s="4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5"/>
      <c r="CP110" s="5"/>
      <c r="CQ110" s="5"/>
      <c r="CR110" s="5"/>
    </row>
    <row r="111" spans="1:96" ht="15" hidden="1" customHeight="1" x14ac:dyDescent="0.25">
      <c r="A111" t="s">
        <v>7</v>
      </c>
      <c r="B111" s="139">
        <v>19</v>
      </c>
      <c r="C111" s="139">
        <v>3</v>
      </c>
      <c r="D111" s="139" t="str">
        <f t="shared" si="87"/>
        <v>PREPARE_WEST_F_2_21</v>
      </c>
      <c r="E111" s="139" t="s">
        <v>0</v>
      </c>
      <c r="F111" s="138" t="s">
        <v>46</v>
      </c>
      <c r="G111" s="140" t="s">
        <v>19</v>
      </c>
      <c r="H111" s="140" t="s">
        <v>7</v>
      </c>
      <c r="I111" s="140">
        <v>2</v>
      </c>
      <c r="J111" s="141"/>
      <c r="K111" s="184">
        <f>COUNT(M111:BB111)</f>
        <v>35</v>
      </c>
      <c r="L111" s="139"/>
      <c r="M111" s="3">
        <v>1</v>
      </c>
      <c r="N111" s="3">
        <f t="shared" ref="N111:AU111" si="183">M111+1</f>
        <v>2</v>
      </c>
      <c r="O111" s="3">
        <f t="shared" si="183"/>
        <v>3</v>
      </c>
      <c r="P111" s="3">
        <f t="shared" si="183"/>
        <v>4</v>
      </c>
      <c r="Q111" s="3">
        <f t="shared" si="183"/>
        <v>5</v>
      </c>
      <c r="R111" s="3">
        <f t="shared" si="183"/>
        <v>6</v>
      </c>
      <c r="S111" s="3">
        <f t="shared" si="183"/>
        <v>7</v>
      </c>
      <c r="T111" s="3">
        <f t="shared" si="183"/>
        <v>8</v>
      </c>
      <c r="U111" s="3">
        <f t="shared" si="183"/>
        <v>9</v>
      </c>
      <c r="V111" s="3">
        <f t="shared" si="183"/>
        <v>10</v>
      </c>
      <c r="W111" s="3">
        <f t="shared" si="183"/>
        <v>11</v>
      </c>
      <c r="X111" s="3">
        <f t="shared" si="183"/>
        <v>12</v>
      </c>
      <c r="Y111" s="3">
        <f t="shared" si="183"/>
        <v>13</v>
      </c>
      <c r="Z111" s="3">
        <f t="shared" si="183"/>
        <v>14</v>
      </c>
      <c r="AA111" s="3">
        <f t="shared" si="183"/>
        <v>15</v>
      </c>
      <c r="AB111" s="3">
        <f t="shared" si="183"/>
        <v>16</v>
      </c>
      <c r="AC111" s="3">
        <f t="shared" si="183"/>
        <v>17</v>
      </c>
      <c r="AD111" s="3">
        <f t="shared" si="183"/>
        <v>18</v>
      </c>
      <c r="AE111" s="3">
        <f t="shared" si="183"/>
        <v>19</v>
      </c>
      <c r="AF111" s="3">
        <f t="shared" si="183"/>
        <v>20</v>
      </c>
      <c r="AG111" s="3">
        <f t="shared" si="183"/>
        <v>21</v>
      </c>
      <c r="AH111" s="3">
        <f t="shared" si="183"/>
        <v>22</v>
      </c>
      <c r="AI111" s="3">
        <f t="shared" si="183"/>
        <v>23</v>
      </c>
      <c r="AJ111" s="3">
        <f t="shared" si="183"/>
        <v>24</v>
      </c>
      <c r="AK111" s="3">
        <f t="shared" si="183"/>
        <v>25</v>
      </c>
      <c r="AL111" s="3">
        <f t="shared" si="183"/>
        <v>26</v>
      </c>
      <c r="AM111" s="3">
        <f t="shared" si="183"/>
        <v>27</v>
      </c>
      <c r="AN111" s="3">
        <f t="shared" si="183"/>
        <v>28</v>
      </c>
      <c r="AO111" s="3">
        <f t="shared" si="183"/>
        <v>29</v>
      </c>
      <c r="AP111" s="3">
        <f t="shared" si="183"/>
        <v>30</v>
      </c>
      <c r="AQ111" s="3">
        <f t="shared" si="183"/>
        <v>31</v>
      </c>
      <c r="AR111" s="3">
        <f t="shared" si="183"/>
        <v>32</v>
      </c>
      <c r="AS111" s="3">
        <f t="shared" si="183"/>
        <v>33</v>
      </c>
      <c r="AT111" s="3">
        <f t="shared" si="183"/>
        <v>34</v>
      </c>
      <c r="AU111" s="3">
        <f t="shared" si="183"/>
        <v>35</v>
      </c>
      <c r="AV111" s="4"/>
      <c r="AW111" s="4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5"/>
      <c r="CP111" s="5"/>
      <c r="CQ111" s="5"/>
      <c r="CR111" s="5"/>
    </row>
    <row r="112" spans="1:96" ht="15" hidden="1" customHeight="1" x14ac:dyDescent="0.25">
      <c r="A112" t="s">
        <v>7</v>
      </c>
      <c r="B112" s="139">
        <v>19</v>
      </c>
      <c r="C112" s="139">
        <v>4</v>
      </c>
      <c r="D112" s="139" t="str">
        <f t="shared" si="87"/>
        <v>SUPPLY_WEST_F_2_21</v>
      </c>
      <c r="E112" s="139" t="s">
        <v>0</v>
      </c>
      <c r="F112" s="142" t="s">
        <v>0</v>
      </c>
      <c r="G112" s="140" t="s">
        <v>19</v>
      </c>
      <c r="H112" s="140" t="s">
        <v>7</v>
      </c>
      <c r="I112" s="140">
        <v>2</v>
      </c>
      <c r="J112" s="143"/>
      <c r="K112" s="184">
        <f>COUNT(AH112:BW112)</f>
        <v>16</v>
      </c>
      <c r="L112" s="140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101"/>
      <c r="AB112" s="42"/>
      <c r="AC112" s="46"/>
      <c r="AD112" s="46"/>
      <c r="AE112" s="46"/>
      <c r="AF112" s="46"/>
      <c r="AG112" s="57"/>
      <c r="AH112" s="86">
        <v>1</v>
      </c>
      <c r="AI112" s="3">
        <f t="shared" ref="AI112:AW112" si="184">AH112+1</f>
        <v>2</v>
      </c>
      <c r="AJ112" s="3">
        <f t="shared" si="184"/>
        <v>3</v>
      </c>
      <c r="AK112" s="3">
        <f t="shared" si="184"/>
        <v>4</v>
      </c>
      <c r="AL112" s="3">
        <f t="shared" si="184"/>
        <v>5</v>
      </c>
      <c r="AM112" s="3">
        <f t="shared" si="184"/>
        <v>6</v>
      </c>
      <c r="AN112" s="3">
        <f t="shared" si="184"/>
        <v>7</v>
      </c>
      <c r="AO112" s="3">
        <f t="shared" si="184"/>
        <v>8</v>
      </c>
      <c r="AP112" s="3">
        <f t="shared" si="184"/>
        <v>9</v>
      </c>
      <c r="AQ112" s="3">
        <f t="shared" si="184"/>
        <v>10</v>
      </c>
      <c r="AR112" s="3">
        <f t="shared" si="184"/>
        <v>11</v>
      </c>
      <c r="AS112" s="3">
        <f t="shared" si="184"/>
        <v>12</v>
      </c>
      <c r="AT112" s="3">
        <f t="shared" si="184"/>
        <v>13</v>
      </c>
      <c r="AU112" s="3">
        <f t="shared" si="184"/>
        <v>14</v>
      </c>
      <c r="AV112" s="3">
        <f t="shared" si="184"/>
        <v>15</v>
      </c>
      <c r="AW112" s="3">
        <f t="shared" si="184"/>
        <v>16</v>
      </c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97"/>
      <c r="BN112" s="4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5"/>
      <c r="CP112" s="5"/>
      <c r="CQ112" s="5"/>
      <c r="CR112" s="5"/>
    </row>
    <row r="113" spans="1:96" ht="15" customHeight="1" x14ac:dyDescent="0.25">
      <c r="A113" t="s">
        <v>7</v>
      </c>
      <c r="B113" s="139">
        <v>19</v>
      </c>
      <c r="C113" s="140">
        <v>5</v>
      </c>
      <c r="D113" s="139" t="str">
        <f t="shared" si="87"/>
        <v>EMPTY_WEST_F_2_21</v>
      </c>
      <c r="E113" s="140" t="s">
        <v>0</v>
      </c>
      <c r="F113" s="142" t="s">
        <v>32</v>
      </c>
      <c r="G113" s="140" t="s">
        <v>19</v>
      </c>
      <c r="H113" s="140" t="s">
        <v>7</v>
      </c>
      <c r="I113" s="140">
        <v>2</v>
      </c>
      <c r="J113" s="139"/>
      <c r="K113" s="184">
        <f>COUNT(AH113:BW113)</f>
        <v>33</v>
      </c>
      <c r="L113" s="139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101"/>
      <c r="AB113" s="42"/>
      <c r="AC113" s="46"/>
      <c r="AD113" s="46"/>
      <c r="AE113" s="46"/>
      <c r="AF113" s="46"/>
      <c r="AG113" s="57"/>
      <c r="AH113" s="86">
        <v>1</v>
      </c>
      <c r="AI113" s="3">
        <f t="shared" ref="AI113:BN113" si="185">AH113+1</f>
        <v>2</v>
      </c>
      <c r="AJ113" s="3">
        <f t="shared" si="185"/>
        <v>3</v>
      </c>
      <c r="AK113" s="3">
        <f t="shared" si="185"/>
        <v>4</v>
      </c>
      <c r="AL113" s="3">
        <f t="shared" si="185"/>
        <v>5</v>
      </c>
      <c r="AM113" s="3">
        <f t="shared" si="185"/>
        <v>6</v>
      </c>
      <c r="AN113" s="3">
        <f t="shared" si="185"/>
        <v>7</v>
      </c>
      <c r="AO113" s="3">
        <f t="shared" si="185"/>
        <v>8</v>
      </c>
      <c r="AP113" s="3">
        <f t="shared" si="185"/>
        <v>9</v>
      </c>
      <c r="AQ113" s="3">
        <f t="shared" si="185"/>
        <v>10</v>
      </c>
      <c r="AR113" s="3">
        <f t="shared" si="185"/>
        <v>11</v>
      </c>
      <c r="AS113" s="3">
        <f t="shared" si="185"/>
        <v>12</v>
      </c>
      <c r="AT113" s="3">
        <f t="shared" si="185"/>
        <v>13</v>
      </c>
      <c r="AU113" s="3">
        <f t="shared" si="185"/>
        <v>14</v>
      </c>
      <c r="AV113" s="3">
        <f t="shared" si="185"/>
        <v>15</v>
      </c>
      <c r="AW113" s="3">
        <f t="shared" si="185"/>
        <v>16</v>
      </c>
      <c r="AX113" s="3">
        <f t="shared" si="185"/>
        <v>17</v>
      </c>
      <c r="AY113" s="3">
        <f t="shared" si="185"/>
        <v>18</v>
      </c>
      <c r="AZ113" s="3">
        <f t="shared" si="185"/>
        <v>19</v>
      </c>
      <c r="BA113" s="3">
        <f t="shared" si="185"/>
        <v>20</v>
      </c>
      <c r="BB113" s="3">
        <f t="shared" si="185"/>
        <v>21</v>
      </c>
      <c r="BC113" s="3">
        <f t="shared" si="185"/>
        <v>22</v>
      </c>
      <c r="BD113" s="3">
        <f t="shared" si="185"/>
        <v>23</v>
      </c>
      <c r="BE113" s="3">
        <f t="shared" si="185"/>
        <v>24</v>
      </c>
      <c r="BF113" s="3">
        <f t="shared" si="185"/>
        <v>25</v>
      </c>
      <c r="BG113" s="3">
        <f t="shared" si="185"/>
        <v>26</v>
      </c>
      <c r="BH113" s="3">
        <f t="shared" si="185"/>
        <v>27</v>
      </c>
      <c r="BI113" s="3">
        <f t="shared" si="185"/>
        <v>28</v>
      </c>
      <c r="BJ113" s="3">
        <f t="shared" si="185"/>
        <v>29</v>
      </c>
      <c r="BK113" s="3">
        <f t="shared" si="185"/>
        <v>30</v>
      </c>
      <c r="BL113" s="3">
        <f t="shared" si="185"/>
        <v>31</v>
      </c>
      <c r="BM113" s="3">
        <f t="shared" si="185"/>
        <v>32</v>
      </c>
      <c r="BN113" s="3">
        <f t="shared" si="185"/>
        <v>33</v>
      </c>
      <c r="BO113" s="46"/>
      <c r="BP113" s="4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5"/>
      <c r="CP113" s="5"/>
      <c r="CQ113" s="5"/>
      <c r="CR113" s="5"/>
    </row>
    <row r="114" spans="1:96" ht="15" hidden="1" customHeight="1" x14ac:dyDescent="0.25">
      <c r="A114" t="s">
        <v>7</v>
      </c>
      <c r="B114" s="139">
        <v>19</v>
      </c>
      <c r="C114" s="140">
        <v>6</v>
      </c>
      <c r="D114" s="139" t="str">
        <f t="shared" si="87"/>
        <v>COUNTDOWN_WEST_F_2_21</v>
      </c>
      <c r="E114" s="140"/>
      <c r="F114" s="142" t="s">
        <v>33</v>
      </c>
      <c r="G114" s="140" t="s">
        <v>19</v>
      </c>
      <c r="H114" s="140" t="s">
        <v>7</v>
      </c>
      <c r="I114" s="140">
        <v>2</v>
      </c>
      <c r="J114" s="144"/>
      <c r="K114" s="144"/>
      <c r="L114" s="140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101"/>
      <c r="AB114" s="8"/>
      <c r="AC114" s="3"/>
      <c r="AD114" s="3"/>
      <c r="AE114" s="3"/>
      <c r="AF114" s="3"/>
      <c r="AG114" s="31"/>
      <c r="AH114" s="86"/>
      <c r="AI114" s="3"/>
      <c r="AJ114" s="3"/>
      <c r="AK114" s="3"/>
      <c r="AL114" s="3"/>
      <c r="AM114" s="3"/>
      <c r="AN114" s="3"/>
      <c r="AO114" s="3"/>
      <c r="AP114" s="3"/>
      <c r="AQ114" s="3"/>
      <c r="AR114" s="6"/>
      <c r="AS114" s="6"/>
      <c r="AT114" s="46"/>
      <c r="AU114" s="46"/>
      <c r="AV114" s="46"/>
      <c r="AW114" s="56"/>
      <c r="AX114" s="56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5"/>
      <c r="CP114" s="5"/>
      <c r="CQ114" s="5"/>
      <c r="CR114" s="5"/>
    </row>
    <row r="115" spans="1:96" ht="15" hidden="1" customHeight="1" x14ac:dyDescent="0.25">
      <c r="A115" t="s">
        <v>14</v>
      </c>
      <c r="B115" s="139">
        <v>20</v>
      </c>
      <c r="C115" s="139">
        <v>1</v>
      </c>
      <c r="D115" s="139" t="str">
        <f t="shared" si="87"/>
        <v>SORTING_WEST_M_1_21</v>
      </c>
      <c r="E115" s="139" t="s">
        <v>35</v>
      </c>
      <c r="F115" s="138" t="s">
        <v>45</v>
      </c>
      <c r="G115" s="140" t="s">
        <v>19</v>
      </c>
      <c r="H115" s="140" t="s">
        <v>14</v>
      </c>
      <c r="I115" s="140">
        <v>1</v>
      </c>
      <c r="J115" s="139"/>
      <c r="K115" s="184">
        <f>COUNT(AB115:BB115)</f>
        <v>18</v>
      </c>
      <c r="L115" s="139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101"/>
      <c r="AB115" s="8">
        <v>1</v>
      </c>
      <c r="AC115" s="3">
        <f>AB115+1</f>
        <v>2</v>
      </c>
      <c r="AD115" s="3">
        <f t="shared" ref="AD115:AS115" si="186">AC115+1</f>
        <v>3</v>
      </c>
      <c r="AE115" s="3">
        <f t="shared" si="186"/>
        <v>4</v>
      </c>
      <c r="AF115" s="3">
        <f t="shared" si="186"/>
        <v>5</v>
      </c>
      <c r="AG115" s="3">
        <f t="shared" si="186"/>
        <v>6</v>
      </c>
      <c r="AH115" s="3">
        <f t="shared" si="186"/>
        <v>7</v>
      </c>
      <c r="AI115" s="3">
        <f t="shared" si="186"/>
        <v>8</v>
      </c>
      <c r="AJ115" s="3">
        <f t="shared" si="186"/>
        <v>9</v>
      </c>
      <c r="AK115" s="3">
        <f t="shared" si="186"/>
        <v>10</v>
      </c>
      <c r="AL115" s="3">
        <f t="shared" si="186"/>
        <v>11</v>
      </c>
      <c r="AM115" s="3">
        <f t="shared" si="186"/>
        <v>12</v>
      </c>
      <c r="AN115" s="3">
        <f t="shared" si="186"/>
        <v>13</v>
      </c>
      <c r="AO115" s="3">
        <f t="shared" si="186"/>
        <v>14</v>
      </c>
      <c r="AP115" s="3">
        <f t="shared" si="186"/>
        <v>15</v>
      </c>
      <c r="AQ115" s="3">
        <f t="shared" si="186"/>
        <v>16</v>
      </c>
      <c r="AR115" s="3">
        <f t="shared" si="186"/>
        <v>17</v>
      </c>
      <c r="AS115" s="3">
        <f t="shared" si="186"/>
        <v>18</v>
      </c>
      <c r="AT115" s="4"/>
      <c r="AU115" s="4"/>
      <c r="AV115" s="4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5"/>
      <c r="CP115" s="5"/>
      <c r="CQ115" s="5"/>
      <c r="CR115" s="5"/>
    </row>
    <row r="116" spans="1:96" ht="15" hidden="1" customHeight="1" x14ac:dyDescent="0.25">
      <c r="A116" t="s">
        <v>14</v>
      </c>
      <c r="B116" s="139">
        <v>20</v>
      </c>
      <c r="C116" s="139">
        <v>2</v>
      </c>
      <c r="D116" s="139" t="str">
        <f t="shared" si="87"/>
        <v>TRANSFER_WEST_M_1_21</v>
      </c>
      <c r="E116" s="139" t="s">
        <v>21</v>
      </c>
      <c r="F116" s="138" t="s">
        <v>21</v>
      </c>
      <c r="G116" s="140" t="s">
        <v>19</v>
      </c>
      <c r="H116" s="140" t="s">
        <v>14</v>
      </c>
      <c r="I116" s="140">
        <v>1</v>
      </c>
      <c r="J116" s="139"/>
      <c r="K116" s="184">
        <f>COUNT(AB116:BB116)</f>
        <v>21</v>
      </c>
      <c r="L116" s="139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101"/>
      <c r="AB116" s="8">
        <v>1</v>
      </c>
      <c r="AC116" s="3">
        <f>AB116+1</f>
        <v>2</v>
      </c>
      <c r="AD116" s="3">
        <f t="shared" ref="AD116:AV116" si="187">AC116+1</f>
        <v>3</v>
      </c>
      <c r="AE116" s="3">
        <f t="shared" si="187"/>
        <v>4</v>
      </c>
      <c r="AF116" s="3">
        <f t="shared" si="187"/>
        <v>5</v>
      </c>
      <c r="AG116" s="3">
        <f t="shared" si="187"/>
        <v>6</v>
      </c>
      <c r="AH116" s="3">
        <f t="shared" si="187"/>
        <v>7</v>
      </c>
      <c r="AI116" s="3">
        <f t="shared" si="187"/>
        <v>8</v>
      </c>
      <c r="AJ116" s="3">
        <f t="shared" si="187"/>
        <v>9</v>
      </c>
      <c r="AK116" s="3">
        <f t="shared" si="187"/>
        <v>10</v>
      </c>
      <c r="AL116" s="3">
        <f t="shared" si="187"/>
        <v>11</v>
      </c>
      <c r="AM116" s="3">
        <f t="shared" si="187"/>
        <v>12</v>
      </c>
      <c r="AN116" s="3">
        <f t="shared" si="187"/>
        <v>13</v>
      </c>
      <c r="AO116" s="3">
        <f t="shared" si="187"/>
        <v>14</v>
      </c>
      <c r="AP116" s="3">
        <f t="shared" si="187"/>
        <v>15</v>
      </c>
      <c r="AQ116" s="3">
        <f t="shared" si="187"/>
        <v>16</v>
      </c>
      <c r="AR116" s="3">
        <f t="shared" si="187"/>
        <v>17</v>
      </c>
      <c r="AS116" s="3">
        <f t="shared" si="187"/>
        <v>18</v>
      </c>
      <c r="AT116" s="3">
        <f t="shared" si="187"/>
        <v>19</v>
      </c>
      <c r="AU116" s="3">
        <f t="shared" si="187"/>
        <v>20</v>
      </c>
      <c r="AV116" s="3">
        <f t="shared" si="187"/>
        <v>21</v>
      </c>
      <c r="AW116" s="4"/>
      <c r="AX116" s="4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5"/>
      <c r="CP116" s="5"/>
      <c r="CQ116" s="5"/>
      <c r="CR116" s="5"/>
    </row>
    <row r="117" spans="1:96" ht="15" hidden="1" customHeight="1" x14ac:dyDescent="0.25">
      <c r="A117" t="s">
        <v>14</v>
      </c>
      <c r="B117" s="139">
        <v>20</v>
      </c>
      <c r="C117" s="139">
        <v>3</v>
      </c>
      <c r="D117" s="139" t="str">
        <f t="shared" si="87"/>
        <v>PREPARE_WEST_M_1_21</v>
      </c>
      <c r="E117" s="139" t="s">
        <v>0</v>
      </c>
      <c r="F117" s="138" t="s">
        <v>46</v>
      </c>
      <c r="G117" s="140" t="s">
        <v>19</v>
      </c>
      <c r="H117" s="140" t="s">
        <v>14</v>
      </c>
      <c r="I117" s="140">
        <v>1</v>
      </c>
      <c r="J117" s="141"/>
      <c r="K117" s="184">
        <f>COUNT(M117:BB117)</f>
        <v>37</v>
      </c>
      <c r="L117" s="139"/>
      <c r="M117" s="3">
        <v>1</v>
      </c>
      <c r="N117" s="3">
        <f t="shared" ref="N117:AW117" si="188">M117+1</f>
        <v>2</v>
      </c>
      <c r="O117" s="3">
        <f t="shared" si="188"/>
        <v>3</v>
      </c>
      <c r="P117" s="3">
        <f t="shared" si="188"/>
        <v>4</v>
      </c>
      <c r="Q117" s="3">
        <f t="shared" si="188"/>
        <v>5</v>
      </c>
      <c r="R117" s="3">
        <f t="shared" si="188"/>
        <v>6</v>
      </c>
      <c r="S117" s="3">
        <f t="shared" si="188"/>
        <v>7</v>
      </c>
      <c r="T117" s="3">
        <f t="shared" si="188"/>
        <v>8</v>
      </c>
      <c r="U117" s="3">
        <f t="shared" si="188"/>
        <v>9</v>
      </c>
      <c r="V117" s="3">
        <f t="shared" si="188"/>
        <v>10</v>
      </c>
      <c r="W117" s="3">
        <f t="shared" si="188"/>
        <v>11</v>
      </c>
      <c r="X117" s="3">
        <f t="shared" si="188"/>
        <v>12</v>
      </c>
      <c r="Y117" s="3">
        <f t="shared" si="188"/>
        <v>13</v>
      </c>
      <c r="Z117" s="3">
        <f t="shared" si="188"/>
        <v>14</v>
      </c>
      <c r="AA117" s="3">
        <f t="shared" si="188"/>
        <v>15</v>
      </c>
      <c r="AB117" s="3">
        <f t="shared" si="188"/>
        <v>16</v>
      </c>
      <c r="AC117" s="3">
        <f t="shared" si="188"/>
        <v>17</v>
      </c>
      <c r="AD117" s="3">
        <f t="shared" si="188"/>
        <v>18</v>
      </c>
      <c r="AE117" s="3">
        <f t="shared" si="188"/>
        <v>19</v>
      </c>
      <c r="AF117" s="3">
        <f t="shared" si="188"/>
        <v>20</v>
      </c>
      <c r="AG117" s="3">
        <f t="shared" si="188"/>
        <v>21</v>
      </c>
      <c r="AH117" s="3">
        <f t="shared" si="188"/>
        <v>22</v>
      </c>
      <c r="AI117" s="3">
        <f t="shared" si="188"/>
        <v>23</v>
      </c>
      <c r="AJ117" s="3">
        <f t="shared" si="188"/>
        <v>24</v>
      </c>
      <c r="AK117" s="3">
        <f t="shared" si="188"/>
        <v>25</v>
      </c>
      <c r="AL117" s="3">
        <f t="shared" si="188"/>
        <v>26</v>
      </c>
      <c r="AM117" s="3">
        <f t="shared" si="188"/>
        <v>27</v>
      </c>
      <c r="AN117" s="3">
        <f t="shared" si="188"/>
        <v>28</v>
      </c>
      <c r="AO117" s="3">
        <f t="shared" si="188"/>
        <v>29</v>
      </c>
      <c r="AP117" s="3">
        <f t="shared" si="188"/>
        <v>30</v>
      </c>
      <c r="AQ117" s="3">
        <f t="shared" si="188"/>
        <v>31</v>
      </c>
      <c r="AR117" s="3">
        <f t="shared" si="188"/>
        <v>32</v>
      </c>
      <c r="AS117" s="3">
        <f t="shared" si="188"/>
        <v>33</v>
      </c>
      <c r="AT117" s="3">
        <f t="shared" si="188"/>
        <v>34</v>
      </c>
      <c r="AU117" s="3">
        <f t="shared" si="188"/>
        <v>35</v>
      </c>
      <c r="AV117" s="3">
        <f t="shared" si="188"/>
        <v>36</v>
      </c>
      <c r="AW117" s="3">
        <f t="shared" si="188"/>
        <v>37</v>
      </c>
      <c r="AX117" s="4"/>
      <c r="AY117" s="4"/>
      <c r="AZ117" s="4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5"/>
      <c r="CP117" s="5"/>
      <c r="CQ117" s="5"/>
      <c r="CR117" s="5"/>
    </row>
    <row r="118" spans="1:96" ht="15" hidden="1" customHeight="1" x14ac:dyDescent="0.25">
      <c r="A118" t="s">
        <v>14</v>
      </c>
      <c r="B118" s="139">
        <v>20</v>
      </c>
      <c r="C118" s="139">
        <v>4</v>
      </c>
      <c r="D118" s="139" t="str">
        <f t="shared" si="87"/>
        <v>SUPPLY_WEST_M_1_21</v>
      </c>
      <c r="E118" s="139" t="s">
        <v>0</v>
      </c>
      <c r="F118" s="142" t="s">
        <v>0</v>
      </c>
      <c r="G118" s="140" t="s">
        <v>19</v>
      </c>
      <c r="H118" s="140" t="s">
        <v>14</v>
      </c>
      <c r="I118" s="140">
        <v>1</v>
      </c>
      <c r="J118" s="143"/>
      <c r="K118" s="184">
        <f>COUNT(AH118:BW118)</f>
        <v>19</v>
      </c>
      <c r="L118" s="140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101"/>
      <c r="AB118" s="42"/>
      <c r="AC118" s="46"/>
      <c r="AD118" s="46"/>
      <c r="AE118" s="46"/>
      <c r="AF118" s="46"/>
      <c r="AG118" s="57"/>
      <c r="AH118" s="86">
        <v>1</v>
      </c>
      <c r="AI118" s="3">
        <f t="shared" ref="AI118:AZ118" si="189">AH118+1</f>
        <v>2</v>
      </c>
      <c r="AJ118" s="3">
        <f t="shared" si="189"/>
        <v>3</v>
      </c>
      <c r="AK118" s="3">
        <f t="shared" si="189"/>
        <v>4</v>
      </c>
      <c r="AL118" s="3">
        <f t="shared" si="189"/>
        <v>5</v>
      </c>
      <c r="AM118" s="3">
        <f t="shared" si="189"/>
        <v>6</v>
      </c>
      <c r="AN118" s="3">
        <f t="shared" si="189"/>
        <v>7</v>
      </c>
      <c r="AO118" s="3">
        <f t="shared" si="189"/>
        <v>8</v>
      </c>
      <c r="AP118" s="3">
        <f t="shared" si="189"/>
        <v>9</v>
      </c>
      <c r="AQ118" s="3">
        <f t="shared" si="189"/>
        <v>10</v>
      </c>
      <c r="AR118" s="3">
        <f t="shared" si="189"/>
        <v>11</v>
      </c>
      <c r="AS118" s="3">
        <f t="shared" si="189"/>
        <v>12</v>
      </c>
      <c r="AT118" s="3">
        <f t="shared" si="189"/>
        <v>13</v>
      </c>
      <c r="AU118" s="3">
        <f t="shared" si="189"/>
        <v>14</v>
      </c>
      <c r="AV118" s="3">
        <f t="shared" si="189"/>
        <v>15</v>
      </c>
      <c r="AW118" s="3">
        <f t="shared" si="189"/>
        <v>16</v>
      </c>
      <c r="AX118" s="3">
        <f t="shared" si="189"/>
        <v>17</v>
      </c>
      <c r="AY118" s="3">
        <f t="shared" si="189"/>
        <v>18</v>
      </c>
      <c r="AZ118" s="3">
        <f t="shared" si="189"/>
        <v>19</v>
      </c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97"/>
      <c r="BP118" s="97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5"/>
      <c r="CP118" s="5"/>
      <c r="CQ118" s="5"/>
      <c r="CR118" s="5"/>
    </row>
    <row r="119" spans="1:96" ht="15" customHeight="1" x14ac:dyDescent="0.25">
      <c r="A119" t="s">
        <v>14</v>
      </c>
      <c r="B119" s="139">
        <v>20</v>
      </c>
      <c r="C119" s="140">
        <v>5</v>
      </c>
      <c r="D119" s="139" t="str">
        <f t="shared" si="87"/>
        <v>EMPTY_WEST_M_1_21</v>
      </c>
      <c r="E119" s="140" t="s">
        <v>0</v>
      </c>
      <c r="F119" s="142" t="s">
        <v>32</v>
      </c>
      <c r="G119" s="140" t="s">
        <v>19</v>
      </c>
      <c r="H119" s="140" t="s">
        <v>14</v>
      </c>
      <c r="I119" s="140">
        <v>1</v>
      </c>
      <c r="J119" s="139"/>
      <c r="K119" s="184">
        <f>COUNT(AH119:BW119)</f>
        <v>35</v>
      </c>
      <c r="L119" s="139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101"/>
      <c r="AB119" s="42"/>
      <c r="AC119" s="46"/>
      <c r="AD119" s="46"/>
      <c r="AE119" s="46"/>
      <c r="AF119" s="46"/>
      <c r="AG119" s="57"/>
      <c r="AH119" s="86">
        <v>1</v>
      </c>
      <c r="AI119" s="3">
        <f t="shared" ref="AI119:BP119" si="190">AH119+1</f>
        <v>2</v>
      </c>
      <c r="AJ119" s="3">
        <f t="shared" si="190"/>
        <v>3</v>
      </c>
      <c r="AK119" s="3">
        <f t="shared" si="190"/>
        <v>4</v>
      </c>
      <c r="AL119" s="3">
        <f t="shared" si="190"/>
        <v>5</v>
      </c>
      <c r="AM119" s="3">
        <f t="shared" si="190"/>
        <v>6</v>
      </c>
      <c r="AN119" s="3">
        <f t="shared" si="190"/>
        <v>7</v>
      </c>
      <c r="AO119" s="3">
        <f t="shared" si="190"/>
        <v>8</v>
      </c>
      <c r="AP119" s="3">
        <f t="shared" si="190"/>
        <v>9</v>
      </c>
      <c r="AQ119" s="3">
        <f t="shared" si="190"/>
        <v>10</v>
      </c>
      <c r="AR119" s="3">
        <f t="shared" si="190"/>
        <v>11</v>
      </c>
      <c r="AS119" s="3">
        <f t="shared" si="190"/>
        <v>12</v>
      </c>
      <c r="AT119" s="3">
        <f t="shared" si="190"/>
        <v>13</v>
      </c>
      <c r="AU119" s="3">
        <f t="shared" si="190"/>
        <v>14</v>
      </c>
      <c r="AV119" s="3">
        <f t="shared" si="190"/>
        <v>15</v>
      </c>
      <c r="AW119" s="3">
        <f t="shared" si="190"/>
        <v>16</v>
      </c>
      <c r="AX119" s="3">
        <f t="shared" si="190"/>
        <v>17</v>
      </c>
      <c r="AY119" s="3">
        <f t="shared" si="190"/>
        <v>18</v>
      </c>
      <c r="AZ119" s="3">
        <f t="shared" si="190"/>
        <v>19</v>
      </c>
      <c r="BA119" s="3">
        <f t="shared" si="190"/>
        <v>20</v>
      </c>
      <c r="BB119" s="3">
        <f t="shared" si="190"/>
        <v>21</v>
      </c>
      <c r="BC119" s="3">
        <f t="shared" si="190"/>
        <v>22</v>
      </c>
      <c r="BD119" s="3">
        <f t="shared" si="190"/>
        <v>23</v>
      </c>
      <c r="BE119" s="3">
        <f t="shared" si="190"/>
        <v>24</v>
      </c>
      <c r="BF119" s="3">
        <f t="shared" si="190"/>
        <v>25</v>
      </c>
      <c r="BG119" s="3">
        <f t="shared" si="190"/>
        <v>26</v>
      </c>
      <c r="BH119" s="3">
        <f t="shared" si="190"/>
        <v>27</v>
      </c>
      <c r="BI119" s="3">
        <f t="shared" si="190"/>
        <v>28</v>
      </c>
      <c r="BJ119" s="3">
        <f t="shared" si="190"/>
        <v>29</v>
      </c>
      <c r="BK119" s="3">
        <f t="shared" si="190"/>
        <v>30</v>
      </c>
      <c r="BL119" s="3">
        <f t="shared" si="190"/>
        <v>31</v>
      </c>
      <c r="BM119" s="3">
        <f t="shared" si="190"/>
        <v>32</v>
      </c>
      <c r="BN119" s="3">
        <f t="shared" si="190"/>
        <v>33</v>
      </c>
      <c r="BO119" s="3">
        <f t="shared" si="190"/>
        <v>34</v>
      </c>
      <c r="BP119" s="3">
        <f t="shared" si="190"/>
        <v>35</v>
      </c>
      <c r="BQ119" s="46"/>
      <c r="BR119" s="4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5"/>
      <c r="CP119" s="5"/>
      <c r="CQ119" s="5"/>
      <c r="CR119" s="5"/>
    </row>
    <row r="120" spans="1:96" ht="15.75" hidden="1" customHeight="1" thickBot="1" x14ac:dyDescent="0.3">
      <c r="A120" t="s">
        <v>14</v>
      </c>
      <c r="B120" s="139">
        <v>20</v>
      </c>
      <c r="C120" s="140">
        <v>6</v>
      </c>
      <c r="D120" s="139" t="str">
        <f t="shared" si="87"/>
        <v>COUNTDOWN_WEST_M_1_21</v>
      </c>
      <c r="E120" s="140"/>
      <c r="F120" s="142" t="s">
        <v>33</v>
      </c>
      <c r="G120" s="140" t="s">
        <v>19</v>
      </c>
      <c r="H120" s="140" t="s">
        <v>14</v>
      </c>
      <c r="I120" s="140">
        <v>1</v>
      </c>
      <c r="J120" s="144"/>
      <c r="K120" s="144"/>
      <c r="L120" s="140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101"/>
      <c r="AB120" s="221"/>
      <c r="AC120" s="83"/>
      <c r="AD120" s="83"/>
      <c r="AE120" s="83"/>
      <c r="AF120" s="83"/>
      <c r="AG120" s="222"/>
      <c r="AH120" s="133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6"/>
      <c r="AU120" s="6"/>
      <c r="AV120" s="6"/>
      <c r="AW120" s="46"/>
      <c r="AX120" s="46"/>
      <c r="AY120" s="56"/>
      <c r="AZ120" s="56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5"/>
      <c r="CP120" s="5"/>
      <c r="CQ120" s="5"/>
      <c r="CR120" s="5"/>
    </row>
  </sheetData>
  <autoFilter ref="A6:CR120">
    <filterColumn colId="5">
      <filters>
        <filter val="EMPTY"/>
      </filters>
    </filterColumn>
  </autoFilter>
  <mergeCells count="2">
    <mergeCell ref="AF2:AI2"/>
    <mergeCell ref="Z2:AC2"/>
  </mergeCells>
  <printOptions horizontalCentered="1"/>
  <pageMargins left="0" right="0" top="0" bottom="0" header="0" footer="0"/>
  <pageSetup paperSize="8" scale="5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V120"/>
  <sheetViews>
    <sheetView zoomScale="70" zoomScaleNormal="70" workbookViewId="0">
      <selection activeCell="E48" sqref="E48"/>
    </sheetView>
  </sheetViews>
  <sheetFormatPr defaultRowHeight="15" x14ac:dyDescent="0.25"/>
  <cols>
    <col min="1" max="1" width="3" customWidth="1"/>
    <col min="2" max="2" width="6.85546875" bestFit="1" customWidth="1"/>
    <col min="3" max="3" width="14" bestFit="1" customWidth="1"/>
    <col min="4" max="4" width="42.85546875" bestFit="1" customWidth="1"/>
    <col min="5" max="5" width="16.85546875" bestFit="1" customWidth="1"/>
    <col min="6" max="6" width="14.85546875" bestFit="1" customWidth="1"/>
    <col min="7" max="7" width="6.7109375" bestFit="1" customWidth="1"/>
    <col min="9" max="9" width="4.7109375" bestFit="1" customWidth="1"/>
    <col min="10" max="11" width="8.140625" customWidth="1"/>
    <col min="13" max="100" width="3.7109375" customWidth="1"/>
  </cols>
  <sheetData>
    <row r="1" spans="2:100" ht="21" x14ac:dyDescent="0.25">
      <c r="B1" s="44" t="s">
        <v>60</v>
      </c>
      <c r="D1" s="335">
        <v>22</v>
      </c>
      <c r="E1" s="334" t="s">
        <v>66</v>
      </c>
    </row>
    <row r="2" spans="2:100" x14ac:dyDescent="0.25">
      <c r="AA2" s="360" t="s">
        <v>43</v>
      </c>
      <c r="AB2" s="361"/>
      <c r="AC2" s="361"/>
      <c r="AD2" s="362"/>
      <c r="AG2" s="360" t="s">
        <v>44</v>
      </c>
      <c r="AH2" s="361"/>
      <c r="AI2" s="361"/>
      <c r="AJ2" s="361"/>
      <c r="AK2" s="362"/>
    </row>
    <row r="3" spans="2:100" x14ac:dyDescent="0.25">
      <c r="AB3" s="172"/>
      <c r="AH3" s="174"/>
      <c r="AI3" s="2"/>
      <c r="AJ3" s="2"/>
    </row>
    <row r="4" spans="2:100" ht="18.75" customHeight="1" thickBot="1" x14ac:dyDescent="0.3">
      <c r="B4" s="135" t="s">
        <v>26</v>
      </c>
      <c r="C4" s="135" t="s">
        <v>25</v>
      </c>
      <c r="D4" s="135"/>
      <c r="E4" s="135" t="s">
        <v>34</v>
      </c>
      <c r="F4" s="135" t="s">
        <v>29</v>
      </c>
      <c r="G4" s="135" t="s">
        <v>17</v>
      </c>
      <c r="H4" s="135" t="s">
        <v>1</v>
      </c>
      <c r="I4" s="135" t="s">
        <v>20</v>
      </c>
      <c r="J4" s="135" t="s">
        <v>30</v>
      </c>
      <c r="K4" s="135" t="s">
        <v>31</v>
      </c>
      <c r="L4" s="135" t="s">
        <v>27</v>
      </c>
      <c r="AB4" s="173"/>
      <c r="AH4" s="175"/>
    </row>
    <row r="5" spans="2:100" ht="18.75" customHeight="1" x14ac:dyDescent="0.25">
      <c r="B5" s="136"/>
      <c r="C5" s="136"/>
      <c r="D5" s="136"/>
      <c r="E5" s="136"/>
      <c r="F5" s="136"/>
      <c r="G5" s="136"/>
      <c r="H5" s="136"/>
      <c r="I5" s="145"/>
      <c r="J5" s="136"/>
      <c r="K5" s="136">
        <v>17</v>
      </c>
      <c r="L5" s="137" t="s">
        <v>37</v>
      </c>
      <c r="M5" s="4">
        <v>22</v>
      </c>
      <c r="N5" s="4">
        <v>21</v>
      </c>
      <c r="O5" s="4">
        <v>20</v>
      </c>
      <c r="P5" s="4">
        <v>19</v>
      </c>
      <c r="Q5" s="4">
        <v>18</v>
      </c>
      <c r="R5" s="4">
        <v>17</v>
      </c>
      <c r="S5" s="4">
        <v>16</v>
      </c>
      <c r="T5" s="4">
        <v>15</v>
      </c>
      <c r="U5" s="4">
        <v>14</v>
      </c>
      <c r="V5" s="4">
        <v>13</v>
      </c>
      <c r="W5" s="4">
        <v>12</v>
      </c>
      <c r="X5" s="4">
        <v>11</v>
      </c>
      <c r="Y5" s="4">
        <v>10</v>
      </c>
      <c r="Z5" s="4">
        <v>9</v>
      </c>
      <c r="AA5" s="97">
        <v>8</v>
      </c>
      <c r="AB5" s="21">
        <v>7</v>
      </c>
      <c r="AC5" s="170">
        <v>6</v>
      </c>
      <c r="AD5" s="12">
        <v>5</v>
      </c>
      <c r="AE5" s="12">
        <v>4</v>
      </c>
      <c r="AF5" s="12">
        <v>3</v>
      </c>
      <c r="AG5" s="12">
        <v>2</v>
      </c>
      <c r="AH5" s="18">
        <v>1</v>
      </c>
      <c r="AI5" s="95">
        <v>22</v>
      </c>
      <c r="AJ5" s="95">
        <v>21</v>
      </c>
      <c r="AK5" s="40">
        <v>20</v>
      </c>
      <c r="AL5" s="40">
        <v>19</v>
      </c>
      <c r="AM5" s="40">
        <v>18</v>
      </c>
      <c r="AN5" s="40">
        <v>17</v>
      </c>
      <c r="AO5" s="40">
        <v>16</v>
      </c>
      <c r="AP5" s="40">
        <v>15</v>
      </c>
      <c r="AQ5" s="40">
        <v>14</v>
      </c>
      <c r="AR5" s="40">
        <v>13</v>
      </c>
      <c r="AS5" s="40">
        <v>12</v>
      </c>
      <c r="AT5" s="40">
        <v>11</v>
      </c>
      <c r="AU5" s="40">
        <v>10</v>
      </c>
      <c r="AV5" s="40">
        <v>9</v>
      </c>
      <c r="AW5" s="40">
        <v>8</v>
      </c>
      <c r="AX5" s="40">
        <v>7</v>
      </c>
      <c r="AY5" s="40">
        <v>6</v>
      </c>
      <c r="AZ5" s="40">
        <v>5</v>
      </c>
      <c r="BA5" s="40">
        <v>4</v>
      </c>
      <c r="BB5" s="40">
        <v>3</v>
      </c>
      <c r="BC5" s="40">
        <v>2</v>
      </c>
      <c r="BD5" s="40">
        <v>1</v>
      </c>
      <c r="BE5" s="37">
        <v>22</v>
      </c>
      <c r="BF5" s="37">
        <v>21</v>
      </c>
      <c r="BG5" s="37">
        <v>20</v>
      </c>
      <c r="BH5" s="37">
        <v>19</v>
      </c>
      <c r="BI5" s="37">
        <v>18</v>
      </c>
      <c r="BJ5" s="37">
        <v>17</v>
      </c>
      <c r="BK5" s="37">
        <v>16</v>
      </c>
      <c r="BL5" s="37">
        <v>15</v>
      </c>
      <c r="BM5" s="37">
        <v>14</v>
      </c>
      <c r="BN5" s="37">
        <v>13</v>
      </c>
      <c r="BO5" s="37">
        <v>12</v>
      </c>
      <c r="BP5" s="37">
        <v>11</v>
      </c>
      <c r="BQ5" s="37">
        <v>10</v>
      </c>
      <c r="BR5" s="37">
        <v>9</v>
      </c>
      <c r="BS5" s="37">
        <v>8</v>
      </c>
      <c r="BT5" s="37">
        <v>7</v>
      </c>
      <c r="BU5" s="37">
        <v>6</v>
      </c>
      <c r="BV5" s="37">
        <v>5</v>
      </c>
      <c r="BW5" s="37">
        <v>4</v>
      </c>
      <c r="BX5" s="37">
        <v>3</v>
      </c>
      <c r="BY5" s="37">
        <v>2</v>
      </c>
      <c r="BZ5" s="37">
        <v>1</v>
      </c>
      <c r="CA5" s="88">
        <v>22</v>
      </c>
      <c r="CB5" s="88">
        <v>21</v>
      </c>
      <c r="CC5" s="88">
        <v>20</v>
      </c>
      <c r="CD5" s="88">
        <v>19</v>
      </c>
      <c r="CE5" s="88">
        <v>18</v>
      </c>
      <c r="CF5" s="88">
        <v>17</v>
      </c>
      <c r="CG5" s="88">
        <v>16</v>
      </c>
      <c r="CH5" s="88">
        <v>15</v>
      </c>
      <c r="CI5" s="88">
        <v>14</v>
      </c>
      <c r="CJ5" s="88">
        <v>13</v>
      </c>
      <c r="CK5" s="88">
        <v>12</v>
      </c>
      <c r="CL5" s="88">
        <v>11</v>
      </c>
      <c r="CM5" s="88">
        <v>10</v>
      </c>
      <c r="CN5" s="88">
        <v>9</v>
      </c>
      <c r="CO5" s="88">
        <v>8</v>
      </c>
      <c r="CP5" s="88">
        <v>7</v>
      </c>
      <c r="CQ5" s="88">
        <v>6</v>
      </c>
      <c r="CR5" s="88">
        <v>5</v>
      </c>
      <c r="CS5" s="88">
        <v>4</v>
      </c>
      <c r="CT5" s="88">
        <v>3</v>
      </c>
      <c r="CU5" s="88">
        <v>2</v>
      </c>
      <c r="CV5" s="88">
        <v>1</v>
      </c>
    </row>
    <row r="6" spans="2:100" ht="18.75" customHeight="1" x14ac:dyDescent="0.25">
      <c r="B6" s="146">
        <v>0</v>
      </c>
      <c r="C6" s="146">
        <v>0</v>
      </c>
      <c r="D6" s="146"/>
      <c r="E6" s="146"/>
      <c r="F6" s="147" t="s">
        <v>23</v>
      </c>
      <c r="G6" s="146"/>
      <c r="H6" s="149"/>
      <c r="I6" s="148"/>
      <c r="J6" s="149"/>
      <c r="K6" s="150"/>
      <c r="L6" s="150"/>
      <c r="M6" s="4">
        <v>16</v>
      </c>
      <c r="N6" s="4">
        <v>15</v>
      </c>
      <c r="O6" s="4">
        <v>14</v>
      </c>
      <c r="P6" s="4">
        <v>13</v>
      </c>
      <c r="Q6" s="4">
        <v>12</v>
      </c>
      <c r="R6" s="4">
        <v>11</v>
      </c>
      <c r="S6" s="4">
        <v>10</v>
      </c>
      <c r="T6" s="4">
        <v>9</v>
      </c>
      <c r="U6" s="4">
        <v>8</v>
      </c>
      <c r="V6" s="4">
        <v>7</v>
      </c>
      <c r="W6" s="4">
        <v>6</v>
      </c>
      <c r="X6" s="4">
        <v>5</v>
      </c>
      <c r="Y6" s="4">
        <v>4</v>
      </c>
      <c r="Z6" s="4">
        <v>3</v>
      </c>
      <c r="AA6" s="97">
        <v>2</v>
      </c>
      <c r="AB6" s="21">
        <v>1</v>
      </c>
      <c r="AC6" s="95">
        <v>22</v>
      </c>
      <c r="AD6" s="40">
        <v>21</v>
      </c>
      <c r="AE6" s="40">
        <v>20</v>
      </c>
      <c r="AF6" s="95">
        <v>19</v>
      </c>
      <c r="AG6" s="40">
        <v>18</v>
      </c>
      <c r="AH6" s="40">
        <v>17</v>
      </c>
      <c r="AI6" s="95">
        <v>16</v>
      </c>
      <c r="AJ6" s="40">
        <v>15</v>
      </c>
      <c r="AK6" s="40">
        <v>14</v>
      </c>
      <c r="AL6" s="95">
        <v>13</v>
      </c>
      <c r="AM6" s="40">
        <v>12</v>
      </c>
      <c r="AN6" s="40">
        <v>11</v>
      </c>
      <c r="AO6" s="95">
        <v>10</v>
      </c>
      <c r="AP6" s="40">
        <v>9</v>
      </c>
      <c r="AQ6" s="40">
        <v>8</v>
      </c>
      <c r="AR6" s="95">
        <v>7</v>
      </c>
      <c r="AS6" s="40">
        <v>6</v>
      </c>
      <c r="AT6" s="40">
        <v>5</v>
      </c>
      <c r="AU6" s="95">
        <v>4</v>
      </c>
      <c r="AV6" s="40">
        <v>3</v>
      </c>
      <c r="AW6" s="40">
        <v>2</v>
      </c>
      <c r="AX6" s="95">
        <v>1</v>
      </c>
      <c r="AY6" s="37">
        <v>22</v>
      </c>
      <c r="AZ6" s="37">
        <v>21</v>
      </c>
      <c r="BA6" s="37">
        <v>20</v>
      </c>
      <c r="BB6" s="37">
        <v>19</v>
      </c>
      <c r="BC6" s="37">
        <v>18</v>
      </c>
      <c r="BD6" s="37">
        <v>17</v>
      </c>
      <c r="BE6" s="37">
        <v>16</v>
      </c>
      <c r="BF6" s="37">
        <v>15</v>
      </c>
      <c r="BG6" s="37">
        <v>14</v>
      </c>
      <c r="BH6" s="37">
        <v>13</v>
      </c>
      <c r="BI6" s="37">
        <v>12</v>
      </c>
      <c r="BJ6" s="37">
        <v>11</v>
      </c>
      <c r="BK6" s="37">
        <v>10</v>
      </c>
      <c r="BL6" s="37">
        <v>9</v>
      </c>
      <c r="BM6" s="37">
        <v>8</v>
      </c>
      <c r="BN6" s="37">
        <v>7</v>
      </c>
      <c r="BO6" s="37">
        <v>6</v>
      </c>
      <c r="BP6" s="37">
        <v>5</v>
      </c>
      <c r="BQ6" s="37">
        <v>4</v>
      </c>
      <c r="BR6" s="37">
        <v>3</v>
      </c>
      <c r="BS6" s="37">
        <v>2</v>
      </c>
      <c r="BT6" s="37">
        <v>1</v>
      </c>
      <c r="BU6" s="88">
        <v>22</v>
      </c>
      <c r="BV6" s="88">
        <v>21</v>
      </c>
      <c r="BW6" s="88">
        <v>20</v>
      </c>
      <c r="BX6" s="88">
        <v>19</v>
      </c>
      <c r="BY6" s="88">
        <v>18</v>
      </c>
      <c r="BZ6" s="88">
        <v>17</v>
      </c>
      <c r="CA6" s="88">
        <v>16</v>
      </c>
      <c r="CB6" s="88">
        <v>15</v>
      </c>
      <c r="CC6" s="88">
        <v>14</v>
      </c>
      <c r="CD6" s="88">
        <v>13</v>
      </c>
      <c r="CE6" s="88">
        <v>12</v>
      </c>
      <c r="CF6" s="88">
        <v>11</v>
      </c>
      <c r="CG6" s="88">
        <v>10</v>
      </c>
      <c r="CH6" s="88">
        <v>9</v>
      </c>
      <c r="CI6" s="88">
        <v>8</v>
      </c>
      <c r="CJ6" s="88">
        <v>7</v>
      </c>
      <c r="CK6" s="88">
        <v>6</v>
      </c>
      <c r="CL6" s="88">
        <v>5</v>
      </c>
      <c r="CM6" s="88">
        <v>4</v>
      </c>
      <c r="CN6" s="88">
        <v>3</v>
      </c>
      <c r="CO6" s="88">
        <v>2</v>
      </c>
      <c r="CP6" s="88">
        <v>1</v>
      </c>
      <c r="CQ6" s="5">
        <v>22</v>
      </c>
      <c r="CR6" s="5">
        <v>21</v>
      </c>
      <c r="CS6" s="5">
        <v>20</v>
      </c>
      <c r="CT6" s="5">
        <v>19</v>
      </c>
      <c r="CU6" s="5">
        <v>18</v>
      </c>
      <c r="CV6" s="5">
        <v>17</v>
      </c>
    </row>
    <row r="7" spans="2:100" x14ac:dyDescent="0.25">
      <c r="B7" s="139">
        <v>1</v>
      </c>
      <c r="C7" s="139">
        <v>1</v>
      </c>
      <c r="D7" s="139" t="str">
        <f t="shared" ref="D7:D10" si="0">F7&amp;"_"&amp;G7&amp;"_"&amp;H7&amp;"_"&amp;I7&amp;"_"&amp;$D$1</f>
        <v>SORTING_EAST_UNP_1_22</v>
      </c>
      <c r="E7" s="139" t="s">
        <v>35</v>
      </c>
      <c r="F7" s="138" t="s">
        <v>45</v>
      </c>
      <c r="G7" s="140" t="s">
        <v>18</v>
      </c>
      <c r="H7" s="140" t="s">
        <v>42</v>
      </c>
      <c r="I7" s="140">
        <v>1</v>
      </c>
      <c r="J7" s="139"/>
      <c r="K7" s="184">
        <f>COUNT(AC7:BD7)</f>
        <v>0</v>
      </c>
      <c r="L7" s="139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101"/>
      <c r="AB7" s="57"/>
      <c r="AC7" s="93"/>
      <c r="AD7" s="4"/>
      <c r="AE7" s="3"/>
      <c r="AF7" s="3"/>
      <c r="AG7" s="3"/>
      <c r="AH7" s="31"/>
      <c r="AI7" s="86"/>
      <c r="AJ7" s="86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5"/>
      <c r="CT7" s="5"/>
      <c r="CU7" s="5"/>
      <c r="CV7" s="5"/>
    </row>
    <row r="8" spans="2:100" ht="15" customHeight="1" x14ac:dyDescent="0.25">
      <c r="B8" s="139">
        <v>1</v>
      </c>
      <c r="C8" s="139">
        <v>2</v>
      </c>
      <c r="D8" s="139" t="str">
        <f t="shared" si="0"/>
        <v>TRANSFER_EAST_UNP_1_22</v>
      </c>
      <c r="E8" s="139" t="s">
        <v>21</v>
      </c>
      <c r="F8" s="138" t="s">
        <v>21</v>
      </c>
      <c r="G8" s="140" t="s">
        <v>18</v>
      </c>
      <c r="H8" s="140" t="s">
        <v>42</v>
      </c>
      <c r="I8" s="140">
        <v>1</v>
      </c>
      <c r="J8" s="139"/>
      <c r="K8" s="184">
        <f>COUNT(AC8:BD8)</f>
        <v>2</v>
      </c>
      <c r="L8" s="139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101"/>
      <c r="AB8" s="57"/>
      <c r="AC8" s="86">
        <v>1</v>
      </c>
      <c r="AD8" s="3">
        <f>AC8+1</f>
        <v>2</v>
      </c>
      <c r="AE8" s="4"/>
      <c r="AF8" s="4"/>
      <c r="AG8" s="3"/>
      <c r="AH8" s="31"/>
      <c r="AI8" s="86"/>
      <c r="AJ8" s="86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5"/>
      <c r="CT8" s="5"/>
      <c r="CU8" s="5"/>
      <c r="CV8" s="5"/>
    </row>
    <row r="9" spans="2:100" ht="15" customHeight="1" x14ac:dyDescent="0.25">
      <c r="B9" s="139">
        <v>1</v>
      </c>
      <c r="C9" s="139">
        <v>3</v>
      </c>
      <c r="D9" s="139" t="str">
        <f t="shared" si="0"/>
        <v>PREPARE_EAST_UNP_1_22</v>
      </c>
      <c r="E9" s="139" t="s">
        <v>0</v>
      </c>
      <c r="F9" s="138" t="s">
        <v>46</v>
      </c>
      <c r="G9" s="140" t="s">
        <v>18</v>
      </c>
      <c r="H9" s="140" t="s">
        <v>42</v>
      </c>
      <c r="I9" s="140">
        <v>1</v>
      </c>
      <c r="J9" s="141"/>
      <c r="K9" s="184">
        <f>COUNT(M9:BD9)</f>
        <v>20</v>
      </c>
      <c r="L9" s="139"/>
      <c r="M9" s="3">
        <v>1</v>
      </c>
      <c r="N9" s="3">
        <f>M9+1</f>
        <v>2</v>
      </c>
      <c r="O9" s="3">
        <f t="shared" ref="O9:AF9" si="1">N9+1</f>
        <v>3</v>
      </c>
      <c r="P9" s="3">
        <f t="shared" si="1"/>
        <v>4</v>
      </c>
      <c r="Q9" s="3">
        <f t="shared" si="1"/>
        <v>5</v>
      </c>
      <c r="R9" s="3">
        <f t="shared" si="1"/>
        <v>6</v>
      </c>
      <c r="S9" s="3">
        <f t="shared" si="1"/>
        <v>7</v>
      </c>
      <c r="T9" s="3">
        <f t="shared" si="1"/>
        <v>8</v>
      </c>
      <c r="U9" s="3">
        <f t="shared" si="1"/>
        <v>9</v>
      </c>
      <c r="V9" s="3">
        <f t="shared" si="1"/>
        <v>10</v>
      </c>
      <c r="W9" s="3">
        <f t="shared" si="1"/>
        <v>11</v>
      </c>
      <c r="X9" s="3">
        <f t="shared" si="1"/>
        <v>12</v>
      </c>
      <c r="Y9" s="3">
        <f t="shared" si="1"/>
        <v>13</v>
      </c>
      <c r="Z9" s="3">
        <f t="shared" si="1"/>
        <v>14</v>
      </c>
      <c r="AA9" s="3">
        <f t="shared" si="1"/>
        <v>15</v>
      </c>
      <c r="AB9" s="3">
        <f t="shared" si="1"/>
        <v>16</v>
      </c>
      <c r="AC9" s="3">
        <f t="shared" si="1"/>
        <v>17</v>
      </c>
      <c r="AD9" s="3">
        <f t="shared" si="1"/>
        <v>18</v>
      </c>
      <c r="AE9" s="3">
        <f t="shared" si="1"/>
        <v>19</v>
      </c>
      <c r="AF9" s="3">
        <f t="shared" si="1"/>
        <v>20</v>
      </c>
      <c r="AG9" s="4"/>
      <c r="AH9" s="21"/>
      <c r="AI9" s="86"/>
      <c r="AJ9" s="86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5"/>
      <c r="CT9" s="5"/>
      <c r="CU9" s="5"/>
      <c r="CV9" s="5"/>
    </row>
    <row r="10" spans="2:100" ht="15" customHeight="1" x14ac:dyDescent="0.25">
      <c r="B10" s="139">
        <v>1</v>
      </c>
      <c r="C10" s="139">
        <v>4</v>
      </c>
      <c r="D10" s="139" t="str">
        <f t="shared" si="0"/>
        <v>SUPPLY_EAST_UNP_1_22</v>
      </c>
      <c r="E10" s="139" t="s">
        <v>0</v>
      </c>
      <c r="F10" s="142" t="s">
        <v>0</v>
      </c>
      <c r="G10" s="140" t="s">
        <v>18</v>
      </c>
      <c r="H10" s="140" t="s">
        <v>42</v>
      </c>
      <c r="I10" s="140">
        <v>1</v>
      </c>
      <c r="J10" s="143"/>
      <c r="K10" s="184">
        <f>COUNT(AI10:BZ10)</f>
        <v>0</v>
      </c>
      <c r="L10" s="140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101"/>
      <c r="AB10" s="57"/>
      <c r="AC10" s="133"/>
      <c r="AD10" s="46"/>
      <c r="AE10" s="46"/>
      <c r="AF10" s="46"/>
      <c r="AG10" s="46"/>
      <c r="AH10" s="57"/>
      <c r="AI10" s="93"/>
      <c r="AJ10" s="93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97"/>
      <c r="AY10" s="4"/>
      <c r="AZ10" s="4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5"/>
      <c r="CT10" s="5"/>
      <c r="CU10" s="5"/>
      <c r="CV10" s="5"/>
    </row>
    <row r="11" spans="2:100" ht="15" customHeight="1" x14ac:dyDescent="0.25">
      <c r="B11" s="139">
        <v>1</v>
      </c>
      <c r="C11" s="140">
        <v>5</v>
      </c>
      <c r="D11" s="139" t="str">
        <f>F11&amp;"_"&amp;G11&amp;"_"&amp;H11&amp;"_"&amp;I11&amp;"_"&amp;$D$1</f>
        <v>EMPTY_EAST_UNP_1_22</v>
      </c>
      <c r="E11" s="140" t="s">
        <v>0</v>
      </c>
      <c r="F11" s="142" t="s">
        <v>32</v>
      </c>
      <c r="G11" s="140" t="s">
        <v>18</v>
      </c>
      <c r="H11" s="140" t="s">
        <v>42</v>
      </c>
      <c r="I11" s="140">
        <v>1</v>
      </c>
      <c r="J11" s="139"/>
      <c r="K11" s="184">
        <f>COUNT(AI11:BZ11)</f>
        <v>18</v>
      </c>
      <c r="L11" s="139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101"/>
      <c r="AB11" s="57"/>
      <c r="AC11" s="133"/>
      <c r="AD11" s="46"/>
      <c r="AE11" s="46"/>
      <c r="AF11" s="46"/>
      <c r="AG11" s="46"/>
      <c r="AH11" s="57"/>
      <c r="AI11" s="86">
        <v>1</v>
      </c>
      <c r="AJ11" s="86">
        <f>AI11+1</f>
        <v>2</v>
      </c>
      <c r="AK11" s="86">
        <f t="shared" ref="AK11:AZ11" si="2">AJ11+1</f>
        <v>3</v>
      </c>
      <c r="AL11" s="86">
        <f t="shared" si="2"/>
        <v>4</v>
      </c>
      <c r="AM11" s="86">
        <f t="shared" si="2"/>
        <v>5</v>
      </c>
      <c r="AN11" s="86">
        <f t="shared" si="2"/>
        <v>6</v>
      </c>
      <c r="AO11" s="86">
        <f t="shared" si="2"/>
        <v>7</v>
      </c>
      <c r="AP11" s="86">
        <f t="shared" si="2"/>
        <v>8</v>
      </c>
      <c r="AQ11" s="86">
        <f t="shared" si="2"/>
        <v>9</v>
      </c>
      <c r="AR11" s="86">
        <f t="shared" si="2"/>
        <v>10</v>
      </c>
      <c r="AS11" s="86">
        <f t="shared" si="2"/>
        <v>11</v>
      </c>
      <c r="AT11" s="86">
        <f t="shared" si="2"/>
        <v>12</v>
      </c>
      <c r="AU11" s="86">
        <f t="shared" si="2"/>
        <v>13</v>
      </c>
      <c r="AV11" s="86">
        <f t="shared" si="2"/>
        <v>14</v>
      </c>
      <c r="AW11" s="86">
        <f t="shared" si="2"/>
        <v>15</v>
      </c>
      <c r="AX11" s="86">
        <f t="shared" si="2"/>
        <v>16</v>
      </c>
      <c r="AY11" s="86">
        <f t="shared" si="2"/>
        <v>17</v>
      </c>
      <c r="AZ11" s="86">
        <f t="shared" si="2"/>
        <v>18</v>
      </c>
      <c r="BA11" s="46"/>
      <c r="BB11" s="4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5"/>
      <c r="CT11" s="5"/>
      <c r="CU11" s="5"/>
      <c r="CV11" s="5"/>
    </row>
    <row r="12" spans="2:100" ht="15" customHeight="1" x14ac:dyDescent="0.25">
      <c r="B12" s="139">
        <v>1</v>
      </c>
      <c r="C12" s="140">
        <v>6</v>
      </c>
      <c r="D12" s="139" t="str">
        <f t="shared" ref="D12:D81" si="3">F12&amp;"_"&amp;G12&amp;"_"&amp;H12&amp;"_"&amp;I12&amp;"_"&amp;$D$1</f>
        <v>COUNTDOWN_EAST_UNP_1_22</v>
      </c>
      <c r="E12" s="140"/>
      <c r="F12" s="142" t="s">
        <v>33</v>
      </c>
      <c r="G12" s="140" t="s">
        <v>18</v>
      </c>
      <c r="H12" s="140" t="s">
        <v>42</v>
      </c>
      <c r="I12" s="140">
        <v>1</v>
      </c>
      <c r="J12" s="144"/>
      <c r="K12" s="144"/>
      <c r="L12" s="140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101"/>
      <c r="AB12" s="57"/>
      <c r="AC12" s="132"/>
      <c r="AD12" s="6"/>
      <c r="AE12" s="46"/>
      <c r="AF12" s="46"/>
      <c r="AG12" s="56"/>
      <c r="AH12" s="59"/>
      <c r="AI12" s="86"/>
      <c r="AJ12" s="86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5"/>
      <c r="CT12" s="5"/>
      <c r="CU12" s="5"/>
      <c r="CV12" s="5"/>
    </row>
    <row r="13" spans="2:100" x14ac:dyDescent="0.25">
      <c r="B13" s="139">
        <v>2</v>
      </c>
      <c r="C13" s="139">
        <v>1</v>
      </c>
      <c r="D13" s="139" t="str">
        <f t="shared" si="3"/>
        <v>SORTING_EAST_A_2_22</v>
      </c>
      <c r="E13" s="139" t="s">
        <v>35</v>
      </c>
      <c r="F13" s="138" t="s">
        <v>45</v>
      </c>
      <c r="G13" s="140" t="s">
        <v>18</v>
      </c>
      <c r="H13" s="140" t="s">
        <v>2</v>
      </c>
      <c r="I13" s="140">
        <v>2</v>
      </c>
      <c r="J13" s="139"/>
      <c r="K13" s="184">
        <f>COUNT(AC13:BD13)</f>
        <v>2</v>
      </c>
      <c r="L13" s="139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101"/>
      <c r="AB13" s="57"/>
      <c r="AC13" s="86">
        <v>1</v>
      </c>
      <c r="AD13" s="3">
        <f>AC13+1</f>
        <v>2</v>
      </c>
      <c r="AE13" s="4"/>
      <c r="AF13" s="4"/>
      <c r="AG13" s="3"/>
      <c r="AH13" s="31"/>
      <c r="AI13" s="86"/>
      <c r="AJ13" s="86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5"/>
      <c r="CT13" s="5"/>
      <c r="CU13" s="5"/>
      <c r="CV13" s="5"/>
    </row>
    <row r="14" spans="2:100" ht="15" customHeight="1" x14ac:dyDescent="0.25">
      <c r="B14" s="139">
        <v>2</v>
      </c>
      <c r="C14" s="139">
        <v>2</v>
      </c>
      <c r="D14" s="139" t="str">
        <f t="shared" si="3"/>
        <v>TRANSFER_EAST_A_2_22</v>
      </c>
      <c r="E14" s="139" t="s">
        <v>21</v>
      </c>
      <c r="F14" s="138" t="s">
        <v>21</v>
      </c>
      <c r="G14" s="140" t="s">
        <v>18</v>
      </c>
      <c r="H14" s="140" t="s">
        <v>2</v>
      </c>
      <c r="I14" s="140">
        <v>2</v>
      </c>
      <c r="J14" s="139"/>
      <c r="K14" s="184">
        <f>COUNT(AC14:BD14)</f>
        <v>4</v>
      </c>
      <c r="L14" s="139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101"/>
      <c r="AB14" s="57"/>
      <c r="AC14" s="86">
        <v>1</v>
      </c>
      <c r="AD14" s="3">
        <f t="shared" ref="AD14:AH15" si="4">AC14+1</f>
        <v>2</v>
      </c>
      <c r="AE14" s="3">
        <f t="shared" si="4"/>
        <v>3</v>
      </c>
      <c r="AF14" s="3">
        <f t="shared" si="4"/>
        <v>4</v>
      </c>
      <c r="AG14" s="21"/>
      <c r="AH14" s="31"/>
      <c r="AI14" s="86"/>
      <c r="AJ14" s="86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5"/>
      <c r="CT14" s="5"/>
      <c r="CU14" s="5"/>
      <c r="CV14" s="5"/>
    </row>
    <row r="15" spans="2:100" ht="15" customHeight="1" x14ac:dyDescent="0.25">
      <c r="B15" s="139">
        <v>2</v>
      </c>
      <c r="C15" s="139">
        <v>3</v>
      </c>
      <c r="D15" s="139" t="str">
        <f t="shared" si="3"/>
        <v>PREPARE_EAST_A_2_22</v>
      </c>
      <c r="E15" s="139" t="s">
        <v>0</v>
      </c>
      <c r="F15" s="138" t="s">
        <v>46</v>
      </c>
      <c r="G15" s="140" t="s">
        <v>18</v>
      </c>
      <c r="H15" s="140" t="s">
        <v>2</v>
      </c>
      <c r="I15" s="140">
        <v>2</v>
      </c>
      <c r="J15" s="141"/>
      <c r="K15" s="184">
        <f>COUNT(M15:BD15)</f>
        <v>22</v>
      </c>
      <c r="L15" s="139"/>
      <c r="M15" s="3">
        <v>1</v>
      </c>
      <c r="N15" s="3">
        <f>M15+1</f>
        <v>2</v>
      </c>
      <c r="O15" s="3">
        <f t="shared" ref="O15:AC15" si="5">N15+1</f>
        <v>3</v>
      </c>
      <c r="P15" s="3">
        <f t="shared" si="5"/>
        <v>4</v>
      </c>
      <c r="Q15" s="3">
        <f t="shared" si="5"/>
        <v>5</v>
      </c>
      <c r="R15" s="3">
        <f t="shared" si="5"/>
        <v>6</v>
      </c>
      <c r="S15" s="3">
        <f t="shared" si="5"/>
        <v>7</v>
      </c>
      <c r="T15" s="3">
        <f t="shared" si="5"/>
        <v>8</v>
      </c>
      <c r="U15" s="3">
        <f t="shared" si="5"/>
        <v>9</v>
      </c>
      <c r="V15" s="3">
        <f t="shared" si="5"/>
        <v>10</v>
      </c>
      <c r="W15" s="3">
        <f t="shared" si="5"/>
        <v>11</v>
      </c>
      <c r="X15" s="3">
        <f t="shared" si="5"/>
        <v>12</v>
      </c>
      <c r="Y15" s="3">
        <f t="shared" si="5"/>
        <v>13</v>
      </c>
      <c r="Z15" s="3">
        <f t="shared" si="5"/>
        <v>14</v>
      </c>
      <c r="AA15" s="3">
        <f t="shared" si="5"/>
        <v>15</v>
      </c>
      <c r="AB15" s="3">
        <f t="shared" si="5"/>
        <v>16</v>
      </c>
      <c r="AC15" s="3">
        <f t="shared" si="5"/>
        <v>17</v>
      </c>
      <c r="AD15" s="3">
        <f t="shared" si="4"/>
        <v>18</v>
      </c>
      <c r="AE15" s="3">
        <f t="shared" si="4"/>
        <v>19</v>
      </c>
      <c r="AF15" s="3">
        <f t="shared" si="4"/>
        <v>20</v>
      </c>
      <c r="AG15" s="3">
        <f t="shared" si="4"/>
        <v>21</v>
      </c>
      <c r="AH15" s="3">
        <f t="shared" si="4"/>
        <v>22</v>
      </c>
      <c r="AI15" s="93"/>
      <c r="AJ15" s="93"/>
      <c r="AK15" s="4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5"/>
      <c r="CT15" s="5"/>
      <c r="CU15" s="5"/>
      <c r="CV15" s="5"/>
    </row>
    <row r="16" spans="2:100" ht="15" customHeight="1" x14ac:dyDescent="0.25">
      <c r="B16" s="139">
        <v>2</v>
      </c>
      <c r="C16" s="139">
        <v>4</v>
      </c>
      <c r="D16" s="139" t="str">
        <f t="shared" si="3"/>
        <v>SUPPLY_EAST_A_2_22</v>
      </c>
      <c r="E16" s="139" t="s">
        <v>0</v>
      </c>
      <c r="F16" s="142" t="s">
        <v>0</v>
      </c>
      <c r="G16" s="140" t="s">
        <v>18</v>
      </c>
      <c r="H16" s="140" t="s">
        <v>2</v>
      </c>
      <c r="I16" s="140">
        <v>2</v>
      </c>
      <c r="J16" s="143"/>
      <c r="K16" s="184">
        <f>COUNT(AI16:BZ16)</f>
        <v>3</v>
      </c>
      <c r="L16" s="140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101"/>
      <c r="AB16" s="57"/>
      <c r="AC16" s="133"/>
      <c r="AD16" s="46"/>
      <c r="AE16" s="46"/>
      <c r="AF16" s="46"/>
      <c r="AG16" s="46"/>
      <c r="AH16" s="57"/>
      <c r="AI16" s="86">
        <v>1</v>
      </c>
      <c r="AJ16" s="86">
        <f>AI16+1</f>
        <v>2</v>
      </c>
      <c r="AK16" s="86">
        <f t="shared" ref="AK16:AZ17" si="6">AJ16+1</f>
        <v>3</v>
      </c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97"/>
      <c r="BA16" s="4"/>
      <c r="BB16" s="4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5"/>
      <c r="CT16" s="5"/>
      <c r="CU16" s="5"/>
      <c r="CV16" s="5"/>
    </row>
    <row r="17" spans="1:100" ht="15" customHeight="1" x14ac:dyDescent="0.25">
      <c r="B17" s="139">
        <v>2</v>
      </c>
      <c r="C17" s="140">
        <v>5</v>
      </c>
      <c r="D17" s="139" t="str">
        <f t="shared" si="3"/>
        <v>EMPTY_EAST_A_2_22</v>
      </c>
      <c r="E17" s="140" t="s">
        <v>0</v>
      </c>
      <c r="F17" s="142" t="s">
        <v>32</v>
      </c>
      <c r="G17" s="140" t="s">
        <v>18</v>
      </c>
      <c r="H17" s="140" t="s">
        <v>2</v>
      </c>
      <c r="I17" s="140">
        <v>2</v>
      </c>
      <c r="J17" s="139"/>
      <c r="K17" s="184">
        <f>COUNT(AI17:BZ17)</f>
        <v>20</v>
      </c>
      <c r="L17" s="139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101"/>
      <c r="AB17" s="57"/>
      <c r="AC17" s="133"/>
      <c r="AD17" s="46"/>
      <c r="AE17" s="46"/>
      <c r="AF17" s="46"/>
      <c r="AG17" s="46"/>
      <c r="AH17" s="57"/>
      <c r="AI17" s="86">
        <v>1</v>
      </c>
      <c r="AJ17" s="86">
        <f>AI17+1</f>
        <v>2</v>
      </c>
      <c r="AK17" s="86">
        <f t="shared" si="6"/>
        <v>3</v>
      </c>
      <c r="AL17" s="86">
        <f t="shared" si="6"/>
        <v>4</v>
      </c>
      <c r="AM17" s="86">
        <f t="shared" si="6"/>
        <v>5</v>
      </c>
      <c r="AN17" s="86">
        <f t="shared" si="6"/>
        <v>6</v>
      </c>
      <c r="AO17" s="86">
        <f t="shared" si="6"/>
        <v>7</v>
      </c>
      <c r="AP17" s="86">
        <f t="shared" si="6"/>
        <v>8</v>
      </c>
      <c r="AQ17" s="86">
        <f t="shared" si="6"/>
        <v>9</v>
      </c>
      <c r="AR17" s="86">
        <f t="shared" si="6"/>
        <v>10</v>
      </c>
      <c r="AS17" s="86">
        <f t="shared" si="6"/>
        <v>11</v>
      </c>
      <c r="AT17" s="86">
        <f t="shared" si="6"/>
        <v>12</v>
      </c>
      <c r="AU17" s="86">
        <f t="shared" si="6"/>
        <v>13</v>
      </c>
      <c r="AV17" s="86">
        <f t="shared" si="6"/>
        <v>14</v>
      </c>
      <c r="AW17" s="86">
        <f t="shared" si="6"/>
        <v>15</v>
      </c>
      <c r="AX17" s="86">
        <f t="shared" si="6"/>
        <v>16</v>
      </c>
      <c r="AY17" s="86">
        <f t="shared" si="6"/>
        <v>17</v>
      </c>
      <c r="AZ17" s="86">
        <f t="shared" si="6"/>
        <v>18</v>
      </c>
      <c r="BA17" s="86">
        <f t="shared" ref="BA17:BB17" si="7">AZ17+1</f>
        <v>19</v>
      </c>
      <c r="BB17" s="86">
        <f t="shared" si="7"/>
        <v>20</v>
      </c>
      <c r="BC17" s="46"/>
      <c r="BD17" s="4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5"/>
      <c r="CT17" s="5"/>
      <c r="CU17" s="5"/>
      <c r="CV17" s="5"/>
    </row>
    <row r="18" spans="1:100" ht="15" customHeight="1" x14ac:dyDescent="0.25">
      <c r="B18" s="139">
        <v>2</v>
      </c>
      <c r="C18" s="140">
        <v>6</v>
      </c>
      <c r="D18" s="139" t="str">
        <f t="shared" si="3"/>
        <v>COUNTDOWN_EAST_A_2_22</v>
      </c>
      <c r="E18" s="140"/>
      <c r="F18" s="142" t="s">
        <v>33</v>
      </c>
      <c r="G18" s="140" t="s">
        <v>18</v>
      </c>
      <c r="H18" s="140" t="s">
        <v>2</v>
      </c>
      <c r="I18" s="140">
        <v>2</v>
      </c>
      <c r="J18" s="144"/>
      <c r="K18" s="144"/>
      <c r="L18" s="140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101"/>
      <c r="AB18" s="57"/>
      <c r="AC18" s="86"/>
      <c r="AD18" s="3"/>
      <c r="AE18" s="6"/>
      <c r="AF18" s="6"/>
      <c r="AG18" s="46"/>
      <c r="AH18" s="57"/>
      <c r="AI18" s="134"/>
      <c r="AJ18" s="134"/>
      <c r="AK18" s="56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5"/>
      <c r="CT18" s="5"/>
      <c r="CU18" s="5"/>
      <c r="CV18" s="5"/>
    </row>
    <row r="19" spans="1:100" ht="15" customHeight="1" x14ac:dyDescent="0.25">
      <c r="B19" s="139"/>
      <c r="C19" s="139">
        <v>1</v>
      </c>
      <c r="D19" s="139" t="str">
        <f t="shared" ref="D19:D24" si="8">F19&amp;"_"&amp;G19&amp;"_"&amp;H19&amp;"_"&amp;I19&amp;"_"&amp;$D$1</f>
        <v>SORTING_EAST_C/U_1_22</v>
      </c>
      <c r="E19" s="139" t="s">
        <v>35</v>
      </c>
      <c r="F19" s="138" t="s">
        <v>45</v>
      </c>
      <c r="G19" s="140" t="s">
        <v>18</v>
      </c>
      <c r="H19" s="140" t="s">
        <v>67</v>
      </c>
      <c r="I19" s="140">
        <v>1</v>
      </c>
      <c r="J19" s="139"/>
      <c r="K19" s="184">
        <f>COUNT(AC19:BD19)</f>
        <v>4</v>
      </c>
      <c r="L19" s="140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101"/>
      <c r="AB19" s="57"/>
      <c r="AC19" s="86">
        <v>1</v>
      </c>
      <c r="AD19" s="3">
        <f>AC19+1</f>
        <v>2</v>
      </c>
      <c r="AE19" s="3">
        <f t="shared" ref="AE19:AF19" si="9">AD19+1</f>
        <v>3</v>
      </c>
      <c r="AF19" s="3">
        <f t="shared" si="9"/>
        <v>4</v>
      </c>
      <c r="AG19" s="4"/>
      <c r="AH19" s="31"/>
      <c r="AI19" s="86"/>
      <c r="AJ19" s="86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5"/>
      <c r="CT19" s="5"/>
      <c r="CU19" s="5"/>
      <c r="CV19" s="5"/>
    </row>
    <row r="20" spans="1:100" ht="15" customHeight="1" x14ac:dyDescent="0.25">
      <c r="B20" s="139"/>
      <c r="C20" s="139">
        <v>2</v>
      </c>
      <c r="D20" s="139" t="str">
        <f t="shared" si="8"/>
        <v>TRANSFER_EAST_C/U_1_22</v>
      </c>
      <c r="E20" s="139" t="s">
        <v>21</v>
      </c>
      <c r="F20" s="138" t="s">
        <v>21</v>
      </c>
      <c r="G20" s="140" t="s">
        <v>18</v>
      </c>
      <c r="H20" s="140" t="s">
        <v>67</v>
      </c>
      <c r="I20" s="140">
        <v>1</v>
      </c>
      <c r="J20" s="139"/>
      <c r="K20" s="184">
        <f>COUNT(AC20:BD20)</f>
        <v>5</v>
      </c>
      <c r="L20" s="140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101"/>
      <c r="AB20" s="57"/>
      <c r="AC20" s="86">
        <v>1</v>
      </c>
      <c r="AD20" s="3">
        <f t="shared" ref="AD20:AD21" si="10">AC20+1</f>
        <v>2</v>
      </c>
      <c r="AE20" s="3">
        <f t="shared" ref="AE20:AE21" si="11">AD20+1</f>
        <v>3</v>
      </c>
      <c r="AF20" s="3">
        <f t="shared" ref="AF20:AF21" si="12">AE20+1</f>
        <v>4</v>
      </c>
      <c r="AG20" s="3">
        <f t="shared" ref="AG20:AG21" si="13">AF20+1</f>
        <v>5</v>
      </c>
      <c r="AH20" s="21"/>
      <c r="AI20" s="93"/>
      <c r="AJ20" s="9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5"/>
      <c r="CT20" s="5"/>
      <c r="CU20" s="5"/>
      <c r="CV20" s="5"/>
    </row>
    <row r="21" spans="1:100" ht="15" customHeight="1" x14ac:dyDescent="0.25">
      <c r="B21" s="139"/>
      <c r="C21" s="139">
        <v>3</v>
      </c>
      <c r="D21" s="139" t="str">
        <f t="shared" si="8"/>
        <v>PREPARE_EAST_C/U_1_22</v>
      </c>
      <c r="E21" s="139" t="s">
        <v>0</v>
      </c>
      <c r="F21" s="138" t="s">
        <v>46</v>
      </c>
      <c r="G21" s="140" t="s">
        <v>18</v>
      </c>
      <c r="H21" s="140" t="s">
        <v>67</v>
      </c>
      <c r="I21" s="140">
        <v>1</v>
      </c>
      <c r="J21" s="141"/>
      <c r="K21" s="184">
        <f>COUNT(M21:BD21)</f>
        <v>22</v>
      </c>
      <c r="L21" s="140"/>
      <c r="M21" s="3">
        <v>1</v>
      </c>
      <c r="N21" s="3">
        <f>M21+1</f>
        <v>2</v>
      </c>
      <c r="O21" s="3">
        <f t="shared" ref="O21" si="14">N21+1</f>
        <v>3</v>
      </c>
      <c r="P21" s="3">
        <f t="shared" ref="P21" si="15">O21+1</f>
        <v>4</v>
      </c>
      <c r="Q21" s="3">
        <f t="shared" ref="Q21" si="16">P21+1</f>
        <v>5</v>
      </c>
      <c r="R21" s="3">
        <f t="shared" ref="R21" si="17">Q21+1</f>
        <v>6</v>
      </c>
      <c r="S21" s="3">
        <f t="shared" ref="S21" si="18">R21+1</f>
        <v>7</v>
      </c>
      <c r="T21" s="3">
        <f t="shared" ref="T21" si="19">S21+1</f>
        <v>8</v>
      </c>
      <c r="U21" s="3">
        <f t="shared" ref="U21" si="20">T21+1</f>
        <v>9</v>
      </c>
      <c r="V21" s="3">
        <f t="shared" ref="V21" si="21">U21+1</f>
        <v>10</v>
      </c>
      <c r="W21" s="3">
        <f t="shared" ref="W21" si="22">V21+1</f>
        <v>11</v>
      </c>
      <c r="X21" s="3">
        <f t="shared" ref="X21" si="23">W21+1</f>
        <v>12</v>
      </c>
      <c r="Y21" s="3">
        <f t="shared" ref="Y21" si="24">X21+1</f>
        <v>13</v>
      </c>
      <c r="Z21" s="3">
        <f t="shared" ref="Z21" si="25">Y21+1</f>
        <v>14</v>
      </c>
      <c r="AA21" s="3">
        <f t="shared" ref="AA21" si="26">Z21+1</f>
        <v>15</v>
      </c>
      <c r="AB21" s="3">
        <f t="shared" ref="AB21" si="27">AA21+1</f>
        <v>16</v>
      </c>
      <c r="AC21" s="3">
        <f t="shared" ref="AC21" si="28">AB21+1</f>
        <v>17</v>
      </c>
      <c r="AD21" s="3">
        <f t="shared" si="10"/>
        <v>18</v>
      </c>
      <c r="AE21" s="3">
        <f t="shared" si="11"/>
        <v>19</v>
      </c>
      <c r="AF21" s="3">
        <f t="shared" si="12"/>
        <v>20</v>
      </c>
      <c r="AG21" s="3">
        <f t="shared" si="13"/>
        <v>21</v>
      </c>
      <c r="AH21" s="3">
        <f t="shared" ref="AH21" si="29">AG21+1</f>
        <v>22</v>
      </c>
      <c r="AI21" s="93"/>
      <c r="AJ21" s="93"/>
      <c r="AK21" s="4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5"/>
      <c r="CT21" s="5"/>
      <c r="CU21" s="5"/>
      <c r="CV21" s="5"/>
    </row>
    <row r="22" spans="1:100" ht="15" customHeight="1" x14ac:dyDescent="0.25">
      <c r="B22" s="139"/>
      <c r="C22" s="139">
        <v>4</v>
      </c>
      <c r="D22" s="139" t="str">
        <f t="shared" si="8"/>
        <v>SUPPLY_EAST_C/U_1_22</v>
      </c>
      <c r="E22" s="139" t="s">
        <v>0</v>
      </c>
      <c r="F22" s="142" t="s">
        <v>0</v>
      </c>
      <c r="G22" s="140" t="s">
        <v>18</v>
      </c>
      <c r="H22" s="140" t="s">
        <v>67</v>
      </c>
      <c r="I22" s="140">
        <v>1</v>
      </c>
      <c r="J22" s="143"/>
      <c r="K22" s="184">
        <f>COUNT(AI22:BZ22)</f>
        <v>4</v>
      </c>
      <c r="L22" s="140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101"/>
      <c r="AB22" s="57"/>
      <c r="AC22" s="133"/>
      <c r="AD22" s="46"/>
      <c r="AE22" s="46"/>
      <c r="AF22" s="46"/>
      <c r="AG22" s="46"/>
      <c r="AH22" s="57"/>
      <c r="AI22" s="86">
        <v>1</v>
      </c>
      <c r="AJ22" s="86">
        <f>AI22+1</f>
        <v>2</v>
      </c>
      <c r="AK22" s="86">
        <f t="shared" ref="AK22:AL23" si="30">AJ22+1</f>
        <v>3</v>
      </c>
      <c r="AL22" s="86">
        <f t="shared" si="30"/>
        <v>4</v>
      </c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97"/>
      <c r="BA22" s="4"/>
      <c r="BB22" s="4"/>
      <c r="BC22" s="4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5"/>
      <c r="CT22" s="5"/>
      <c r="CU22" s="5"/>
      <c r="CV22" s="5"/>
    </row>
    <row r="23" spans="1:100" ht="15" customHeight="1" x14ac:dyDescent="0.25">
      <c r="B23" s="139"/>
      <c r="C23" s="140">
        <v>5</v>
      </c>
      <c r="D23" s="139" t="str">
        <f t="shared" si="8"/>
        <v>EMPTY_EAST_C/U_1_22</v>
      </c>
      <c r="E23" s="140" t="s">
        <v>0</v>
      </c>
      <c r="F23" s="142" t="s">
        <v>32</v>
      </c>
      <c r="G23" s="140" t="s">
        <v>18</v>
      </c>
      <c r="H23" s="140" t="s">
        <v>67</v>
      </c>
      <c r="I23" s="140">
        <v>1</v>
      </c>
      <c r="J23" s="139"/>
      <c r="K23" s="184">
        <f>COUNT(AI23:BZ23)</f>
        <v>21</v>
      </c>
      <c r="L23" s="140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101"/>
      <c r="AB23" s="57"/>
      <c r="AC23" s="133"/>
      <c r="AD23" s="46"/>
      <c r="AE23" s="46"/>
      <c r="AF23" s="46"/>
      <c r="AG23" s="46"/>
      <c r="AH23" s="57"/>
      <c r="AI23" s="86">
        <v>1</v>
      </c>
      <c r="AJ23" s="86">
        <f>AI23+1</f>
        <v>2</v>
      </c>
      <c r="AK23" s="86">
        <f t="shared" si="30"/>
        <v>3</v>
      </c>
      <c r="AL23" s="86">
        <f t="shared" ref="AL23" si="31">AK23+1</f>
        <v>4</v>
      </c>
      <c r="AM23" s="86">
        <f t="shared" ref="AM23" si="32">AL23+1</f>
        <v>5</v>
      </c>
      <c r="AN23" s="86">
        <f t="shared" ref="AN23" si="33">AM23+1</f>
        <v>6</v>
      </c>
      <c r="AO23" s="86">
        <f t="shared" ref="AO23" si="34">AN23+1</f>
        <v>7</v>
      </c>
      <c r="AP23" s="86">
        <f t="shared" ref="AP23" si="35">AO23+1</f>
        <v>8</v>
      </c>
      <c r="AQ23" s="86">
        <f t="shared" ref="AQ23" si="36">AP23+1</f>
        <v>9</v>
      </c>
      <c r="AR23" s="86">
        <f t="shared" ref="AR23" si="37">AQ23+1</f>
        <v>10</v>
      </c>
      <c r="AS23" s="86">
        <f t="shared" ref="AS23" si="38">AR23+1</f>
        <v>11</v>
      </c>
      <c r="AT23" s="86">
        <f t="shared" ref="AT23" si="39">AS23+1</f>
        <v>12</v>
      </c>
      <c r="AU23" s="86">
        <f t="shared" ref="AU23" si="40">AT23+1</f>
        <v>13</v>
      </c>
      <c r="AV23" s="86">
        <f t="shared" ref="AV23" si="41">AU23+1</f>
        <v>14</v>
      </c>
      <c r="AW23" s="86">
        <f t="shared" ref="AW23" si="42">AV23+1</f>
        <v>15</v>
      </c>
      <c r="AX23" s="86">
        <f t="shared" ref="AX23" si="43">AW23+1</f>
        <v>16</v>
      </c>
      <c r="AY23" s="86">
        <f t="shared" ref="AY23" si="44">AX23+1</f>
        <v>17</v>
      </c>
      <c r="AZ23" s="86">
        <f t="shared" ref="AZ23" si="45">AY23+1</f>
        <v>18</v>
      </c>
      <c r="BA23" s="86">
        <f t="shared" ref="BA23" si="46">AZ23+1</f>
        <v>19</v>
      </c>
      <c r="BB23" s="86">
        <f t="shared" ref="BB23:BC23" si="47">BA23+1</f>
        <v>20</v>
      </c>
      <c r="BC23" s="86">
        <f t="shared" si="47"/>
        <v>21</v>
      </c>
      <c r="BD23" s="46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5"/>
      <c r="CT23" s="5"/>
      <c r="CU23" s="5"/>
      <c r="CV23" s="5"/>
    </row>
    <row r="24" spans="1:100" ht="15" customHeight="1" x14ac:dyDescent="0.25">
      <c r="B24" s="139"/>
      <c r="C24" s="140">
        <v>6</v>
      </c>
      <c r="D24" s="139" t="str">
        <f t="shared" si="8"/>
        <v>COUNTDOWN_EAST_C/U_1_22</v>
      </c>
      <c r="E24" s="140"/>
      <c r="F24" s="142" t="s">
        <v>33</v>
      </c>
      <c r="G24" s="140" t="s">
        <v>18</v>
      </c>
      <c r="H24" s="140" t="s">
        <v>67</v>
      </c>
      <c r="I24" s="140">
        <v>1</v>
      </c>
      <c r="J24" s="144"/>
      <c r="K24" s="144"/>
      <c r="L24" s="140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101"/>
      <c r="AB24" s="57"/>
      <c r="AC24" s="86"/>
      <c r="AD24" s="3"/>
      <c r="AE24" s="6"/>
      <c r="AF24" s="6"/>
      <c r="AG24" s="46"/>
      <c r="AH24" s="57"/>
      <c r="AI24" s="134"/>
      <c r="AJ24" s="134"/>
      <c r="AK24" s="56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5"/>
      <c r="CT24" s="5"/>
      <c r="CU24" s="5"/>
      <c r="CV24" s="5"/>
    </row>
    <row r="25" spans="1:100" x14ac:dyDescent="0.25">
      <c r="A25" t="s">
        <v>6</v>
      </c>
      <c r="B25" s="139">
        <v>3</v>
      </c>
      <c r="C25" s="139">
        <v>1</v>
      </c>
      <c r="D25" s="139" t="str">
        <f t="shared" si="3"/>
        <v>SORTING_EAST_C_2_22</v>
      </c>
      <c r="E25" s="139" t="s">
        <v>35</v>
      </c>
      <c r="F25" s="138" t="s">
        <v>45</v>
      </c>
      <c r="G25" s="140" t="s">
        <v>18</v>
      </c>
      <c r="H25" s="140" t="s">
        <v>4</v>
      </c>
      <c r="I25" s="140">
        <v>2</v>
      </c>
      <c r="J25" s="139"/>
      <c r="K25" s="184">
        <f>COUNT(AC25:BD25)</f>
        <v>5</v>
      </c>
      <c r="L25" s="139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101"/>
      <c r="AB25" s="57"/>
      <c r="AC25" s="86">
        <v>1</v>
      </c>
      <c r="AD25" s="3">
        <f t="shared" ref="AD25:AS29" si="48">AC25+1</f>
        <v>2</v>
      </c>
      <c r="AE25" s="3">
        <f t="shared" si="48"/>
        <v>3</v>
      </c>
      <c r="AF25" s="3">
        <f t="shared" si="48"/>
        <v>4</v>
      </c>
      <c r="AG25" s="3">
        <f t="shared" si="48"/>
        <v>5</v>
      </c>
      <c r="AH25" s="21"/>
      <c r="AI25" s="93"/>
      <c r="AJ25" s="9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5"/>
      <c r="CT25" s="5"/>
      <c r="CU25" s="5"/>
      <c r="CV25" s="5"/>
    </row>
    <row r="26" spans="1:100" ht="15" customHeight="1" x14ac:dyDescent="0.25">
      <c r="A26" t="s">
        <v>6</v>
      </c>
      <c r="B26" s="139">
        <v>3</v>
      </c>
      <c r="C26" s="139">
        <v>2</v>
      </c>
      <c r="D26" s="139" t="str">
        <f t="shared" si="3"/>
        <v>TRANSFER_EAST_C_2_22</v>
      </c>
      <c r="E26" s="139" t="s">
        <v>21</v>
      </c>
      <c r="F26" s="138" t="s">
        <v>21</v>
      </c>
      <c r="G26" s="140" t="s">
        <v>18</v>
      </c>
      <c r="H26" s="140" t="s">
        <v>4</v>
      </c>
      <c r="I26" s="140">
        <v>2</v>
      </c>
      <c r="J26" s="139"/>
      <c r="K26" s="184">
        <f>COUNT(AC26:BD26)</f>
        <v>8</v>
      </c>
      <c r="L26" s="139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101"/>
      <c r="AB26" s="57"/>
      <c r="AC26" s="86">
        <v>1</v>
      </c>
      <c r="AD26" s="3">
        <f t="shared" si="48"/>
        <v>2</v>
      </c>
      <c r="AE26" s="3">
        <f t="shared" si="48"/>
        <v>3</v>
      </c>
      <c r="AF26" s="3">
        <f t="shared" si="48"/>
        <v>4</v>
      </c>
      <c r="AG26" s="3">
        <f t="shared" si="48"/>
        <v>5</v>
      </c>
      <c r="AH26" s="3">
        <f t="shared" si="48"/>
        <v>6</v>
      </c>
      <c r="AI26" s="3">
        <f t="shared" si="48"/>
        <v>7</v>
      </c>
      <c r="AJ26" s="3">
        <f t="shared" si="48"/>
        <v>8</v>
      </c>
      <c r="AK26" s="4"/>
      <c r="AL26" s="4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5"/>
      <c r="CT26" s="5"/>
      <c r="CU26" s="5"/>
      <c r="CV26" s="5"/>
    </row>
    <row r="27" spans="1:100" ht="15" customHeight="1" x14ac:dyDescent="0.25">
      <c r="A27" t="s">
        <v>6</v>
      </c>
      <c r="B27" s="139">
        <v>3</v>
      </c>
      <c r="C27" s="139">
        <v>3</v>
      </c>
      <c r="D27" s="139" t="str">
        <f t="shared" si="3"/>
        <v>PREPARE_EAST_C_2_22</v>
      </c>
      <c r="E27" s="139" t="s">
        <v>0</v>
      </c>
      <c r="F27" s="138" t="s">
        <v>46</v>
      </c>
      <c r="G27" s="140" t="s">
        <v>18</v>
      </c>
      <c r="H27" s="140" t="s">
        <v>4</v>
      </c>
      <c r="I27" s="140">
        <v>2</v>
      </c>
      <c r="J27" s="141"/>
      <c r="K27" s="184">
        <f>COUNT(M27:BD27)</f>
        <v>25</v>
      </c>
      <c r="L27" s="139"/>
      <c r="M27" s="3">
        <v>1</v>
      </c>
      <c r="N27" s="3">
        <f>M27+1</f>
        <v>2</v>
      </c>
      <c r="O27" s="3">
        <f t="shared" ref="O27:AC27" si="49">N27+1</f>
        <v>3</v>
      </c>
      <c r="P27" s="3">
        <f t="shared" si="49"/>
        <v>4</v>
      </c>
      <c r="Q27" s="3">
        <f t="shared" si="49"/>
        <v>5</v>
      </c>
      <c r="R27" s="3">
        <f t="shared" si="49"/>
        <v>6</v>
      </c>
      <c r="S27" s="3">
        <f t="shared" si="49"/>
        <v>7</v>
      </c>
      <c r="T27" s="3">
        <f t="shared" si="49"/>
        <v>8</v>
      </c>
      <c r="U27" s="3">
        <f t="shared" si="49"/>
        <v>9</v>
      </c>
      <c r="V27" s="3">
        <f t="shared" si="49"/>
        <v>10</v>
      </c>
      <c r="W27" s="3">
        <f t="shared" si="49"/>
        <v>11</v>
      </c>
      <c r="X27" s="3">
        <f t="shared" si="49"/>
        <v>12</v>
      </c>
      <c r="Y27" s="3">
        <f t="shared" si="49"/>
        <v>13</v>
      </c>
      <c r="Z27" s="3">
        <f t="shared" si="49"/>
        <v>14</v>
      </c>
      <c r="AA27" s="3">
        <f t="shared" si="49"/>
        <v>15</v>
      </c>
      <c r="AB27" s="3">
        <f t="shared" si="49"/>
        <v>16</v>
      </c>
      <c r="AC27" s="3">
        <f t="shared" si="49"/>
        <v>17</v>
      </c>
      <c r="AD27" s="3">
        <f t="shared" si="48"/>
        <v>18</v>
      </c>
      <c r="AE27" s="3">
        <f t="shared" si="48"/>
        <v>19</v>
      </c>
      <c r="AF27" s="3">
        <f t="shared" si="48"/>
        <v>20</v>
      </c>
      <c r="AG27" s="3">
        <f t="shared" si="48"/>
        <v>21</v>
      </c>
      <c r="AH27" s="3">
        <f t="shared" si="48"/>
        <v>22</v>
      </c>
      <c r="AI27" s="3">
        <f t="shared" si="48"/>
        <v>23</v>
      </c>
      <c r="AJ27" s="3">
        <f t="shared" si="48"/>
        <v>24</v>
      </c>
      <c r="AK27" s="3">
        <f t="shared" si="48"/>
        <v>25</v>
      </c>
      <c r="AL27" s="4"/>
      <c r="AM27" s="4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5"/>
      <c r="CT27" s="5"/>
      <c r="CU27" s="5"/>
      <c r="CV27" s="5"/>
    </row>
    <row r="28" spans="1:100" ht="15" customHeight="1" x14ac:dyDescent="0.25">
      <c r="A28" t="s">
        <v>6</v>
      </c>
      <c r="B28" s="139">
        <v>3</v>
      </c>
      <c r="C28" s="139">
        <v>4</v>
      </c>
      <c r="D28" s="139" t="str">
        <f t="shared" si="3"/>
        <v>SUPPLY_EAST_C_2_22</v>
      </c>
      <c r="E28" s="139" t="s">
        <v>0</v>
      </c>
      <c r="F28" s="142" t="s">
        <v>0</v>
      </c>
      <c r="G28" s="140" t="s">
        <v>18</v>
      </c>
      <c r="H28" s="140" t="s">
        <v>4</v>
      </c>
      <c r="I28" s="140">
        <v>2</v>
      </c>
      <c r="J28" s="143"/>
      <c r="K28" s="184">
        <f>COUNT(AI28:BZ28)</f>
        <v>5</v>
      </c>
      <c r="L28" s="140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101"/>
      <c r="AB28" s="57"/>
      <c r="AC28" s="133"/>
      <c r="AD28" s="46"/>
      <c r="AE28" s="46"/>
      <c r="AF28" s="46"/>
      <c r="AG28" s="46"/>
      <c r="AH28" s="57"/>
      <c r="AI28" s="86">
        <v>1</v>
      </c>
      <c r="AJ28" s="86">
        <f>AI28+1</f>
        <v>2</v>
      </c>
      <c r="AK28" s="86">
        <f t="shared" si="48"/>
        <v>3</v>
      </c>
      <c r="AL28" s="86">
        <f t="shared" si="48"/>
        <v>4</v>
      </c>
      <c r="AM28" s="86">
        <f t="shared" si="48"/>
        <v>5</v>
      </c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97"/>
      <c r="BC28" s="4"/>
      <c r="BD28" s="4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5"/>
      <c r="CT28" s="5"/>
      <c r="CU28" s="5"/>
      <c r="CV28" s="5"/>
    </row>
    <row r="29" spans="1:100" ht="15" customHeight="1" x14ac:dyDescent="0.25">
      <c r="A29" t="s">
        <v>6</v>
      </c>
      <c r="B29" s="139">
        <v>3</v>
      </c>
      <c r="C29" s="140">
        <v>5</v>
      </c>
      <c r="D29" s="139" t="str">
        <f t="shared" si="3"/>
        <v>EMPTY_EAST_C_2_22</v>
      </c>
      <c r="E29" s="140" t="s">
        <v>0</v>
      </c>
      <c r="F29" s="142" t="s">
        <v>32</v>
      </c>
      <c r="G29" s="140" t="s">
        <v>18</v>
      </c>
      <c r="H29" s="140" t="s">
        <v>4</v>
      </c>
      <c r="I29" s="140">
        <v>2</v>
      </c>
      <c r="J29" s="139"/>
      <c r="K29" s="184">
        <f>COUNT(AI29:BZ29)</f>
        <v>22</v>
      </c>
      <c r="L29" s="139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101"/>
      <c r="AB29" s="57"/>
      <c r="AC29" s="133"/>
      <c r="AD29" s="46"/>
      <c r="AE29" s="46"/>
      <c r="AF29" s="46"/>
      <c r="AG29" s="46"/>
      <c r="AH29" s="57"/>
      <c r="AI29" s="86">
        <v>1</v>
      </c>
      <c r="AJ29" s="86">
        <f>AI29+1</f>
        <v>2</v>
      </c>
      <c r="AK29" s="86">
        <f t="shared" si="48"/>
        <v>3</v>
      </c>
      <c r="AL29" s="86">
        <f t="shared" si="48"/>
        <v>4</v>
      </c>
      <c r="AM29" s="86">
        <f t="shared" si="48"/>
        <v>5</v>
      </c>
      <c r="AN29" s="86">
        <f t="shared" si="48"/>
        <v>6</v>
      </c>
      <c r="AO29" s="86">
        <f t="shared" si="48"/>
        <v>7</v>
      </c>
      <c r="AP29" s="86">
        <f t="shared" si="48"/>
        <v>8</v>
      </c>
      <c r="AQ29" s="86">
        <f t="shared" si="48"/>
        <v>9</v>
      </c>
      <c r="AR29" s="86">
        <f t="shared" si="48"/>
        <v>10</v>
      </c>
      <c r="AS29" s="86">
        <f t="shared" si="48"/>
        <v>11</v>
      </c>
      <c r="AT29" s="86">
        <f t="shared" ref="AT29:BD29" si="50">AS29+1</f>
        <v>12</v>
      </c>
      <c r="AU29" s="86">
        <f t="shared" si="50"/>
        <v>13</v>
      </c>
      <c r="AV29" s="86">
        <f t="shared" si="50"/>
        <v>14</v>
      </c>
      <c r="AW29" s="86">
        <f t="shared" si="50"/>
        <v>15</v>
      </c>
      <c r="AX29" s="86">
        <f t="shared" si="50"/>
        <v>16</v>
      </c>
      <c r="AY29" s="86">
        <f t="shared" si="50"/>
        <v>17</v>
      </c>
      <c r="AZ29" s="86">
        <f t="shared" si="50"/>
        <v>18</v>
      </c>
      <c r="BA29" s="86">
        <f t="shared" si="50"/>
        <v>19</v>
      </c>
      <c r="BB29" s="86">
        <f t="shared" si="50"/>
        <v>20</v>
      </c>
      <c r="BC29" s="86">
        <f t="shared" si="50"/>
        <v>21</v>
      </c>
      <c r="BD29" s="86">
        <f t="shared" si="50"/>
        <v>22</v>
      </c>
      <c r="BE29" s="46"/>
      <c r="BF29" s="4"/>
      <c r="BG29" s="4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5"/>
      <c r="CT29" s="5"/>
      <c r="CU29" s="5"/>
      <c r="CV29" s="5"/>
    </row>
    <row r="30" spans="1:100" ht="15" customHeight="1" x14ac:dyDescent="0.25">
      <c r="A30" t="s">
        <v>6</v>
      </c>
      <c r="B30" s="139">
        <v>3</v>
      </c>
      <c r="C30" s="140">
        <v>6</v>
      </c>
      <c r="D30" s="139" t="str">
        <f t="shared" si="3"/>
        <v>COUNTDOWN_EAST_C_2_22</v>
      </c>
      <c r="E30" s="140"/>
      <c r="F30" s="142" t="s">
        <v>33</v>
      </c>
      <c r="G30" s="140" t="s">
        <v>18</v>
      </c>
      <c r="H30" s="140" t="s">
        <v>4</v>
      </c>
      <c r="I30" s="140">
        <v>2</v>
      </c>
      <c r="J30" s="144"/>
      <c r="K30" s="144"/>
      <c r="L30" s="140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101"/>
      <c r="AB30" s="57"/>
      <c r="AC30" s="86"/>
      <c r="AD30" s="3"/>
      <c r="AE30" s="3"/>
      <c r="AF30" s="3"/>
      <c r="AG30" s="6"/>
      <c r="AH30" s="28"/>
      <c r="AI30" s="133"/>
      <c r="AJ30" s="133"/>
      <c r="AK30" s="46"/>
      <c r="AL30" s="56"/>
      <c r="AM30" s="56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5"/>
      <c r="CT30" s="5"/>
      <c r="CU30" s="5"/>
      <c r="CV30" s="5"/>
    </row>
    <row r="31" spans="1:100" x14ac:dyDescent="0.25">
      <c r="B31" s="139">
        <v>4</v>
      </c>
      <c r="C31" s="139">
        <v>1</v>
      </c>
      <c r="D31" s="139" t="str">
        <f t="shared" si="3"/>
        <v>SORTING_EAST_I_1_22</v>
      </c>
      <c r="E31" s="139" t="s">
        <v>35</v>
      </c>
      <c r="F31" s="138" t="s">
        <v>45</v>
      </c>
      <c r="G31" s="140" t="s">
        <v>18</v>
      </c>
      <c r="H31" s="140" t="s">
        <v>10</v>
      </c>
      <c r="I31" s="140">
        <v>1</v>
      </c>
      <c r="J31" s="139"/>
      <c r="K31" s="184">
        <f>COUNT(AC31:BD31)</f>
        <v>8</v>
      </c>
      <c r="L31" s="139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101"/>
      <c r="AB31" s="57"/>
      <c r="AC31" s="86">
        <v>1</v>
      </c>
      <c r="AD31" s="3">
        <f t="shared" ref="AD31:AS35" si="51">AC31+1</f>
        <v>2</v>
      </c>
      <c r="AE31" s="3">
        <f t="shared" si="51"/>
        <v>3</v>
      </c>
      <c r="AF31" s="3">
        <f t="shared" si="51"/>
        <v>4</v>
      </c>
      <c r="AG31" s="3">
        <f t="shared" si="51"/>
        <v>5</v>
      </c>
      <c r="AH31" s="3">
        <f t="shared" si="51"/>
        <v>6</v>
      </c>
      <c r="AI31" s="3">
        <f t="shared" si="51"/>
        <v>7</v>
      </c>
      <c r="AJ31" s="3">
        <f t="shared" si="51"/>
        <v>8</v>
      </c>
      <c r="AK31" s="4"/>
      <c r="AL31" s="4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5"/>
      <c r="CT31" s="5"/>
      <c r="CU31" s="5"/>
      <c r="CV31" s="5"/>
    </row>
    <row r="32" spans="1:100" ht="15" customHeight="1" x14ac:dyDescent="0.25">
      <c r="B32" s="139">
        <v>4</v>
      </c>
      <c r="C32" s="139">
        <v>2</v>
      </c>
      <c r="D32" s="139" t="str">
        <f t="shared" si="3"/>
        <v>TRANSFER_EAST_I_1_22</v>
      </c>
      <c r="E32" s="139" t="s">
        <v>21</v>
      </c>
      <c r="F32" s="138" t="s">
        <v>21</v>
      </c>
      <c r="G32" s="140" t="s">
        <v>18</v>
      </c>
      <c r="H32" s="140" t="s">
        <v>10</v>
      </c>
      <c r="I32" s="140">
        <v>1</v>
      </c>
      <c r="J32" s="139"/>
      <c r="K32" s="184">
        <f>COUNT(AC32:BD32)</f>
        <v>10</v>
      </c>
      <c r="L32" s="139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101"/>
      <c r="AB32" s="57"/>
      <c r="AC32" s="86">
        <v>1</v>
      </c>
      <c r="AD32" s="3">
        <f t="shared" si="51"/>
        <v>2</v>
      </c>
      <c r="AE32" s="3">
        <f t="shared" si="51"/>
        <v>3</v>
      </c>
      <c r="AF32" s="3">
        <f t="shared" si="51"/>
        <v>4</v>
      </c>
      <c r="AG32" s="3">
        <f t="shared" si="51"/>
        <v>5</v>
      </c>
      <c r="AH32" s="3">
        <f t="shared" si="51"/>
        <v>6</v>
      </c>
      <c r="AI32" s="3">
        <f t="shared" si="51"/>
        <v>7</v>
      </c>
      <c r="AJ32" s="3">
        <f t="shared" si="51"/>
        <v>8</v>
      </c>
      <c r="AK32" s="3">
        <f t="shared" si="51"/>
        <v>9</v>
      </c>
      <c r="AL32" s="3">
        <f t="shared" si="51"/>
        <v>10</v>
      </c>
      <c r="AM32" s="4"/>
      <c r="AN32" s="4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5"/>
      <c r="CT32" s="5"/>
      <c r="CU32" s="5"/>
      <c r="CV32" s="5"/>
    </row>
    <row r="33" spans="1:100" ht="15" customHeight="1" x14ac:dyDescent="0.25">
      <c r="B33" s="139">
        <v>4</v>
      </c>
      <c r="C33" s="139">
        <v>3</v>
      </c>
      <c r="D33" s="139" t="str">
        <f t="shared" si="3"/>
        <v>PREPARE_EAST_I_1_22</v>
      </c>
      <c r="E33" s="139" t="s">
        <v>0</v>
      </c>
      <c r="F33" s="138" t="s">
        <v>46</v>
      </c>
      <c r="G33" s="140" t="s">
        <v>18</v>
      </c>
      <c r="H33" s="140" t="s">
        <v>10</v>
      </c>
      <c r="I33" s="140">
        <v>1</v>
      </c>
      <c r="J33" s="141"/>
      <c r="K33" s="184">
        <f>COUNT(M33:BD33)</f>
        <v>27</v>
      </c>
      <c r="L33" s="139"/>
      <c r="M33" s="3">
        <v>1</v>
      </c>
      <c r="N33" s="3">
        <f>M33+1</f>
        <v>2</v>
      </c>
      <c r="O33" s="3">
        <f t="shared" ref="O33:AC33" si="52">N33+1</f>
        <v>3</v>
      </c>
      <c r="P33" s="3">
        <f t="shared" si="52"/>
        <v>4</v>
      </c>
      <c r="Q33" s="3">
        <f t="shared" si="52"/>
        <v>5</v>
      </c>
      <c r="R33" s="3">
        <f t="shared" si="52"/>
        <v>6</v>
      </c>
      <c r="S33" s="3">
        <f t="shared" si="52"/>
        <v>7</v>
      </c>
      <c r="T33" s="3">
        <f t="shared" si="52"/>
        <v>8</v>
      </c>
      <c r="U33" s="3">
        <f t="shared" si="52"/>
        <v>9</v>
      </c>
      <c r="V33" s="3">
        <f t="shared" si="52"/>
        <v>10</v>
      </c>
      <c r="W33" s="3">
        <f t="shared" si="52"/>
        <v>11</v>
      </c>
      <c r="X33" s="3">
        <f t="shared" si="52"/>
        <v>12</v>
      </c>
      <c r="Y33" s="3">
        <f t="shared" si="52"/>
        <v>13</v>
      </c>
      <c r="Z33" s="3">
        <f t="shared" si="52"/>
        <v>14</v>
      </c>
      <c r="AA33" s="3">
        <f t="shared" si="52"/>
        <v>15</v>
      </c>
      <c r="AB33" s="3">
        <f t="shared" si="52"/>
        <v>16</v>
      </c>
      <c r="AC33" s="3">
        <f t="shared" si="52"/>
        <v>17</v>
      </c>
      <c r="AD33" s="3">
        <f t="shared" si="51"/>
        <v>18</v>
      </c>
      <c r="AE33" s="3">
        <f t="shared" si="51"/>
        <v>19</v>
      </c>
      <c r="AF33" s="3">
        <f t="shared" si="51"/>
        <v>20</v>
      </c>
      <c r="AG33" s="3">
        <f t="shared" si="51"/>
        <v>21</v>
      </c>
      <c r="AH33" s="3">
        <f t="shared" si="51"/>
        <v>22</v>
      </c>
      <c r="AI33" s="3">
        <f t="shared" si="51"/>
        <v>23</v>
      </c>
      <c r="AJ33" s="3">
        <f t="shared" si="51"/>
        <v>24</v>
      </c>
      <c r="AK33" s="3">
        <f t="shared" si="51"/>
        <v>25</v>
      </c>
      <c r="AL33" s="3">
        <f t="shared" si="51"/>
        <v>26</v>
      </c>
      <c r="AM33" s="3">
        <f t="shared" si="51"/>
        <v>27</v>
      </c>
      <c r="AN33" s="4"/>
      <c r="AO33" s="4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5"/>
      <c r="CT33" s="5"/>
      <c r="CU33" s="5"/>
      <c r="CV33" s="5"/>
    </row>
    <row r="34" spans="1:100" ht="15" customHeight="1" x14ac:dyDescent="0.25">
      <c r="B34" s="139">
        <v>4</v>
      </c>
      <c r="C34" s="139">
        <v>4</v>
      </c>
      <c r="D34" s="139" t="str">
        <f t="shared" si="3"/>
        <v>SUPPLY_EAST_I_1_22</v>
      </c>
      <c r="E34" s="139" t="s">
        <v>0</v>
      </c>
      <c r="F34" s="142" t="s">
        <v>0</v>
      </c>
      <c r="G34" s="140" t="s">
        <v>18</v>
      </c>
      <c r="H34" s="140" t="s">
        <v>10</v>
      </c>
      <c r="I34" s="140">
        <v>1</v>
      </c>
      <c r="J34" s="143"/>
      <c r="K34" s="184">
        <f>COUNT(AI34:BZ34)</f>
        <v>7</v>
      </c>
      <c r="L34" s="140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101"/>
      <c r="AB34" s="57"/>
      <c r="AC34" s="133"/>
      <c r="AD34" s="46"/>
      <c r="AE34" s="46"/>
      <c r="AF34" s="46"/>
      <c r="AG34" s="46"/>
      <c r="AH34" s="57"/>
      <c r="AI34" s="86">
        <v>1</v>
      </c>
      <c r="AJ34" s="86">
        <f>AI34+1</f>
        <v>2</v>
      </c>
      <c r="AK34" s="86">
        <f t="shared" si="51"/>
        <v>3</v>
      </c>
      <c r="AL34" s="86">
        <f t="shared" si="51"/>
        <v>4</v>
      </c>
      <c r="AM34" s="86">
        <f t="shared" si="51"/>
        <v>5</v>
      </c>
      <c r="AN34" s="86">
        <f t="shared" si="51"/>
        <v>6</v>
      </c>
      <c r="AO34" s="86">
        <f t="shared" si="51"/>
        <v>7</v>
      </c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97"/>
      <c r="BE34" s="4"/>
      <c r="BF34" s="4"/>
      <c r="BG34" s="4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5"/>
      <c r="CT34" s="5"/>
      <c r="CU34" s="5"/>
      <c r="CV34" s="5"/>
    </row>
    <row r="35" spans="1:100" ht="15" customHeight="1" x14ac:dyDescent="0.25">
      <c r="B35" s="139">
        <v>4</v>
      </c>
      <c r="C35" s="140">
        <v>5</v>
      </c>
      <c r="D35" s="139" t="str">
        <f t="shared" si="3"/>
        <v>EMPTY_EAST_I_1_22</v>
      </c>
      <c r="E35" s="140" t="s">
        <v>0</v>
      </c>
      <c r="F35" s="142" t="s">
        <v>32</v>
      </c>
      <c r="G35" s="140" t="s">
        <v>18</v>
      </c>
      <c r="H35" s="140" t="s">
        <v>10</v>
      </c>
      <c r="I35" s="140">
        <v>1</v>
      </c>
      <c r="J35" s="139"/>
      <c r="K35" s="184">
        <f>COUNT(AI35:BZ35)</f>
        <v>25</v>
      </c>
      <c r="L35" s="139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101"/>
      <c r="AB35" s="57"/>
      <c r="AC35" s="133"/>
      <c r="AD35" s="46"/>
      <c r="AE35" s="46"/>
      <c r="AF35" s="46"/>
      <c r="AG35" s="46"/>
      <c r="AH35" s="57"/>
      <c r="AI35" s="86">
        <v>1</v>
      </c>
      <c r="AJ35" s="86">
        <f>AI35+1</f>
        <v>2</v>
      </c>
      <c r="AK35" s="86">
        <f t="shared" si="51"/>
        <v>3</v>
      </c>
      <c r="AL35" s="86">
        <f t="shared" si="51"/>
        <v>4</v>
      </c>
      <c r="AM35" s="86">
        <f t="shared" si="51"/>
        <v>5</v>
      </c>
      <c r="AN35" s="86">
        <f t="shared" si="51"/>
        <v>6</v>
      </c>
      <c r="AO35" s="86">
        <f t="shared" si="51"/>
        <v>7</v>
      </c>
      <c r="AP35" s="86">
        <f t="shared" si="51"/>
        <v>8</v>
      </c>
      <c r="AQ35" s="86">
        <f t="shared" si="51"/>
        <v>9</v>
      </c>
      <c r="AR35" s="86">
        <f t="shared" si="51"/>
        <v>10</v>
      </c>
      <c r="AS35" s="86">
        <f t="shared" si="51"/>
        <v>11</v>
      </c>
      <c r="AT35" s="86">
        <f t="shared" ref="AT35:BG35" si="53">AS35+1</f>
        <v>12</v>
      </c>
      <c r="AU35" s="86">
        <f t="shared" si="53"/>
        <v>13</v>
      </c>
      <c r="AV35" s="86">
        <f t="shared" si="53"/>
        <v>14</v>
      </c>
      <c r="AW35" s="86">
        <f t="shared" si="53"/>
        <v>15</v>
      </c>
      <c r="AX35" s="86">
        <f t="shared" si="53"/>
        <v>16</v>
      </c>
      <c r="AY35" s="86">
        <f t="shared" si="53"/>
        <v>17</v>
      </c>
      <c r="AZ35" s="86">
        <f t="shared" si="53"/>
        <v>18</v>
      </c>
      <c r="BA35" s="86">
        <f t="shared" si="53"/>
        <v>19</v>
      </c>
      <c r="BB35" s="86">
        <f t="shared" si="53"/>
        <v>20</v>
      </c>
      <c r="BC35" s="86">
        <f t="shared" si="53"/>
        <v>21</v>
      </c>
      <c r="BD35" s="86">
        <f t="shared" si="53"/>
        <v>22</v>
      </c>
      <c r="BE35" s="86">
        <f t="shared" si="53"/>
        <v>23</v>
      </c>
      <c r="BF35" s="86">
        <f t="shared" si="53"/>
        <v>24</v>
      </c>
      <c r="BG35" s="86">
        <f t="shared" si="53"/>
        <v>25</v>
      </c>
      <c r="BH35" s="46"/>
      <c r="BI35" s="4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5"/>
      <c r="CT35" s="5"/>
      <c r="CU35" s="5"/>
      <c r="CV35" s="5"/>
    </row>
    <row r="36" spans="1:100" ht="15" customHeight="1" x14ac:dyDescent="0.25">
      <c r="B36" s="139">
        <v>4</v>
      </c>
      <c r="C36" s="140">
        <v>6</v>
      </c>
      <c r="D36" s="139" t="str">
        <f t="shared" si="3"/>
        <v>COUNTDOWN_EAST_I_1_22</v>
      </c>
      <c r="E36" s="140"/>
      <c r="F36" s="142" t="s">
        <v>33</v>
      </c>
      <c r="G36" s="140" t="s">
        <v>18</v>
      </c>
      <c r="H36" s="140" t="s">
        <v>10</v>
      </c>
      <c r="I36" s="140">
        <v>1</v>
      </c>
      <c r="J36" s="144"/>
      <c r="K36" s="144"/>
      <c r="L36" s="140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101"/>
      <c r="AB36" s="57"/>
      <c r="AC36" s="86"/>
      <c r="AD36" s="3"/>
      <c r="AE36" s="3"/>
      <c r="AF36" s="3"/>
      <c r="AG36" s="3"/>
      <c r="AH36" s="31"/>
      <c r="AI36" s="132"/>
      <c r="AJ36" s="132"/>
      <c r="AK36" s="6"/>
      <c r="AL36" s="46"/>
      <c r="AM36" s="46"/>
      <c r="AN36" s="56"/>
      <c r="AO36" s="56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5"/>
      <c r="CT36" s="5"/>
      <c r="CU36" s="5"/>
      <c r="CV36" s="5"/>
    </row>
    <row r="37" spans="1:100" x14ac:dyDescent="0.25">
      <c r="A37" t="s">
        <v>15</v>
      </c>
      <c r="B37" s="139">
        <v>5</v>
      </c>
      <c r="C37" s="139">
        <v>1</v>
      </c>
      <c r="D37" s="139" t="str">
        <f t="shared" si="3"/>
        <v>SORTING_EAST_G_2_22</v>
      </c>
      <c r="E37" s="139" t="s">
        <v>35</v>
      </c>
      <c r="F37" s="138" t="s">
        <v>45</v>
      </c>
      <c r="G37" s="140" t="s">
        <v>18</v>
      </c>
      <c r="H37" s="140" t="s">
        <v>8</v>
      </c>
      <c r="I37" s="140">
        <v>2</v>
      </c>
      <c r="J37" s="139"/>
      <c r="K37" s="184">
        <f>COUNT(AC37:BD37)</f>
        <v>10</v>
      </c>
      <c r="L37" s="139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101"/>
      <c r="AB37" s="57"/>
      <c r="AC37" s="86">
        <v>1</v>
      </c>
      <c r="AD37" s="3">
        <f t="shared" ref="AD37:AS41" si="54">AC37+1</f>
        <v>2</v>
      </c>
      <c r="AE37" s="3">
        <f t="shared" si="54"/>
        <v>3</v>
      </c>
      <c r="AF37" s="3">
        <f t="shared" si="54"/>
        <v>4</v>
      </c>
      <c r="AG37" s="3">
        <f t="shared" si="54"/>
        <v>5</v>
      </c>
      <c r="AH37" s="3">
        <f t="shared" si="54"/>
        <v>6</v>
      </c>
      <c r="AI37" s="3">
        <f t="shared" si="54"/>
        <v>7</v>
      </c>
      <c r="AJ37" s="3">
        <f t="shared" si="54"/>
        <v>8</v>
      </c>
      <c r="AK37" s="3">
        <f t="shared" si="54"/>
        <v>9</v>
      </c>
      <c r="AL37" s="3">
        <f t="shared" si="54"/>
        <v>10</v>
      </c>
      <c r="AM37" s="4"/>
      <c r="AN37" s="4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5"/>
      <c r="CT37" s="5"/>
      <c r="CU37" s="5"/>
      <c r="CV37" s="5"/>
    </row>
    <row r="38" spans="1:100" ht="15" customHeight="1" x14ac:dyDescent="0.25">
      <c r="A38" t="s">
        <v>15</v>
      </c>
      <c r="B38" s="139">
        <v>5</v>
      </c>
      <c r="C38" s="139">
        <v>2</v>
      </c>
      <c r="D38" s="139" t="str">
        <f t="shared" si="3"/>
        <v>TRANSFER_EAST_G_2_22</v>
      </c>
      <c r="E38" s="139" t="s">
        <v>21</v>
      </c>
      <c r="F38" s="138" t="s">
        <v>21</v>
      </c>
      <c r="G38" s="140" t="s">
        <v>18</v>
      </c>
      <c r="H38" s="140" t="s">
        <v>8</v>
      </c>
      <c r="I38" s="140">
        <v>2</v>
      </c>
      <c r="J38" s="139"/>
      <c r="K38" s="184">
        <f>COUNT(AC38:BD38)</f>
        <v>12</v>
      </c>
      <c r="L38" s="139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101"/>
      <c r="AB38" s="57"/>
      <c r="AC38" s="86">
        <v>1</v>
      </c>
      <c r="AD38" s="3">
        <f t="shared" si="54"/>
        <v>2</v>
      </c>
      <c r="AE38" s="3">
        <f t="shared" si="54"/>
        <v>3</v>
      </c>
      <c r="AF38" s="3">
        <f t="shared" si="54"/>
        <v>4</v>
      </c>
      <c r="AG38" s="3">
        <f t="shared" si="54"/>
        <v>5</v>
      </c>
      <c r="AH38" s="3">
        <f t="shared" si="54"/>
        <v>6</v>
      </c>
      <c r="AI38" s="3">
        <f t="shared" si="54"/>
        <v>7</v>
      </c>
      <c r="AJ38" s="3">
        <f t="shared" si="54"/>
        <v>8</v>
      </c>
      <c r="AK38" s="3">
        <f t="shared" si="54"/>
        <v>9</v>
      </c>
      <c r="AL38" s="3">
        <f t="shared" si="54"/>
        <v>10</v>
      </c>
      <c r="AM38" s="3">
        <f t="shared" si="54"/>
        <v>11</v>
      </c>
      <c r="AN38" s="3">
        <f t="shared" si="54"/>
        <v>12</v>
      </c>
      <c r="AO38" s="4"/>
      <c r="AP38" s="4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5"/>
      <c r="CT38" s="5"/>
      <c r="CU38" s="5"/>
      <c r="CV38" s="5"/>
    </row>
    <row r="39" spans="1:100" ht="15" customHeight="1" x14ac:dyDescent="0.25">
      <c r="A39" t="s">
        <v>15</v>
      </c>
      <c r="B39" s="139">
        <v>5</v>
      </c>
      <c r="C39" s="139">
        <v>3</v>
      </c>
      <c r="D39" s="139" t="str">
        <f t="shared" si="3"/>
        <v>PREPARE_EAST_G_2_22</v>
      </c>
      <c r="E39" s="139" t="s">
        <v>0</v>
      </c>
      <c r="F39" s="138" t="s">
        <v>46</v>
      </c>
      <c r="G39" s="140" t="s">
        <v>18</v>
      </c>
      <c r="H39" s="140" t="s">
        <v>8</v>
      </c>
      <c r="I39" s="140">
        <v>2</v>
      </c>
      <c r="J39" s="141"/>
      <c r="K39" s="184">
        <f>COUNT(M39:BD39)</f>
        <v>29</v>
      </c>
      <c r="L39" s="139"/>
      <c r="M39" s="3">
        <v>1</v>
      </c>
      <c r="N39" s="3">
        <f>M39+1</f>
        <v>2</v>
      </c>
      <c r="O39" s="3">
        <f t="shared" ref="O39:AC39" si="55">N39+1</f>
        <v>3</v>
      </c>
      <c r="P39" s="3">
        <f t="shared" si="55"/>
        <v>4</v>
      </c>
      <c r="Q39" s="3">
        <f t="shared" si="55"/>
        <v>5</v>
      </c>
      <c r="R39" s="3">
        <f t="shared" si="55"/>
        <v>6</v>
      </c>
      <c r="S39" s="3">
        <f t="shared" si="55"/>
        <v>7</v>
      </c>
      <c r="T39" s="3">
        <f t="shared" si="55"/>
        <v>8</v>
      </c>
      <c r="U39" s="3">
        <f t="shared" si="55"/>
        <v>9</v>
      </c>
      <c r="V39" s="3">
        <f t="shared" si="55"/>
        <v>10</v>
      </c>
      <c r="W39" s="3">
        <f t="shared" si="55"/>
        <v>11</v>
      </c>
      <c r="X39" s="3">
        <f t="shared" si="55"/>
        <v>12</v>
      </c>
      <c r="Y39" s="3">
        <f t="shared" si="55"/>
        <v>13</v>
      </c>
      <c r="Z39" s="3">
        <f t="shared" si="55"/>
        <v>14</v>
      </c>
      <c r="AA39" s="3">
        <f t="shared" si="55"/>
        <v>15</v>
      </c>
      <c r="AB39" s="3">
        <f t="shared" si="55"/>
        <v>16</v>
      </c>
      <c r="AC39" s="3">
        <f t="shared" si="55"/>
        <v>17</v>
      </c>
      <c r="AD39" s="3">
        <f t="shared" si="54"/>
        <v>18</v>
      </c>
      <c r="AE39" s="3">
        <f t="shared" si="54"/>
        <v>19</v>
      </c>
      <c r="AF39" s="3">
        <f t="shared" si="54"/>
        <v>20</v>
      </c>
      <c r="AG39" s="3">
        <f t="shared" si="54"/>
        <v>21</v>
      </c>
      <c r="AH39" s="3">
        <f t="shared" si="54"/>
        <v>22</v>
      </c>
      <c r="AI39" s="3">
        <f t="shared" si="54"/>
        <v>23</v>
      </c>
      <c r="AJ39" s="3">
        <f t="shared" si="54"/>
        <v>24</v>
      </c>
      <c r="AK39" s="3">
        <f t="shared" si="54"/>
        <v>25</v>
      </c>
      <c r="AL39" s="3">
        <f t="shared" si="54"/>
        <v>26</v>
      </c>
      <c r="AM39" s="3">
        <f t="shared" si="54"/>
        <v>27</v>
      </c>
      <c r="AN39" s="3">
        <f t="shared" si="54"/>
        <v>28</v>
      </c>
      <c r="AO39" s="3">
        <f t="shared" si="54"/>
        <v>29</v>
      </c>
      <c r="AP39" s="4"/>
      <c r="AQ39" s="4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5"/>
      <c r="CT39" s="5"/>
      <c r="CU39" s="5"/>
      <c r="CV39" s="5"/>
    </row>
    <row r="40" spans="1:100" ht="15" customHeight="1" x14ac:dyDescent="0.25">
      <c r="A40" t="s">
        <v>15</v>
      </c>
      <c r="B40" s="139">
        <v>5</v>
      </c>
      <c r="C40" s="139">
        <v>4</v>
      </c>
      <c r="D40" s="139" t="str">
        <f t="shared" si="3"/>
        <v>SUPPLY_EAST_G_2_22</v>
      </c>
      <c r="E40" s="139" t="s">
        <v>0</v>
      </c>
      <c r="F40" s="142" t="s">
        <v>0</v>
      </c>
      <c r="G40" s="140" t="s">
        <v>18</v>
      </c>
      <c r="H40" s="140" t="s">
        <v>8</v>
      </c>
      <c r="I40" s="140">
        <v>2</v>
      </c>
      <c r="J40" s="143"/>
      <c r="K40" s="184">
        <f>COUNT(AI40:BZ40)</f>
        <v>9</v>
      </c>
      <c r="L40" s="140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101"/>
      <c r="AB40" s="57"/>
      <c r="AC40" s="133"/>
      <c r="AD40" s="46"/>
      <c r="AE40" s="46"/>
      <c r="AF40" s="46"/>
      <c r="AG40" s="46"/>
      <c r="AH40" s="57"/>
      <c r="AI40" s="86">
        <v>1</v>
      </c>
      <c r="AJ40" s="86">
        <f>AI40+1</f>
        <v>2</v>
      </c>
      <c r="AK40" s="86">
        <f t="shared" si="54"/>
        <v>3</v>
      </c>
      <c r="AL40" s="86">
        <f t="shared" si="54"/>
        <v>4</v>
      </c>
      <c r="AM40" s="86">
        <f t="shared" si="54"/>
        <v>5</v>
      </c>
      <c r="AN40" s="86">
        <f t="shared" si="54"/>
        <v>6</v>
      </c>
      <c r="AO40" s="86">
        <f t="shared" si="54"/>
        <v>7</v>
      </c>
      <c r="AP40" s="86">
        <f t="shared" si="54"/>
        <v>8</v>
      </c>
      <c r="AQ40" s="86">
        <f t="shared" si="54"/>
        <v>9</v>
      </c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97"/>
      <c r="BG40" s="97"/>
      <c r="BH40" s="4"/>
      <c r="BI40" s="4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5"/>
      <c r="CT40" s="5"/>
      <c r="CU40" s="5"/>
      <c r="CV40" s="5"/>
    </row>
    <row r="41" spans="1:100" ht="15" customHeight="1" x14ac:dyDescent="0.25">
      <c r="A41" t="s">
        <v>15</v>
      </c>
      <c r="B41" s="139">
        <v>5</v>
      </c>
      <c r="C41" s="140">
        <v>5</v>
      </c>
      <c r="D41" s="139" t="str">
        <f t="shared" si="3"/>
        <v>EMPTY_EAST_G_2_22</v>
      </c>
      <c r="E41" s="140" t="s">
        <v>0</v>
      </c>
      <c r="F41" s="142" t="s">
        <v>32</v>
      </c>
      <c r="G41" s="140" t="s">
        <v>18</v>
      </c>
      <c r="H41" s="140" t="s">
        <v>8</v>
      </c>
      <c r="I41" s="140">
        <v>2</v>
      </c>
      <c r="J41" s="139"/>
      <c r="K41" s="184">
        <f>COUNT(AI41:BZ41)</f>
        <v>27</v>
      </c>
      <c r="L41" s="139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101"/>
      <c r="AB41" s="57"/>
      <c r="AC41" s="133"/>
      <c r="AD41" s="46"/>
      <c r="AE41" s="46"/>
      <c r="AF41" s="46"/>
      <c r="AG41" s="46"/>
      <c r="AH41" s="57"/>
      <c r="AI41" s="86">
        <v>1</v>
      </c>
      <c r="AJ41" s="86">
        <f>AI41+1</f>
        <v>2</v>
      </c>
      <c r="AK41" s="86">
        <f t="shared" si="54"/>
        <v>3</v>
      </c>
      <c r="AL41" s="86">
        <f t="shared" si="54"/>
        <v>4</v>
      </c>
      <c r="AM41" s="86">
        <f t="shared" si="54"/>
        <v>5</v>
      </c>
      <c r="AN41" s="86">
        <f t="shared" si="54"/>
        <v>6</v>
      </c>
      <c r="AO41" s="86">
        <f t="shared" si="54"/>
        <v>7</v>
      </c>
      <c r="AP41" s="86">
        <f t="shared" si="54"/>
        <v>8</v>
      </c>
      <c r="AQ41" s="86">
        <f t="shared" si="54"/>
        <v>9</v>
      </c>
      <c r="AR41" s="86">
        <f t="shared" si="54"/>
        <v>10</v>
      </c>
      <c r="AS41" s="86">
        <f t="shared" si="54"/>
        <v>11</v>
      </c>
      <c r="AT41" s="86">
        <f t="shared" ref="AT41:BI41" si="56">AS41+1</f>
        <v>12</v>
      </c>
      <c r="AU41" s="86">
        <f t="shared" si="56"/>
        <v>13</v>
      </c>
      <c r="AV41" s="86">
        <f t="shared" si="56"/>
        <v>14</v>
      </c>
      <c r="AW41" s="86">
        <f t="shared" si="56"/>
        <v>15</v>
      </c>
      <c r="AX41" s="86">
        <f t="shared" si="56"/>
        <v>16</v>
      </c>
      <c r="AY41" s="86">
        <f t="shared" si="56"/>
        <v>17</v>
      </c>
      <c r="AZ41" s="86">
        <f t="shared" si="56"/>
        <v>18</v>
      </c>
      <c r="BA41" s="86">
        <f t="shared" si="56"/>
        <v>19</v>
      </c>
      <c r="BB41" s="86">
        <f t="shared" si="56"/>
        <v>20</v>
      </c>
      <c r="BC41" s="86">
        <f t="shared" si="56"/>
        <v>21</v>
      </c>
      <c r="BD41" s="86">
        <f t="shared" si="56"/>
        <v>22</v>
      </c>
      <c r="BE41" s="86">
        <f t="shared" si="56"/>
        <v>23</v>
      </c>
      <c r="BF41" s="86">
        <f t="shared" si="56"/>
        <v>24</v>
      </c>
      <c r="BG41" s="86">
        <f t="shared" si="56"/>
        <v>25</v>
      </c>
      <c r="BH41" s="86">
        <f t="shared" si="56"/>
        <v>26</v>
      </c>
      <c r="BI41" s="86">
        <f t="shared" si="56"/>
        <v>27</v>
      </c>
      <c r="BJ41" s="46"/>
      <c r="BK41" s="4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5"/>
      <c r="CT41" s="5"/>
      <c r="CU41" s="5"/>
      <c r="CV41" s="5"/>
    </row>
    <row r="42" spans="1:100" ht="15" customHeight="1" x14ac:dyDescent="0.25">
      <c r="A42" t="s">
        <v>15</v>
      </c>
      <c r="B42" s="139">
        <v>5</v>
      </c>
      <c r="C42" s="140">
        <v>6</v>
      </c>
      <c r="D42" s="139" t="str">
        <f t="shared" si="3"/>
        <v>COUNTDOWN_EAST_G_2_22</v>
      </c>
      <c r="E42" s="140"/>
      <c r="F42" s="142" t="s">
        <v>33</v>
      </c>
      <c r="G42" s="140" t="s">
        <v>18</v>
      </c>
      <c r="H42" s="140" t="s">
        <v>8</v>
      </c>
      <c r="I42" s="140">
        <v>2</v>
      </c>
      <c r="J42" s="144"/>
      <c r="K42" s="144"/>
      <c r="L42" s="140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101"/>
      <c r="AB42" s="57"/>
      <c r="AC42" s="86"/>
      <c r="AD42" s="3"/>
      <c r="AE42" s="3"/>
      <c r="AF42" s="3"/>
      <c r="AG42" s="3"/>
      <c r="AH42" s="31"/>
      <c r="AI42" s="86"/>
      <c r="AJ42" s="86"/>
      <c r="AK42" s="3"/>
      <c r="AL42" s="6"/>
      <c r="AM42" s="6"/>
      <c r="AN42" s="46"/>
      <c r="AO42" s="46"/>
      <c r="AP42" s="56"/>
      <c r="AQ42" s="56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5"/>
      <c r="CT42" s="5"/>
      <c r="CU42" s="5"/>
      <c r="CV42" s="5"/>
    </row>
    <row r="43" spans="1:100" x14ac:dyDescent="0.25">
      <c r="B43" s="139">
        <v>6</v>
      </c>
      <c r="C43" s="139">
        <v>1</v>
      </c>
      <c r="D43" s="139" t="str">
        <f t="shared" si="3"/>
        <v>SORTING_EAST_B_1_22</v>
      </c>
      <c r="E43" s="139" t="s">
        <v>35</v>
      </c>
      <c r="F43" s="138" t="s">
        <v>45</v>
      </c>
      <c r="G43" s="140" t="s">
        <v>18</v>
      </c>
      <c r="H43" s="140" t="s">
        <v>3</v>
      </c>
      <c r="I43" s="140">
        <v>1</v>
      </c>
      <c r="J43" s="139"/>
      <c r="K43" s="184">
        <f>COUNT(AC43:BD43)</f>
        <v>12</v>
      </c>
      <c r="L43" s="139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101"/>
      <c r="AB43" s="57"/>
      <c r="AC43" s="86">
        <v>1</v>
      </c>
      <c r="AD43" s="3">
        <f t="shared" ref="AD43:AS47" si="57">AC43+1</f>
        <v>2</v>
      </c>
      <c r="AE43" s="3">
        <f t="shared" si="57"/>
        <v>3</v>
      </c>
      <c r="AF43" s="3">
        <f t="shared" si="57"/>
        <v>4</v>
      </c>
      <c r="AG43" s="3">
        <f t="shared" si="57"/>
        <v>5</v>
      </c>
      <c r="AH43" s="3">
        <f t="shared" si="57"/>
        <v>6</v>
      </c>
      <c r="AI43" s="3">
        <f t="shared" si="57"/>
        <v>7</v>
      </c>
      <c r="AJ43" s="3">
        <f t="shared" si="57"/>
        <v>8</v>
      </c>
      <c r="AK43" s="3">
        <f t="shared" si="57"/>
        <v>9</v>
      </c>
      <c r="AL43" s="3">
        <f t="shared" si="57"/>
        <v>10</v>
      </c>
      <c r="AM43" s="3">
        <f t="shared" si="57"/>
        <v>11</v>
      </c>
      <c r="AN43" s="3">
        <f t="shared" si="57"/>
        <v>12</v>
      </c>
      <c r="AO43" s="4"/>
      <c r="AP43" s="4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5"/>
      <c r="CT43" s="5"/>
      <c r="CU43" s="5"/>
      <c r="CV43" s="5"/>
    </row>
    <row r="44" spans="1:100" ht="15" customHeight="1" x14ac:dyDescent="0.25">
      <c r="B44" s="139">
        <v>6</v>
      </c>
      <c r="C44" s="139">
        <v>2</v>
      </c>
      <c r="D44" s="139" t="str">
        <f t="shared" si="3"/>
        <v>TRANSFER_EAST_B_1_22</v>
      </c>
      <c r="E44" s="139" t="s">
        <v>21</v>
      </c>
      <c r="F44" s="138" t="s">
        <v>21</v>
      </c>
      <c r="G44" s="140" t="s">
        <v>18</v>
      </c>
      <c r="H44" s="140" t="s">
        <v>3</v>
      </c>
      <c r="I44" s="140">
        <v>1</v>
      </c>
      <c r="J44" s="139"/>
      <c r="K44" s="184">
        <f>COUNT(AC44:BD44)</f>
        <v>14</v>
      </c>
      <c r="L44" s="139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101"/>
      <c r="AB44" s="57"/>
      <c r="AC44" s="86">
        <v>1</v>
      </c>
      <c r="AD44" s="3">
        <f t="shared" si="57"/>
        <v>2</v>
      </c>
      <c r="AE44" s="3">
        <f t="shared" si="57"/>
        <v>3</v>
      </c>
      <c r="AF44" s="3">
        <f t="shared" si="57"/>
        <v>4</v>
      </c>
      <c r="AG44" s="3">
        <f t="shared" si="57"/>
        <v>5</v>
      </c>
      <c r="AH44" s="3">
        <f t="shared" si="57"/>
        <v>6</v>
      </c>
      <c r="AI44" s="3">
        <f t="shared" si="57"/>
        <v>7</v>
      </c>
      <c r="AJ44" s="3">
        <f t="shared" si="57"/>
        <v>8</v>
      </c>
      <c r="AK44" s="3">
        <f t="shared" si="57"/>
        <v>9</v>
      </c>
      <c r="AL44" s="3">
        <f t="shared" si="57"/>
        <v>10</v>
      </c>
      <c r="AM44" s="3">
        <f t="shared" si="57"/>
        <v>11</v>
      </c>
      <c r="AN44" s="3">
        <f t="shared" si="57"/>
        <v>12</v>
      </c>
      <c r="AO44" s="3">
        <f t="shared" si="57"/>
        <v>13</v>
      </c>
      <c r="AP44" s="3">
        <f t="shared" si="57"/>
        <v>14</v>
      </c>
      <c r="AQ44" s="4"/>
      <c r="AR44" s="4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5"/>
      <c r="CT44" s="5"/>
      <c r="CU44" s="5"/>
      <c r="CV44" s="5"/>
    </row>
    <row r="45" spans="1:100" ht="15" customHeight="1" x14ac:dyDescent="0.25">
      <c r="B45" s="139">
        <v>6</v>
      </c>
      <c r="C45" s="139">
        <v>3</v>
      </c>
      <c r="D45" s="139" t="str">
        <f t="shared" si="3"/>
        <v>PREPARE_EAST_B_1_22</v>
      </c>
      <c r="E45" s="139" t="s">
        <v>0</v>
      </c>
      <c r="F45" s="138" t="s">
        <v>46</v>
      </c>
      <c r="G45" s="140" t="s">
        <v>18</v>
      </c>
      <c r="H45" s="140" t="s">
        <v>3</v>
      </c>
      <c r="I45" s="140">
        <v>1</v>
      </c>
      <c r="J45" s="141"/>
      <c r="K45" s="184">
        <f>COUNT(M45:BD45)</f>
        <v>32</v>
      </c>
      <c r="L45" s="139"/>
      <c r="M45" s="3">
        <v>1</v>
      </c>
      <c r="N45" s="3">
        <f>M45+1</f>
        <v>2</v>
      </c>
      <c r="O45" s="3">
        <f t="shared" ref="O45:AC45" si="58">N45+1</f>
        <v>3</v>
      </c>
      <c r="P45" s="3">
        <f t="shared" si="58"/>
        <v>4</v>
      </c>
      <c r="Q45" s="3">
        <f t="shared" si="58"/>
        <v>5</v>
      </c>
      <c r="R45" s="3">
        <f t="shared" si="58"/>
        <v>6</v>
      </c>
      <c r="S45" s="3">
        <f t="shared" si="58"/>
        <v>7</v>
      </c>
      <c r="T45" s="3">
        <f t="shared" si="58"/>
        <v>8</v>
      </c>
      <c r="U45" s="3">
        <f t="shared" si="58"/>
        <v>9</v>
      </c>
      <c r="V45" s="3">
        <f t="shared" si="58"/>
        <v>10</v>
      </c>
      <c r="W45" s="3">
        <f t="shared" si="58"/>
        <v>11</v>
      </c>
      <c r="X45" s="3">
        <f t="shared" si="58"/>
        <v>12</v>
      </c>
      <c r="Y45" s="3">
        <f t="shared" si="58"/>
        <v>13</v>
      </c>
      <c r="Z45" s="3">
        <f t="shared" si="58"/>
        <v>14</v>
      </c>
      <c r="AA45" s="3">
        <f t="shared" si="58"/>
        <v>15</v>
      </c>
      <c r="AB45" s="3">
        <f t="shared" si="58"/>
        <v>16</v>
      </c>
      <c r="AC45" s="3">
        <f t="shared" si="58"/>
        <v>17</v>
      </c>
      <c r="AD45" s="3">
        <f t="shared" si="57"/>
        <v>18</v>
      </c>
      <c r="AE45" s="3">
        <f t="shared" si="57"/>
        <v>19</v>
      </c>
      <c r="AF45" s="3">
        <f t="shared" si="57"/>
        <v>20</v>
      </c>
      <c r="AG45" s="3">
        <f t="shared" si="57"/>
        <v>21</v>
      </c>
      <c r="AH45" s="3">
        <f t="shared" si="57"/>
        <v>22</v>
      </c>
      <c r="AI45" s="3">
        <f t="shared" si="57"/>
        <v>23</v>
      </c>
      <c r="AJ45" s="3">
        <f t="shared" si="57"/>
        <v>24</v>
      </c>
      <c r="AK45" s="3">
        <f t="shared" si="57"/>
        <v>25</v>
      </c>
      <c r="AL45" s="3">
        <f t="shared" si="57"/>
        <v>26</v>
      </c>
      <c r="AM45" s="3">
        <f t="shared" si="57"/>
        <v>27</v>
      </c>
      <c r="AN45" s="3">
        <f t="shared" si="57"/>
        <v>28</v>
      </c>
      <c r="AO45" s="3">
        <f t="shared" si="57"/>
        <v>29</v>
      </c>
      <c r="AP45" s="3">
        <f t="shared" si="57"/>
        <v>30</v>
      </c>
      <c r="AQ45" s="3">
        <f t="shared" si="57"/>
        <v>31</v>
      </c>
      <c r="AR45" s="3">
        <f t="shared" si="57"/>
        <v>32</v>
      </c>
      <c r="AS45" s="4"/>
      <c r="AT45" s="4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5"/>
      <c r="CT45" s="5"/>
      <c r="CU45" s="5"/>
      <c r="CV45" s="5"/>
    </row>
    <row r="46" spans="1:100" ht="15" customHeight="1" x14ac:dyDescent="0.25">
      <c r="B46" s="139">
        <v>6</v>
      </c>
      <c r="C46" s="139">
        <v>4</v>
      </c>
      <c r="D46" s="139" t="str">
        <f t="shared" si="3"/>
        <v>SUPPLY_EAST_B_1_22</v>
      </c>
      <c r="E46" s="139" t="s">
        <v>0</v>
      </c>
      <c r="F46" s="142" t="s">
        <v>0</v>
      </c>
      <c r="G46" s="140" t="s">
        <v>18</v>
      </c>
      <c r="H46" s="140" t="s">
        <v>3</v>
      </c>
      <c r="I46" s="140">
        <v>1</v>
      </c>
      <c r="J46" s="143"/>
      <c r="K46" s="184">
        <f>COUNT(AI46:BZ46)</f>
        <v>12</v>
      </c>
      <c r="L46" s="140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101"/>
      <c r="AB46" s="57"/>
      <c r="AC46" s="133"/>
      <c r="AD46" s="46"/>
      <c r="AE46" s="46"/>
      <c r="AF46" s="46"/>
      <c r="AG46" s="46"/>
      <c r="AH46" s="57"/>
      <c r="AI46" s="86">
        <v>1</v>
      </c>
      <c r="AJ46" s="86">
        <f>AI46+1</f>
        <v>2</v>
      </c>
      <c r="AK46" s="86">
        <f t="shared" si="57"/>
        <v>3</v>
      </c>
      <c r="AL46" s="86">
        <f t="shared" si="57"/>
        <v>4</v>
      </c>
      <c r="AM46" s="86">
        <f t="shared" si="57"/>
        <v>5</v>
      </c>
      <c r="AN46" s="86">
        <f t="shared" si="57"/>
        <v>6</v>
      </c>
      <c r="AO46" s="86">
        <f t="shared" si="57"/>
        <v>7</v>
      </c>
      <c r="AP46" s="86">
        <f t="shared" si="57"/>
        <v>8</v>
      </c>
      <c r="AQ46" s="86">
        <f t="shared" si="57"/>
        <v>9</v>
      </c>
      <c r="AR46" s="86">
        <f t="shared" si="57"/>
        <v>10</v>
      </c>
      <c r="AS46" s="86">
        <f t="shared" si="57"/>
        <v>11</v>
      </c>
      <c r="AT46" s="86">
        <f t="shared" ref="AT46:BI47" si="59">AS46+1</f>
        <v>12</v>
      </c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97"/>
      <c r="BJ46" s="4"/>
      <c r="BK46" s="4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5"/>
      <c r="CT46" s="5"/>
      <c r="CU46" s="5"/>
      <c r="CV46" s="5"/>
    </row>
    <row r="47" spans="1:100" ht="15" customHeight="1" x14ac:dyDescent="0.25">
      <c r="B47" s="139">
        <v>6</v>
      </c>
      <c r="C47" s="140">
        <v>5</v>
      </c>
      <c r="D47" s="139" t="str">
        <f t="shared" si="3"/>
        <v>EMPTY_EAST_B_1_22</v>
      </c>
      <c r="E47" s="140" t="s">
        <v>0</v>
      </c>
      <c r="F47" s="142" t="s">
        <v>32</v>
      </c>
      <c r="G47" s="140" t="s">
        <v>18</v>
      </c>
      <c r="H47" s="140" t="s">
        <v>3</v>
      </c>
      <c r="I47" s="140">
        <v>1</v>
      </c>
      <c r="J47" s="139"/>
      <c r="K47" s="184">
        <f>COUNT(AI47:BZ47)</f>
        <v>29</v>
      </c>
      <c r="L47" s="139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101"/>
      <c r="AB47" s="57"/>
      <c r="AC47" s="133"/>
      <c r="AD47" s="46"/>
      <c r="AE47" s="46"/>
      <c r="AF47" s="46"/>
      <c r="AG47" s="46"/>
      <c r="AH47" s="57"/>
      <c r="AI47" s="86">
        <v>1</v>
      </c>
      <c r="AJ47" s="86">
        <f>AI47+1</f>
        <v>2</v>
      </c>
      <c r="AK47" s="86">
        <f t="shared" si="57"/>
        <v>3</v>
      </c>
      <c r="AL47" s="86">
        <f t="shared" si="57"/>
        <v>4</v>
      </c>
      <c r="AM47" s="86">
        <f t="shared" si="57"/>
        <v>5</v>
      </c>
      <c r="AN47" s="86">
        <f t="shared" si="57"/>
        <v>6</v>
      </c>
      <c r="AO47" s="86">
        <f t="shared" si="57"/>
        <v>7</v>
      </c>
      <c r="AP47" s="86">
        <f t="shared" si="57"/>
        <v>8</v>
      </c>
      <c r="AQ47" s="86">
        <f t="shared" si="57"/>
        <v>9</v>
      </c>
      <c r="AR47" s="86">
        <f t="shared" si="57"/>
        <v>10</v>
      </c>
      <c r="AS47" s="86">
        <f t="shared" si="57"/>
        <v>11</v>
      </c>
      <c r="AT47" s="86">
        <f t="shared" si="59"/>
        <v>12</v>
      </c>
      <c r="AU47" s="86">
        <f t="shared" si="59"/>
        <v>13</v>
      </c>
      <c r="AV47" s="86">
        <f t="shared" si="59"/>
        <v>14</v>
      </c>
      <c r="AW47" s="86">
        <f t="shared" si="59"/>
        <v>15</v>
      </c>
      <c r="AX47" s="86">
        <f t="shared" si="59"/>
        <v>16</v>
      </c>
      <c r="AY47" s="86">
        <f t="shared" si="59"/>
        <v>17</v>
      </c>
      <c r="AZ47" s="86">
        <f t="shared" si="59"/>
        <v>18</v>
      </c>
      <c r="BA47" s="86">
        <f t="shared" si="59"/>
        <v>19</v>
      </c>
      <c r="BB47" s="86">
        <f t="shared" si="59"/>
        <v>20</v>
      </c>
      <c r="BC47" s="86">
        <f t="shared" si="59"/>
        <v>21</v>
      </c>
      <c r="BD47" s="86">
        <f t="shared" si="59"/>
        <v>22</v>
      </c>
      <c r="BE47" s="86">
        <f t="shared" si="59"/>
        <v>23</v>
      </c>
      <c r="BF47" s="86">
        <f t="shared" si="59"/>
        <v>24</v>
      </c>
      <c r="BG47" s="86">
        <f t="shared" si="59"/>
        <v>25</v>
      </c>
      <c r="BH47" s="86">
        <f t="shared" si="59"/>
        <v>26</v>
      </c>
      <c r="BI47" s="86">
        <f t="shared" si="59"/>
        <v>27</v>
      </c>
      <c r="BJ47" s="86">
        <f t="shared" ref="BJ47:BK47" si="60">BI47+1</f>
        <v>28</v>
      </c>
      <c r="BK47" s="86">
        <f t="shared" si="60"/>
        <v>29</v>
      </c>
      <c r="BL47" s="46"/>
      <c r="BM47" s="4"/>
      <c r="BN47" s="4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5"/>
      <c r="CT47" s="5"/>
      <c r="CU47" s="5"/>
      <c r="CV47" s="5"/>
    </row>
    <row r="48" spans="1:100" ht="15" customHeight="1" x14ac:dyDescent="0.25">
      <c r="B48" s="139">
        <v>6</v>
      </c>
      <c r="C48" s="140">
        <v>6</v>
      </c>
      <c r="D48" s="139" t="str">
        <f t="shared" si="3"/>
        <v>COUNTDOWN_EAST_B_1_22</v>
      </c>
      <c r="E48" s="140"/>
      <c r="F48" s="142" t="s">
        <v>33</v>
      </c>
      <c r="G48" s="140" t="s">
        <v>18</v>
      </c>
      <c r="H48" s="140" t="s">
        <v>3</v>
      </c>
      <c r="I48" s="140">
        <v>1</v>
      </c>
      <c r="J48" s="144"/>
      <c r="K48" s="144"/>
      <c r="L48" s="140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101"/>
      <c r="AB48" s="57"/>
      <c r="AC48" s="86"/>
      <c r="AD48" s="3"/>
      <c r="AE48" s="3"/>
      <c r="AF48" s="3"/>
      <c r="AG48" s="3"/>
      <c r="AH48" s="31"/>
      <c r="AI48" s="86"/>
      <c r="AJ48" s="86"/>
      <c r="AK48" s="3"/>
      <c r="AL48" s="3"/>
      <c r="AM48" s="3"/>
      <c r="AN48" s="6"/>
      <c r="AO48" s="6"/>
      <c r="AP48" s="46"/>
      <c r="AQ48" s="46"/>
      <c r="AR48" s="56"/>
      <c r="AS48" s="56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5"/>
      <c r="CT48" s="5"/>
      <c r="CU48" s="5"/>
      <c r="CV48" s="5"/>
    </row>
    <row r="49" spans="2:100" x14ac:dyDescent="0.25">
      <c r="B49" s="139">
        <v>7</v>
      </c>
      <c r="C49" s="139">
        <v>1</v>
      </c>
      <c r="D49" s="139" t="str">
        <f t="shared" si="3"/>
        <v>SORTING_EAST_E_2_22</v>
      </c>
      <c r="E49" s="139" t="s">
        <v>35</v>
      </c>
      <c r="F49" s="138" t="s">
        <v>45</v>
      </c>
      <c r="G49" s="140" t="s">
        <v>18</v>
      </c>
      <c r="H49" s="140" t="s">
        <v>6</v>
      </c>
      <c r="I49" s="140">
        <v>2</v>
      </c>
      <c r="J49" s="139"/>
      <c r="K49" s="184">
        <f>COUNT(AC49:BD49)</f>
        <v>14</v>
      </c>
      <c r="L49" s="139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101"/>
      <c r="AB49" s="57"/>
      <c r="AC49" s="86">
        <v>1</v>
      </c>
      <c r="AD49" s="3">
        <f t="shared" ref="AD49:AS53" si="61">AC49+1</f>
        <v>2</v>
      </c>
      <c r="AE49" s="3">
        <f t="shared" si="61"/>
        <v>3</v>
      </c>
      <c r="AF49" s="3">
        <f t="shared" si="61"/>
        <v>4</v>
      </c>
      <c r="AG49" s="3">
        <f t="shared" si="61"/>
        <v>5</v>
      </c>
      <c r="AH49" s="3">
        <f t="shared" si="61"/>
        <v>6</v>
      </c>
      <c r="AI49" s="3">
        <f t="shared" si="61"/>
        <v>7</v>
      </c>
      <c r="AJ49" s="3">
        <f t="shared" si="61"/>
        <v>8</v>
      </c>
      <c r="AK49" s="3">
        <f t="shared" si="61"/>
        <v>9</v>
      </c>
      <c r="AL49" s="3">
        <f t="shared" si="61"/>
        <v>10</v>
      </c>
      <c r="AM49" s="3">
        <f t="shared" si="61"/>
        <v>11</v>
      </c>
      <c r="AN49" s="3">
        <f t="shared" si="61"/>
        <v>12</v>
      </c>
      <c r="AO49" s="3">
        <f t="shared" si="61"/>
        <v>13</v>
      </c>
      <c r="AP49" s="3">
        <f t="shared" si="61"/>
        <v>14</v>
      </c>
      <c r="AQ49" s="4"/>
      <c r="AR49" s="4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5"/>
      <c r="CT49" s="5"/>
      <c r="CU49" s="5"/>
      <c r="CV49" s="5"/>
    </row>
    <row r="50" spans="2:100" ht="15" customHeight="1" x14ac:dyDescent="0.25">
      <c r="B50" s="139">
        <v>7</v>
      </c>
      <c r="C50" s="139">
        <v>2</v>
      </c>
      <c r="D50" s="139" t="str">
        <f t="shared" si="3"/>
        <v>TRANSFER_EAST_E_2_22</v>
      </c>
      <c r="E50" s="139" t="s">
        <v>21</v>
      </c>
      <c r="F50" s="138" t="s">
        <v>21</v>
      </c>
      <c r="G50" s="140" t="s">
        <v>18</v>
      </c>
      <c r="H50" s="140" t="s">
        <v>6</v>
      </c>
      <c r="I50" s="140">
        <v>2</v>
      </c>
      <c r="J50" s="139"/>
      <c r="K50" s="184">
        <f>COUNT(AC50:BD50)</f>
        <v>16</v>
      </c>
      <c r="L50" s="139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101"/>
      <c r="AB50" s="57"/>
      <c r="AC50" s="86">
        <v>1</v>
      </c>
      <c r="AD50" s="3">
        <f t="shared" si="61"/>
        <v>2</v>
      </c>
      <c r="AE50" s="3">
        <f t="shared" si="61"/>
        <v>3</v>
      </c>
      <c r="AF50" s="3">
        <f t="shared" si="61"/>
        <v>4</v>
      </c>
      <c r="AG50" s="3">
        <f t="shared" si="61"/>
        <v>5</v>
      </c>
      <c r="AH50" s="3">
        <f t="shared" si="61"/>
        <v>6</v>
      </c>
      <c r="AI50" s="3">
        <f t="shared" si="61"/>
        <v>7</v>
      </c>
      <c r="AJ50" s="3">
        <f t="shared" si="61"/>
        <v>8</v>
      </c>
      <c r="AK50" s="3">
        <f t="shared" si="61"/>
        <v>9</v>
      </c>
      <c r="AL50" s="3">
        <f t="shared" si="61"/>
        <v>10</v>
      </c>
      <c r="AM50" s="3">
        <f t="shared" si="61"/>
        <v>11</v>
      </c>
      <c r="AN50" s="3">
        <f t="shared" si="61"/>
        <v>12</v>
      </c>
      <c r="AO50" s="3">
        <f t="shared" si="61"/>
        <v>13</v>
      </c>
      <c r="AP50" s="3">
        <f t="shared" si="61"/>
        <v>14</v>
      </c>
      <c r="AQ50" s="3">
        <f t="shared" si="61"/>
        <v>15</v>
      </c>
      <c r="AR50" s="3">
        <f t="shared" si="61"/>
        <v>16</v>
      </c>
      <c r="AS50" s="4"/>
      <c r="AT50" s="4"/>
      <c r="AU50" s="4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5"/>
      <c r="CT50" s="5"/>
      <c r="CU50" s="5"/>
      <c r="CV50" s="5"/>
    </row>
    <row r="51" spans="2:100" ht="15" customHeight="1" x14ac:dyDescent="0.25">
      <c r="B51" s="139">
        <v>7</v>
      </c>
      <c r="C51" s="139">
        <v>3</v>
      </c>
      <c r="D51" s="139" t="str">
        <f t="shared" si="3"/>
        <v>PREPARE_EAST_E_2_22</v>
      </c>
      <c r="E51" s="139" t="s">
        <v>0</v>
      </c>
      <c r="F51" s="138" t="s">
        <v>46</v>
      </c>
      <c r="G51" s="140" t="s">
        <v>18</v>
      </c>
      <c r="H51" s="140" t="s">
        <v>6</v>
      </c>
      <c r="I51" s="140">
        <v>2</v>
      </c>
      <c r="J51" s="141"/>
      <c r="K51" s="184">
        <f>COUNT(M51:BD51)</f>
        <v>35</v>
      </c>
      <c r="L51" s="139"/>
      <c r="M51" s="3">
        <v>1</v>
      </c>
      <c r="N51" s="3">
        <f>M51+1</f>
        <v>2</v>
      </c>
      <c r="O51" s="3">
        <f t="shared" ref="O51:AC51" si="62">N51+1</f>
        <v>3</v>
      </c>
      <c r="P51" s="3">
        <f t="shared" si="62"/>
        <v>4</v>
      </c>
      <c r="Q51" s="3">
        <f t="shared" si="62"/>
        <v>5</v>
      </c>
      <c r="R51" s="3">
        <f t="shared" si="62"/>
        <v>6</v>
      </c>
      <c r="S51" s="3">
        <f t="shared" si="62"/>
        <v>7</v>
      </c>
      <c r="T51" s="3">
        <f t="shared" si="62"/>
        <v>8</v>
      </c>
      <c r="U51" s="3">
        <f t="shared" si="62"/>
        <v>9</v>
      </c>
      <c r="V51" s="3">
        <f t="shared" si="62"/>
        <v>10</v>
      </c>
      <c r="W51" s="3">
        <f t="shared" si="62"/>
        <v>11</v>
      </c>
      <c r="X51" s="3">
        <f t="shared" si="62"/>
        <v>12</v>
      </c>
      <c r="Y51" s="3">
        <f t="shared" si="62"/>
        <v>13</v>
      </c>
      <c r="Z51" s="3">
        <f t="shared" si="62"/>
        <v>14</v>
      </c>
      <c r="AA51" s="3">
        <f t="shared" si="62"/>
        <v>15</v>
      </c>
      <c r="AB51" s="3">
        <f t="shared" si="62"/>
        <v>16</v>
      </c>
      <c r="AC51" s="3">
        <f t="shared" si="62"/>
        <v>17</v>
      </c>
      <c r="AD51" s="3">
        <f t="shared" si="61"/>
        <v>18</v>
      </c>
      <c r="AE51" s="3">
        <f t="shared" si="61"/>
        <v>19</v>
      </c>
      <c r="AF51" s="3">
        <f t="shared" si="61"/>
        <v>20</v>
      </c>
      <c r="AG51" s="3">
        <f t="shared" si="61"/>
        <v>21</v>
      </c>
      <c r="AH51" s="3">
        <f t="shared" si="61"/>
        <v>22</v>
      </c>
      <c r="AI51" s="3">
        <f t="shared" si="61"/>
        <v>23</v>
      </c>
      <c r="AJ51" s="3">
        <f t="shared" si="61"/>
        <v>24</v>
      </c>
      <c r="AK51" s="3">
        <f t="shared" si="61"/>
        <v>25</v>
      </c>
      <c r="AL51" s="3">
        <f t="shared" si="61"/>
        <v>26</v>
      </c>
      <c r="AM51" s="3">
        <f t="shared" si="61"/>
        <v>27</v>
      </c>
      <c r="AN51" s="3">
        <f t="shared" si="61"/>
        <v>28</v>
      </c>
      <c r="AO51" s="3">
        <f t="shared" si="61"/>
        <v>29</v>
      </c>
      <c r="AP51" s="3">
        <f t="shared" si="61"/>
        <v>30</v>
      </c>
      <c r="AQ51" s="3">
        <f t="shared" si="61"/>
        <v>31</v>
      </c>
      <c r="AR51" s="3">
        <f t="shared" si="61"/>
        <v>32</v>
      </c>
      <c r="AS51" s="3">
        <f t="shared" si="61"/>
        <v>33</v>
      </c>
      <c r="AT51" s="3">
        <f t="shared" ref="AT51:BI53" si="63">AS51+1</f>
        <v>34</v>
      </c>
      <c r="AU51" s="3">
        <f t="shared" si="63"/>
        <v>35</v>
      </c>
      <c r="AV51" s="4"/>
      <c r="AW51" s="4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5"/>
      <c r="CT51" s="5"/>
      <c r="CU51" s="5"/>
      <c r="CV51" s="5"/>
    </row>
    <row r="52" spans="2:100" ht="15" customHeight="1" x14ac:dyDescent="0.25">
      <c r="B52" s="139">
        <v>7</v>
      </c>
      <c r="C52" s="139">
        <v>4</v>
      </c>
      <c r="D52" s="139" t="str">
        <f t="shared" si="3"/>
        <v>SUPPLY_EAST_E_2_22</v>
      </c>
      <c r="E52" s="139" t="s">
        <v>0</v>
      </c>
      <c r="F52" s="142" t="s">
        <v>0</v>
      </c>
      <c r="G52" s="140" t="s">
        <v>18</v>
      </c>
      <c r="H52" s="140" t="s">
        <v>6</v>
      </c>
      <c r="I52" s="140">
        <v>2</v>
      </c>
      <c r="J52" s="143"/>
      <c r="K52" s="184">
        <f>COUNT(AI52:BZ52)</f>
        <v>15</v>
      </c>
      <c r="L52" s="140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101"/>
      <c r="AB52" s="57"/>
      <c r="AC52" s="133"/>
      <c r="AD52" s="46"/>
      <c r="AE52" s="46"/>
      <c r="AF52" s="46"/>
      <c r="AG52" s="46"/>
      <c r="AH52" s="57"/>
      <c r="AI52" s="86">
        <v>1</v>
      </c>
      <c r="AJ52" s="86">
        <f>AI52+1</f>
        <v>2</v>
      </c>
      <c r="AK52" s="86">
        <f t="shared" si="61"/>
        <v>3</v>
      </c>
      <c r="AL52" s="86">
        <f t="shared" si="61"/>
        <v>4</v>
      </c>
      <c r="AM52" s="86">
        <f t="shared" si="61"/>
        <v>5</v>
      </c>
      <c r="AN52" s="86">
        <f t="shared" si="61"/>
        <v>6</v>
      </c>
      <c r="AO52" s="86">
        <f t="shared" si="61"/>
        <v>7</v>
      </c>
      <c r="AP52" s="86">
        <f t="shared" si="61"/>
        <v>8</v>
      </c>
      <c r="AQ52" s="86">
        <f t="shared" si="61"/>
        <v>9</v>
      </c>
      <c r="AR52" s="86">
        <f t="shared" si="61"/>
        <v>10</v>
      </c>
      <c r="AS52" s="86">
        <f t="shared" si="61"/>
        <v>11</v>
      </c>
      <c r="AT52" s="86">
        <f t="shared" si="63"/>
        <v>12</v>
      </c>
      <c r="AU52" s="86">
        <f t="shared" si="63"/>
        <v>13</v>
      </c>
      <c r="AV52" s="86">
        <f t="shared" si="63"/>
        <v>14</v>
      </c>
      <c r="AW52" s="86">
        <f t="shared" si="63"/>
        <v>15</v>
      </c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97"/>
      <c r="BL52" s="4"/>
      <c r="BM52" s="4"/>
      <c r="BN52" s="4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5"/>
      <c r="CT52" s="5"/>
      <c r="CU52" s="5"/>
      <c r="CV52" s="5"/>
    </row>
    <row r="53" spans="2:100" ht="15" customHeight="1" x14ac:dyDescent="0.25">
      <c r="B53" s="139">
        <v>7</v>
      </c>
      <c r="C53" s="140">
        <v>5</v>
      </c>
      <c r="D53" s="139" t="str">
        <f t="shared" si="3"/>
        <v>EMPTY_EAST_E_2_22</v>
      </c>
      <c r="E53" s="140" t="s">
        <v>0</v>
      </c>
      <c r="F53" s="142" t="s">
        <v>32</v>
      </c>
      <c r="G53" s="140" t="s">
        <v>18</v>
      </c>
      <c r="H53" s="140" t="s">
        <v>6</v>
      </c>
      <c r="I53" s="140">
        <v>2</v>
      </c>
      <c r="J53" s="139"/>
      <c r="K53" s="184">
        <f>COUNT(AI53:BZ53)</f>
        <v>32</v>
      </c>
      <c r="L53" s="139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101"/>
      <c r="AB53" s="57"/>
      <c r="AC53" s="133"/>
      <c r="AD53" s="46"/>
      <c r="AE53" s="46"/>
      <c r="AF53" s="46"/>
      <c r="AG53" s="46"/>
      <c r="AH53" s="57"/>
      <c r="AI53" s="86">
        <v>1</v>
      </c>
      <c r="AJ53" s="86">
        <f>AI53+1</f>
        <v>2</v>
      </c>
      <c r="AK53" s="86">
        <f t="shared" si="61"/>
        <v>3</v>
      </c>
      <c r="AL53" s="86">
        <f t="shared" si="61"/>
        <v>4</v>
      </c>
      <c r="AM53" s="86">
        <f t="shared" si="61"/>
        <v>5</v>
      </c>
      <c r="AN53" s="86">
        <f t="shared" si="61"/>
        <v>6</v>
      </c>
      <c r="AO53" s="86">
        <f t="shared" si="61"/>
        <v>7</v>
      </c>
      <c r="AP53" s="86">
        <f t="shared" si="61"/>
        <v>8</v>
      </c>
      <c r="AQ53" s="86">
        <f t="shared" si="61"/>
        <v>9</v>
      </c>
      <c r="AR53" s="86">
        <f t="shared" si="61"/>
        <v>10</v>
      </c>
      <c r="AS53" s="86">
        <f t="shared" si="61"/>
        <v>11</v>
      </c>
      <c r="AT53" s="86">
        <f t="shared" si="63"/>
        <v>12</v>
      </c>
      <c r="AU53" s="86">
        <f t="shared" si="63"/>
        <v>13</v>
      </c>
      <c r="AV53" s="86">
        <f t="shared" si="63"/>
        <v>14</v>
      </c>
      <c r="AW53" s="86">
        <f t="shared" si="63"/>
        <v>15</v>
      </c>
      <c r="AX53" s="86">
        <f t="shared" si="63"/>
        <v>16</v>
      </c>
      <c r="AY53" s="86">
        <f t="shared" si="63"/>
        <v>17</v>
      </c>
      <c r="AZ53" s="86">
        <f t="shared" si="63"/>
        <v>18</v>
      </c>
      <c r="BA53" s="86">
        <f t="shared" si="63"/>
        <v>19</v>
      </c>
      <c r="BB53" s="86">
        <f t="shared" si="63"/>
        <v>20</v>
      </c>
      <c r="BC53" s="86">
        <f t="shared" si="63"/>
        <v>21</v>
      </c>
      <c r="BD53" s="86">
        <f t="shared" si="63"/>
        <v>22</v>
      </c>
      <c r="BE53" s="86">
        <f t="shared" si="63"/>
        <v>23</v>
      </c>
      <c r="BF53" s="86">
        <f t="shared" si="63"/>
        <v>24</v>
      </c>
      <c r="BG53" s="86">
        <f t="shared" si="63"/>
        <v>25</v>
      </c>
      <c r="BH53" s="86">
        <f t="shared" si="63"/>
        <v>26</v>
      </c>
      <c r="BI53" s="86">
        <f t="shared" si="63"/>
        <v>27</v>
      </c>
      <c r="BJ53" s="86">
        <f t="shared" ref="BJ53:BN53" si="64">BI53+1</f>
        <v>28</v>
      </c>
      <c r="BK53" s="86">
        <f t="shared" si="64"/>
        <v>29</v>
      </c>
      <c r="BL53" s="86">
        <f t="shared" si="64"/>
        <v>30</v>
      </c>
      <c r="BM53" s="86">
        <f t="shared" si="64"/>
        <v>31</v>
      </c>
      <c r="BN53" s="86">
        <f t="shared" si="64"/>
        <v>32</v>
      </c>
      <c r="BO53" s="46"/>
      <c r="BP53" s="4"/>
      <c r="BQ53" s="4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5"/>
      <c r="CT53" s="5"/>
      <c r="CU53" s="5"/>
      <c r="CV53" s="5"/>
    </row>
    <row r="54" spans="2:100" ht="15" customHeight="1" x14ac:dyDescent="0.25">
      <c r="B54" s="139">
        <v>7</v>
      </c>
      <c r="C54" s="140">
        <v>6</v>
      </c>
      <c r="D54" s="139" t="str">
        <f t="shared" si="3"/>
        <v>COUNTDOWN_EAST_E_2_22</v>
      </c>
      <c r="E54" s="140"/>
      <c r="F54" s="142" t="s">
        <v>33</v>
      </c>
      <c r="G54" s="140" t="s">
        <v>18</v>
      </c>
      <c r="H54" s="140" t="s">
        <v>6</v>
      </c>
      <c r="I54" s="140">
        <v>2</v>
      </c>
      <c r="J54" s="144"/>
      <c r="K54" s="144"/>
      <c r="L54" s="140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101"/>
      <c r="AB54" s="57"/>
      <c r="AC54" s="86"/>
      <c r="AD54" s="3"/>
      <c r="AE54" s="3"/>
      <c r="AF54" s="3"/>
      <c r="AG54" s="3"/>
      <c r="AH54" s="31"/>
      <c r="AI54" s="86"/>
      <c r="AJ54" s="86"/>
      <c r="AK54" s="3"/>
      <c r="AL54" s="3"/>
      <c r="AM54" s="3"/>
      <c r="AN54" s="3"/>
      <c r="AO54" s="3"/>
      <c r="AP54" s="6"/>
      <c r="AQ54" s="6"/>
      <c r="AR54" s="46"/>
      <c r="AS54" s="46"/>
      <c r="AT54" s="56"/>
      <c r="AU54" s="56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5"/>
      <c r="CT54" s="5"/>
      <c r="CU54" s="5"/>
      <c r="CV54" s="5"/>
    </row>
    <row r="55" spans="2:100" x14ac:dyDescent="0.25">
      <c r="B55" s="139">
        <v>8</v>
      </c>
      <c r="C55" s="139">
        <v>1</v>
      </c>
      <c r="D55" s="139" t="str">
        <f t="shared" si="3"/>
        <v>SORTING_EAST_D_1_22</v>
      </c>
      <c r="E55" s="139" t="s">
        <v>35</v>
      </c>
      <c r="F55" s="138" t="s">
        <v>45</v>
      </c>
      <c r="G55" s="140" t="s">
        <v>18</v>
      </c>
      <c r="H55" s="140" t="s">
        <v>47</v>
      </c>
      <c r="I55" s="140">
        <v>1</v>
      </c>
      <c r="J55" s="139"/>
      <c r="K55" s="184">
        <f>COUNT(AC55:BD55)</f>
        <v>16</v>
      </c>
      <c r="L55" s="139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101"/>
      <c r="AB55" s="57"/>
      <c r="AC55" s="86">
        <v>1</v>
      </c>
      <c r="AD55" s="3">
        <f t="shared" ref="AD55:AS59" si="65">AC55+1</f>
        <v>2</v>
      </c>
      <c r="AE55" s="3">
        <f t="shared" si="65"/>
        <v>3</v>
      </c>
      <c r="AF55" s="3">
        <f t="shared" si="65"/>
        <v>4</v>
      </c>
      <c r="AG55" s="3">
        <f t="shared" si="65"/>
        <v>5</v>
      </c>
      <c r="AH55" s="3">
        <f t="shared" si="65"/>
        <v>6</v>
      </c>
      <c r="AI55" s="3">
        <f t="shared" si="65"/>
        <v>7</v>
      </c>
      <c r="AJ55" s="3">
        <f t="shared" si="65"/>
        <v>8</v>
      </c>
      <c r="AK55" s="3">
        <f t="shared" si="65"/>
        <v>9</v>
      </c>
      <c r="AL55" s="3">
        <f t="shared" si="65"/>
        <v>10</v>
      </c>
      <c r="AM55" s="3">
        <f t="shared" si="65"/>
        <v>11</v>
      </c>
      <c r="AN55" s="3">
        <f t="shared" si="65"/>
        <v>12</v>
      </c>
      <c r="AO55" s="3">
        <f t="shared" si="65"/>
        <v>13</v>
      </c>
      <c r="AP55" s="3">
        <f t="shared" si="65"/>
        <v>14</v>
      </c>
      <c r="AQ55" s="3">
        <f t="shared" si="65"/>
        <v>15</v>
      </c>
      <c r="AR55" s="3">
        <f t="shared" si="65"/>
        <v>16</v>
      </c>
      <c r="AS55" s="4"/>
      <c r="AT55" s="4"/>
      <c r="AU55" s="4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5"/>
      <c r="CT55" s="5"/>
      <c r="CU55" s="5"/>
      <c r="CV55" s="5"/>
    </row>
    <row r="56" spans="2:100" ht="15" customHeight="1" x14ac:dyDescent="0.25">
      <c r="B56" s="139">
        <v>8</v>
      </c>
      <c r="C56" s="139">
        <v>2</v>
      </c>
      <c r="D56" s="139" t="str">
        <f t="shared" si="3"/>
        <v>TRANSFER_EAST_D_1_22</v>
      </c>
      <c r="E56" s="139" t="s">
        <v>21</v>
      </c>
      <c r="F56" s="138" t="s">
        <v>21</v>
      </c>
      <c r="G56" s="140" t="s">
        <v>18</v>
      </c>
      <c r="H56" s="140" t="s">
        <v>47</v>
      </c>
      <c r="I56" s="140">
        <v>1</v>
      </c>
      <c r="J56" s="139"/>
      <c r="K56" s="184">
        <f>COUNT(AC56:BD56)</f>
        <v>19</v>
      </c>
      <c r="L56" s="139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101"/>
      <c r="AB56" s="57"/>
      <c r="AC56" s="86">
        <v>1</v>
      </c>
      <c r="AD56" s="3">
        <f t="shared" si="65"/>
        <v>2</v>
      </c>
      <c r="AE56" s="3">
        <f t="shared" si="65"/>
        <v>3</v>
      </c>
      <c r="AF56" s="3">
        <f t="shared" si="65"/>
        <v>4</v>
      </c>
      <c r="AG56" s="3">
        <f t="shared" si="65"/>
        <v>5</v>
      </c>
      <c r="AH56" s="3">
        <f t="shared" si="65"/>
        <v>6</v>
      </c>
      <c r="AI56" s="3">
        <f t="shared" si="65"/>
        <v>7</v>
      </c>
      <c r="AJ56" s="3">
        <f t="shared" si="65"/>
        <v>8</v>
      </c>
      <c r="AK56" s="3">
        <f t="shared" si="65"/>
        <v>9</v>
      </c>
      <c r="AL56" s="3">
        <f t="shared" si="65"/>
        <v>10</v>
      </c>
      <c r="AM56" s="3">
        <f t="shared" si="65"/>
        <v>11</v>
      </c>
      <c r="AN56" s="3">
        <f t="shared" si="65"/>
        <v>12</v>
      </c>
      <c r="AO56" s="3">
        <f t="shared" si="65"/>
        <v>13</v>
      </c>
      <c r="AP56" s="3">
        <f t="shared" si="65"/>
        <v>14</v>
      </c>
      <c r="AQ56" s="3">
        <f t="shared" si="65"/>
        <v>15</v>
      </c>
      <c r="AR56" s="3">
        <f t="shared" si="65"/>
        <v>16</v>
      </c>
      <c r="AS56" s="3">
        <f t="shared" si="65"/>
        <v>17</v>
      </c>
      <c r="AT56" s="3">
        <f t="shared" ref="AL56:BA59" si="66">AS56+1</f>
        <v>18</v>
      </c>
      <c r="AU56" s="3">
        <f t="shared" si="66"/>
        <v>19</v>
      </c>
      <c r="AV56" s="4"/>
      <c r="AW56" s="4"/>
      <c r="AX56" s="4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5"/>
      <c r="CT56" s="5"/>
      <c r="CU56" s="5"/>
      <c r="CV56" s="5"/>
    </row>
    <row r="57" spans="2:100" ht="15" customHeight="1" x14ac:dyDescent="0.25">
      <c r="B57" s="139">
        <v>8</v>
      </c>
      <c r="C57" s="139">
        <v>3</v>
      </c>
      <c r="D57" s="139" t="str">
        <f t="shared" si="3"/>
        <v>PREPARE_EAST_D_1_22</v>
      </c>
      <c r="E57" s="139" t="s">
        <v>0</v>
      </c>
      <c r="F57" s="138" t="s">
        <v>46</v>
      </c>
      <c r="G57" s="140" t="s">
        <v>18</v>
      </c>
      <c r="H57" s="140" t="s">
        <v>47</v>
      </c>
      <c r="I57" s="140">
        <v>1</v>
      </c>
      <c r="J57" s="141"/>
      <c r="K57" s="184">
        <f>COUNT(M57:BD57)</f>
        <v>37</v>
      </c>
      <c r="L57" s="139"/>
      <c r="M57" s="3">
        <v>1</v>
      </c>
      <c r="N57" s="3">
        <f>M57+1</f>
        <v>2</v>
      </c>
      <c r="O57" s="3">
        <f t="shared" ref="O57:AC57" si="67">N57+1</f>
        <v>3</v>
      </c>
      <c r="P57" s="3">
        <f t="shared" si="67"/>
        <v>4</v>
      </c>
      <c r="Q57" s="3">
        <f t="shared" si="67"/>
        <v>5</v>
      </c>
      <c r="R57" s="3">
        <f t="shared" si="67"/>
        <v>6</v>
      </c>
      <c r="S57" s="3">
        <f t="shared" si="67"/>
        <v>7</v>
      </c>
      <c r="T57" s="3">
        <f t="shared" si="67"/>
        <v>8</v>
      </c>
      <c r="U57" s="3">
        <f t="shared" si="67"/>
        <v>9</v>
      </c>
      <c r="V57" s="3">
        <f t="shared" si="67"/>
        <v>10</v>
      </c>
      <c r="W57" s="3">
        <f t="shared" si="67"/>
        <v>11</v>
      </c>
      <c r="X57" s="3">
        <f t="shared" si="67"/>
        <v>12</v>
      </c>
      <c r="Y57" s="3">
        <f t="shared" si="67"/>
        <v>13</v>
      </c>
      <c r="Z57" s="3">
        <f t="shared" si="67"/>
        <v>14</v>
      </c>
      <c r="AA57" s="3">
        <f t="shared" si="67"/>
        <v>15</v>
      </c>
      <c r="AB57" s="3">
        <f t="shared" si="67"/>
        <v>16</v>
      </c>
      <c r="AC57" s="3">
        <f t="shared" si="67"/>
        <v>17</v>
      </c>
      <c r="AD57" s="3">
        <f t="shared" si="65"/>
        <v>18</v>
      </c>
      <c r="AE57" s="3">
        <f t="shared" si="65"/>
        <v>19</v>
      </c>
      <c r="AF57" s="3">
        <f t="shared" si="65"/>
        <v>20</v>
      </c>
      <c r="AG57" s="3">
        <f t="shared" si="65"/>
        <v>21</v>
      </c>
      <c r="AH57" s="3">
        <f t="shared" si="65"/>
        <v>22</v>
      </c>
      <c r="AI57" s="3">
        <f t="shared" si="65"/>
        <v>23</v>
      </c>
      <c r="AJ57" s="3">
        <f t="shared" si="65"/>
        <v>24</v>
      </c>
      <c r="AK57" s="3">
        <f t="shared" si="65"/>
        <v>25</v>
      </c>
      <c r="AL57" s="3">
        <f t="shared" si="65"/>
        <v>26</v>
      </c>
      <c r="AM57" s="3">
        <f t="shared" si="65"/>
        <v>27</v>
      </c>
      <c r="AN57" s="3">
        <f t="shared" si="65"/>
        <v>28</v>
      </c>
      <c r="AO57" s="3">
        <f t="shared" si="65"/>
        <v>29</v>
      </c>
      <c r="AP57" s="3">
        <f t="shared" si="65"/>
        <v>30</v>
      </c>
      <c r="AQ57" s="3">
        <f t="shared" si="65"/>
        <v>31</v>
      </c>
      <c r="AR57" s="3">
        <f t="shared" si="65"/>
        <v>32</v>
      </c>
      <c r="AS57" s="3">
        <f t="shared" si="65"/>
        <v>33</v>
      </c>
      <c r="AT57" s="3">
        <f t="shared" si="66"/>
        <v>34</v>
      </c>
      <c r="AU57" s="3">
        <f t="shared" si="66"/>
        <v>35</v>
      </c>
      <c r="AV57" s="3">
        <f t="shared" si="66"/>
        <v>36</v>
      </c>
      <c r="AW57" s="3">
        <f t="shared" si="66"/>
        <v>37</v>
      </c>
      <c r="AX57" s="4"/>
      <c r="AY57" s="4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5"/>
      <c r="CT57" s="5"/>
      <c r="CU57" s="5"/>
      <c r="CV57" s="5"/>
    </row>
    <row r="58" spans="2:100" ht="15" customHeight="1" x14ac:dyDescent="0.25">
      <c r="B58" s="139">
        <v>8</v>
      </c>
      <c r="C58" s="139">
        <v>4</v>
      </c>
      <c r="D58" s="139" t="str">
        <f t="shared" si="3"/>
        <v>SUPPLY_EAST_D_1_22</v>
      </c>
      <c r="E58" s="139" t="s">
        <v>0</v>
      </c>
      <c r="F58" s="142" t="s">
        <v>0</v>
      </c>
      <c r="G58" s="140" t="s">
        <v>18</v>
      </c>
      <c r="H58" s="140" t="s">
        <v>47</v>
      </c>
      <c r="I58" s="140">
        <v>1</v>
      </c>
      <c r="J58" s="143"/>
      <c r="K58" s="184">
        <f>COUNT(AI58:BZ58)</f>
        <v>17</v>
      </c>
      <c r="L58" s="140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101"/>
      <c r="AB58" s="57"/>
      <c r="AC58" s="133"/>
      <c r="AD58" s="46"/>
      <c r="AE58" s="46"/>
      <c r="AF58" s="46"/>
      <c r="AG58" s="46"/>
      <c r="AH58" s="57"/>
      <c r="AI58" s="86">
        <v>1</v>
      </c>
      <c r="AJ58" s="86">
        <f>AI58+1</f>
        <v>2</v>
      </c>
      <c r="AK58" s="86">
        <f t="shared" si="65"/>
        <v>3</v>
      </c>
      <c r="AL58" s="86">
        <f t="shared" si="66"/>
        <v>4</v>
      </c>
      <c r="AM58" s="86">
        <f t="shared" si="66"/>
        <v>5</v>
      </c>
      <c r="AN58" s="86">
        <f t="shared" si="66"/>
        <v>6</v>
      </c>
      <c r="AO58" s="86">
        <f t="shared" si="66"/>
        <v>7</v>
      </c>
      <c r="AP58" s="86">
        <f t="shared" si="66"/>
        <v>8</v>
      </c>
      <c r="AQ58" s="86">
        <f t="shared" si="66"/>
        <v>9</v>
      </c>
      <c r="AR58" s="86">
        <f t="shared" si="66"/>
        <v>10</v>
      </c>
      <c r="AS58" s="86">
        <f t="shared" si="66"/>
        <v>11</v>
      </c>
      <c r="AT58" s="86">
        <f t="shared" si="66"/>
        <v>12</v>
      </c>
      <c r="AU58" s="86">
        <f t="shared" si="66"/>
        <v>13</v>
      </c>
      <c r="AV58" s="86">
        <f t="shared" si="66"/>
        <v>14</v>
      </c>
      <c r="AW58" s="86">
        <f t="shared" si="66"/>
        <v>15</v>
      </c>
      <c r="AX58" s="86">
        <f t="shared" si="66"/>
        <v>16</v>
      </c>
      <c r="AY58" s="86">
        <f t="shared" si="66"/>
        <v>17</v>
      </c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97"/>
      <c r="BO58" s="4"/>
      <c r="BP58" s="4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5"/>
      <c r="CT58" s="5"/>
      <c r="CU58" s="5"/>
      <c r="CV58" s="5"/>
    </row>
    <row r="59" spans="2:100" ht="15" customHeight="1" x14ac:dyDescent="0.25">
      <c r="B59" s="139">
        <v>8</v>
      </c>
      <c r="C59" s="140">
        <v>5</v>
      </c>
      <c r="D59" s="139" t="str">
        <f t="shared" si="3"/>
        <v>EMPTY_EAST_D_1_22</v>
      </c>
      <c r="E59" s="140" t="s">
        <v>0</v>
      </c>
      <c r="F59" s="142" t="s">
        <v>32</v>
      </c>
      <c r="G59" s="140" t="s">
        <v>18</v>
      </c>
      <c r="H59" s="140" t="s">
        <v>47</v>
      </c>
      <c r="I59" s="140">
        <v>1</v>
      </c>
      <c r="J59" s="139"/>
      <c r="K59" s="184">
        <f>COUNT(AI59:BZ59)</f>
        <v>34</v>
      </c>
      <c r="L59" s="139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101"/>
      <c r="AB59" s="57"/>
      <c r="AC59" s="133"/>
      <c r="AD59" s="46"/>
      <c r="AE59" s="46"/>
      <c r="AF59" s="46"/>
      <c r="AG59" s="46"/>
      <c r="AH59" s="57"/>
      <c r="AI59" s="86">
        <v>1</v>
      </c>
      <c r="AJ59" s="86">
        <f>AI59+1</f>
        <v>2</v>
      </c>
      <c r="AK59" s="86">
        <f t="shared" si="65"/>
        <v>3</v>
      </c>
      <c r="AL59" s="86">
        <f t="shared" si="66"/>
        <v>4</v>
      </c>
      <c r="AM59" s="86">
        <f t="shared" si="66"/>
        <v>5</v>
      </c>
      <c r="AN59" s="86">
        <f t="shared" si="66"/>
        <v>6</v>
      </c>
      <c r="AO59" s="86">
        <f t="shared" si="66"/>
        <v>7</v>
      </c>
      <c r="AP59" s="86">
        <f t="shared" si="66"/>
        <v>8</v>
      </c>
      <c r="AQ59" s="86">
        <f t="shared" si="66"/>
        <v>9</v>
      </c>
      <c r="AR59" s="86">
        <f t="shared" si="66"/>
        <v>10</v>
      </c>
      <c r="AS59" s="86">
        <f t="shared" si="66"/>
        <v>11</v>
      </c>
      <c r="AT59" s="86">
        <f t="shared" si="66"/>
        <v>12</v>
      </c>
      <c r="AU59" s="86">
        <f t="shared" si="66"/>
        <v>13</v>
      </c>
      <c r="AV59" s="86">
        <f t="shared" si="66"/>
        <v>14</v>
      </c>
      <c r="AW59" s="86">
        <f t="shared" si="66"/>
        <v>15</v>
      </c>
      <c r="AX59" s="86">
        <f t="shared" si="66"/>
        <v>16</v>
      </c>
      <c r="AY59" s="86">
        <f t="shared" si="66"/>
        <v>17</v>
      </c>
      <c r="AZ59" s="86">
        <f t="shared" si="66"/>
        <v>18</v>
      </c>
      <c r="BA59" s="86">
        <f t="shared" si="66"/>
        <v>19</v>
      </c>
      <c r="BB59" s="86">
        <f t="shared" ref="BB59:BP59" si="68">BA59+1</f>
        <v>20</v>
      </c>
      <c r="BC59" s="86">
        <f t="shared" si="68"/>
        <v>21</v>
      </c>
      <c r="BD59" s="86">
        <f t="shared" si="68"/>
        <v>22</v>
      </c>
      <c r="BE59" s="86">
        <f t="shared" si="68"/>
        <v>23</v>
      </c>
      <c r="BF59" s="86">
        <f t="shared" si="68"/>
        <v>24</v>
      </c>
      <c r="BG59" s="86">
        <f t="shared" si="68"/>
        <v>25</v>
      </c>
      <c r="BH59" s="86">
        <f t="shared" si="68"/>
        <v>26</v>
      </c>
      <c r="BI59" s="86">
        <f t="shared" si="68"/>
        <v>27</v>
      </c>
      <c r="BJ59" s="86">
        <f t="shared" si="68"/>
        <v>28</v>
      </c>
      <c r="BK59" s="86">
        <f t="shared" si="68"/>
        <v>29</v>
      </c>
      <c r="BL59" s="86">
        <f t="shared" si="68"/>
        <v>30</v>
      </c>
      <c r="BM59" s="86">
        <f t="shared" si="68"/>
        <v>31</v>
      </c>
      <c r="BN59" s="86">
        <f t="shared" si="68"/>
        <v>32</v>
      </c>
      <c r="BO59" s="86">
        <f t="shared" si="68"/>
        <v>33</v>
      </c>
      <c r="BP59" s="86">
        <f t="shared" si="68"/>
        <v>34</v>
      </c>
      <c r="BQ59" s="46"/>
      <c r="BR59" s="4"/>
      <c r="BS59" s="4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5"/>
      <c r="CT59" s="5"/>
      <c r="CU59" s="5"/>
      <c r="CV59" s="5"/>
    </row>
    <row r="60" spans="2:100" ht="15" customHeight="1" x14ac:dyDescent="0.25">
      <c r="B60" s="139">
        <v>8</v>
      </c>
      <c r="C60" s="140">
        <v>6</v>
      </c>
      <c r="D60" s="139" t="str">
        <f t="shared" si="3"/>
        <v>COUNTDOWN_EAST_D_1_22</v>
      </c>
      <c r="E60" s="140"/>
      <c r="F60" s="142" t="s">
        <v>33</v>
      </c>
      <c r="G60" s="140" t="s">
        <v>18</v>
      </c>
      <c r="H60" s="140" t="s">
        <v>47</v>
      </c>
      <c r="I60" s="140">
        <v>1</v>
      </c>
      <c r="J60" s="144"/>
      <c r="K60" s="144"/>
      <c r="L60" s="140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101"/>
      <c r="AB60" s="57"/>
      <c r="AC60" s="86"/>
      <c r="AD60" s="3"/>
      <c r="AE60" s="3"/>
      <c r="AF60" s="3"/>
      <c r="AG60" s="3"/>
      <c r="AH60" s="31"/>
      <c r="AI60" s="86"/>
      <c r="AJ60" s="86"/>
      <c r="AK60" s="3"/>
      <c r="AL60" s="3"/>
      <c r="AM60" s="3"/>
      <c r="AN60" s="3"/>
      <c r="AO60" s="3"/>
      <c r="AP60" s="3"/>
      <c r="AQ60" s="3"/>
      <c r="AR60" s="6"/>
      <c r="AS60" s="6"/>
      <c r="AT60" s="46"/>
      <c r="AU60" s="46"/>
      <c r="AV60" s="56"/>
      <c r="AW60" s="56"/>
      <c r="AX60" s="56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5"/>
      <c r="CT60" s="5"/>
      <c r="CU60" s="5"/>
      <c r="CV60" s="5"/>
    </row>
    <row r="61" spans="2:100" x14ac:dyDescent="0.25">
      <c r="B61" s="139">
        <v>10</v>
      </c>
      <c r="C61" s="139">
        <v>1</v>
      </c>
      <c r="D61" s="139" t="str">
        <f t="shared" si="3"/>
        <v>SORTING_EAST_K_2_22</v>
      </c>
      <c r="E61" s="139" t="s">
        <v>35</v>
      </c>
      <c r="F61" s="138" t="s">
        <v>45</v>
      </c>
      <c r="G61" s="140" t="s">
        <v>18</v>
      </c>
      <c r="H61" s="140" t="s">
        <v>12</v>
      </c>
      <c r="I61" s="140">
        <v>2</v>
      </c>
      <c r="J61" s="139"/>
      <c r="K61" s="184">
        <f>COUNT(AC61:BD61)</f>
        <v>19</v>
      </c>
      <c r="L61" s="139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101"/>
      <c r="AB61" s="57"/>
      <c r="AC61" s="86">
        <v>1</v>
      </c>
      <c r="AD61" s="3">
        <f t="shared" ref="AD61:AS65" si="69">AC61+1</f>
        <v>2</v>
      </c>
      <c r="AE61" s="3">
        <f t="shared" si="69"/>
        <v>3</v>
      </c>
      <c r="AF61" s="3">
        <f t="shared" si="69"/>
        <v>4</v>
      </c>
      <c r="AG61" s="3">
        <f t="shared" si="69"/>
        <v>5</v>
      </c>
      <c r="AH61" s="3">
        <f t="shared" si="69"/>
        <v>6</v>
      </c>
      <c r="AI61" s="3">
        <f t="shared" si="69"/>
        <v>7</v>
      </c>
      <c r="AJ61" s="3">
        <f t="shared" si="69"/>
        <v>8</v>
      </c>
      <c r="AK61" s="3">
        <f t="shared" si="69"/>
        <v>9</v>
      </c>
      <c r="AL61" s="3">
        <f t="shared" si="69"/>
        <v>10</v>
      </c>
      <c r="AM61" s="3">
        <f t="shared" si="69"/>
        <v>11</v>
      </c>
      <c r="AN61" s="3">
        <f t="shared" si="69"/>
        <v>12</v>
      </c>
      <c r="AO61" s="3">
        <f t="shared" si="69"/>
        <v>13</v>
      </c>
      <c r="AP61" s="3">
        <f t="shared" si="69"/>
        <v>14</v>
      </c>
      <c r="AQ61" s="3">
        <f t="shared" si="69"/>
        <v>15</v>
      </c>
      <c r="AR61" s="3">
        <f t="shared" si="69"/>
        <v>16</v>
      </c>
      <c r="AS61" s="3">
        <f t="shared" si="69"/>
        <v>17</v>
      </c>
      <c r="AT61" s="3">
        <f t="shared" ref="AL61:BA65" si="70">AS61+1</f>
        <v>18</v>
      </c>
      <c r="AU61" s="3">
        <f t="shared" si="70"/>
        <v>19</v>
      </c>
      <c r="AV61" s="4"/>
      <c r="AW61" s="4"/>
      <c r="AX61" s="4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5"/>
      <c r="CT61" s="5"/>
      <c r="CU61" s="5"/>
      <c r="CV61" s="5"/>
    </row>
    <row r="62" spans="2:100" ht="15" customHeight="1" x14ac:dyDescent="0.25">
      <c r="B62" s="139">
        <v>10</v>
      </c>
      <c r="C62" s="139">
        <v>2</v>
      </c>
      <c r="D62" s="139" t="str">
        <f t="shared" si="3"/>
        <v>TRANSFER_EAST_K_2_22</v>
      </c>
      <c r="E62" s="139" t="s">
        <v>21</v>
      </c>
      <c r="F62" s="138" t="s">
        <v>21</v>
      </c>
      <c r="G62" s="140" t="s">
        <v>18</v>
      </c>
      <c r="H62" s="140" t="s">
        <v>12</v>
      </c>
      <c r="I62" s="140">
        <v>2</v>
      </c>
      <c r="J62" s="139"/>
      <c r="K62" s="184">
        <f>COUNT(AC62:BD62)</f>
        <v>22</v>
      </c>
      <c r="L62" s="139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101"/>
      <c r="AB62" s="57"/>
      <c r="AC62" s="86">
        <v>1</v>
      </c>
      <c r="AD62" s="3">
        <f t="shared" si="69"/>
        <v>2</v>
      </c>
      <c r="AE62" s="3">
        <f t="shared" si="69"/>
        <v>3</v>
      </c>
      <c r="AF62" s="3">
        <f t="shared" si="69"/>
        <v>4</v>
      </c>
      <c r="AG62" s="3">
        <f t="shared" si="69"/>
        <v>5</v>
      </c>
      <c r="AH62" s="3">
        <f t="shared" si="69"/>
        <v>6</v>
      </c>
      <c r="AI62" s="3">
        <f t="shared" si="69"/>
        <v>7</v>
      </c>
      <c r="AJ62" s="3">
        <f t="shared" si="69"/>
        <v>8</v>
      </c>
      <c r="AK62" s="3">
        <f t="shared" si="69"/>
        <v>9</v>
      </c>
      <c r="AL62" s="3">
        <f t="shared" si="69"/>
        <v>10</v>
      </c>
      <c r="AM62" s="3">
        <f t="shared" si="69"/>
        <v>11</v>
      </c>
      <c r="AN62" s="3">
        <f t="shared" si="69"/>
        <v>12</v>
      </c>
      <c r="AO62" s="3">
        <f t="shared" si="69"/>
        <v>13</v>
      </c>
      <c r="AP62" s="3">
        <f t="shared" si="69"/>
        <v>14</v>
      </c>
      <c r="AQ62" s="3">
        <f t="shared" si="69"/>
        <v>15</v>
      </c>
      <c r="AR62" s="3">
        <f t="shared" si="69"/>
        <v>16</v>
      </c>
      <c r="AS62" s="3">
        <f t="shared" si="69"/>
        <v>17</v>
      </c>
      <c r="AT62" s="3">
        <f t="shared" si="70"/>
        <v>18</v>
      </c>
      <c r="AU62" s="3">
        <f t="shared" si="70"/>
        <v>19</v>
      </c>
      <c r="AV62" s="3">
        <f t="shared" si="70"/>
        <v>20</v>
      </c>
      <c r="AW62" s="3">
        <f t="shared" si="70"/>
        <v>21</v>
      </c>
      <c r="AX62" s="3">
        <f t="shared" si="70"/>
        <v>22</v>
      </c>
      <c r="AY62" s="4"/>
      <c r="AZ62" s="4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5"/>
      <c r="CT62" s="5"/>
      <c r="CU62" s="5"/>
      <c r="CV62" s="5"/>
    </row>
    <row r="63" spans="2:100" ht="15" customHeight="1" x14ac:dyDescent="0.25">
      <c r="B63" s="139">
        <v>10</v>
      </c>
      <c r="C63" s="139">
        <v>3</v>
      </c>
      <c r="D63" s="139" t="str">
        <f t="shared" si="3"/>
        <v>PREPARE_EAST_K_2_22</v>
      </c>
      <c r="E63" s="139" t="s">
        <v>0</v>
      </c>
      <c r="F63" s="138" t="s">
        <v>46</v>
      </c>
      <c r="G63" s="140" t="s">
        <v>18</v>
      </c>
      <c r="H63" s="140" t="s">
        <v>12</v>
      </c>
      <c r="I63" s="140">
        <v>2</v>
      </c>
      <c r="J63" s="141"/>
      <c r="K63" s="184">
        <f>COUNT(M63:BD63)</f>
        <v>40</v>
      </c>
      <c r="L63" s="139"/>
      <c r="M63" s="3">
        <v>1</v>
      </c>
      <c r="N63" s="3">
        <f>M63+1</f>
        <v>2</v>
      </c>
      <c r="O63" s="3">
        <f t="shared" ref="O63:AC63" si="71">N63+1</f>
        <v>3</v>
      </c>
      <c r="P63" s="3">
        <f t="shared" si="71"/>
        <v>4</v>
      </c>
      <c r="Q63" s="3">
        <f t="shared" si="71"/>
        <v>5</v>
      </c>
      <c r="R63" s="3">
        <f t="shared" si="71"/>
        <v>6</v>
      </c>
      <c r="S63" s="3">
        <f t="shared" si="71"/>
        <v>7</v>
      </c>
      <c r="T63" s="3">
        <f t="shared" si="71"/>
        <v>8</v>
      </c>
      <c r="U63" s="3">
        <f t="shared" si="71"/>
        <v>9</v>
      </c>
      <c r="V63" s="3">
        <f t="shared" si="71"/>
        <v>10</v>
      </c>
      <c r="W63" s="3">
        <f t="shared" si="71"/>
        <v>11</v>
      </c>
      <c r="X63" s="3">
        <f t="shared" si="71"/>
        <v>12</v>
      </c>
      <c r="Y63" s="3">
        <f t="shared" si="71"/>
        <v>13</v>
      </c>
      <c r="Z63" s="3">
        <f t="shared" si="71"/>
        <v>14</v>
      </c>
      <c r="AA63" s="3">
        <f t="shared" si="71"/>
        <v>15</v>
      </c>
      <c r="AB63" s="3">
        <f t="shared" si="71"/>
        <v>16</v>
      </c>
      <c r="AC63" s="3">
        <f t="shared" si="71"/>
        <v>17</v>
      </c>
      <c r="AD63" s="3">
        <f t="shared" si="69"/>
        <v>18</v>
      </c>
      <c r="AE63" s="3">
        <f t="shared" si="69"/>
        <v>19</v>
      </c>
      <c r="AF63" s="3">
        <f t="shared" si="69"/>
        <v>20</v>
      </c>
      <c r="AG63" s="3">
        <f t="shared" si="69"/>
        <v>21</v>
      </c>
      <c r="AH63" s="3">
        <f t="shared" si="69"/>
        <v>22</v>
      </c>
      <c r="AI63" s="3">
        <f t="shared" si="69"/>
        <v>23</v>
      </c>
      <c r="AJ63" s="3">
        <f t="shared" si="69"/>
        <v>24</v>
      </c>
      <c r="AK63" s="3">
        <f t="shared" si="69"/>
        <v>25</v>
      </c>
      <c r="AL63" s="3">
        <f t="shared" si="69"/>
        <v>26</v>
      </c>
      <c r="AM63" s="3">
        <f t="shared" si="69"/>
        <v>27</v>
      </c>
      <c r="AN63" s="3">
        <f t="shared" si="69"/>
        <v>28</v>
      </c>
      <c r="AO63" s="3">
        <f t="shared" si="69"/>
        <v>29</v>
      </c>
      <c r="AP63" s="3">
        <f t="shared" si="69"/>
        <v>30</v>
      </c>
      <c r="AQ63" s="3">
        <f t="shared" si="69"/>
        <v>31</v>
      </c>
      <c r="AR63" s="3">
        <f t="shared" si="69"/>
        <v>32</v>
      </c>
      <c r="AS63" s="3">
        <f t="shared" si="69"/>
        <v>33</v>
      </c>
      <c r="AT63" s="3">
        <f t="shared" si="70"/>
        <v>34</v>
      </c>
      <c r="AU63" s="3">
        <f t="shared" si="70"/>
        <v>35</v>
      </c>
      <c r="AV63" s="3">
        <f t="shared" si="70"/>
        <v>36</v>
      </c>
      <c r="AW63" s="3">
        <f t="shared" si="70"/>
        <v>37</v>
      </c>
      <c r="AX63" s="3">
        <f t="shared" si="70"/>
        <v>38</v>
      </c>
      <c r="AY63" s="3">
        <f t="shared" si="70"/>
        <v>39</v>
      </c>
      <c r="AZ63" s="3">
        <f t="shared" si="70"/>
        <v>40</v>
      </c>
      <c r="BA63" s="4"/>
      <c r="BB63" s="4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5"/>
      <c r="CT63" s="5"/>
      <c r="CU63" s="5"/>
      <c r="CV63" s="5"/>
    </row>
    <row r="64" spans="2:100" ht="15" customHeight="1" x14ac:dyDescent="0.25">
      <c r="B64" s="139">
        <v>10</v>
      </c>
      <c r="C64" s="139">
        <v>4</v>
      </c>
      <c r="D64" s="139" t="str">
        <f t="shared" si="3"/>
        <v>SUPPLY_EAST_K_2_22</v>
      </c>
      <c r="E64" s="139" t="s">
        <v>0</v>
      </c>
      <c r="F64" s="142" t="s">
        <v>0</v>
      </c>
      <c r="G64" s="140" t="s">
        <v>18</v>
      </c>
      <c r="H64" s="140" t="s">
        <v>12</v>
      </c>
      <c r="I64" s="140">
        <v>2</v>
      </c>
      <c r="J64" s="143"/>
      <c r="K64" s="184">
        <f>COUNT(AI64:BZ64)</f>
        <v>20</v>
      </c>
      <c r="L64" s="140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101"/>
      <c r="AB64" s="57"/>
      <c r="AC64" s="133"/>
      <c r="AD64" s="46"/>
      <c r="AE64" s="46"/>
      <c r="AF64" s="46"/>
      <c r="AG64" s="46"/>
      <c r="AH64" s="57"/>
      <c r="AI64" s="86">
        <v>1</v>
      </c>
      <c r="AJ64" s="86">
        <f>AI64+1</f>
        <v>2</v>
      </c>
      <c r="AK64" s="86">
        <f t="shared" si="69"/>
        <v>3</v>
      </c>
      <c r="AL64" s="86">
        <f t="shared" si="70"/>
        <v>4</v>
      </c>
      <c r="AM64" s="86">
        <f t="shared" si="70"/>
        <v>5</v>
      </c>
      <c r="AN64" s="86">
        <f t="shared" si="70"/>
        <v>6</v>
      </c>
      <c r="AO64" s="86">
        <f t="shared" si="70"/>
        <v>7</v>
      </c>
      <c r="AP64" s="86">
        <f t="shared" si="70"/>
        <v>8</v>
      </c>
      <c r="AQ64" s="86">
        <f t="shared" si="70"/>
        <v>9</v>
      </c>
      <c r="AR64" s="86">
        <f t="shared" si="70"/>
        <v>10</v>
      </c>
      <c r="AS64" s="86">
        <f t="shared" si="70"/>
        <v>11</v>
      </c>
      <c r="AT64" s="86">
        <f t="shared" si="70"/>
        <v>12</v>
      </c>
      <c r="AU64" s="86">
        <f t="shared" si="70"/>
        <v>13</v>
      </c>
      <c r="AV64" s="86">
        <f t="shared" si="70"/>
        <v>14</v>
      </c>
      <c r="AW64" s="86">
        <f t="shared" si="70"/>
        <v>15</v>
      </c>
      <c r="AX64" s="86">
        <f t="shared" si="70"/>
        <v>16</v>
      </c>
      <c r="AY64" s="86">
        <f t="shared" si="70"/>
        <v>17</v>
      </c>
      <c r="AZ64" s="86">
        <f t="shared" si="70"/>
        <v>18</v>
      </c>
      <c r="BA64" s="86">
        <f t="shared" si="70"/>
        <v>19</v>
      </c>
      <c r="BB64" s="86">
        <f t="shared" ref="BB64:BQ65" si="72">BA64+1</f>
        <v>20</v>
      </c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97"/>
      <c r="BS64" s="4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5"/>
      <c r="CT64" s="5"/>
      <c r="CU64" s="5"/>
      <c r="CV64" s="5"/>
    </row>
    <row r="65" spans="1:100" ht="15" customHeight="1" x14ac:dyDescent="0.25">
      <c r="B65" s="139">
        <v>10</v>
      </c>
      <c r="C65" s="140">
        <v>5</v>
      </c>
      <c r="D65" s="139" t="str">
        <f t="shared" si="3"/>
        <v>EMPTY_EAST_K_2_22</v>
      </c>
      <c r="E65" s="140" t="s">
        <v>0</v>
      </c>
      <c r="F65" s="142" t="s">
        <v>32</v>
      </c>
      <c r="G65" s="140" t="s">
        <v>18</v>
      </c>
      <c r="H65" s="140" t="s">
        <v>12</v>
      </c>
      <c r="I65" s="140">
        <v>2</v>
      </c>
      <c r="J65" s="139"/>
      <c r="K65" s="184">
        <f>COUNT(AI65:BZ65)</f>
        <v>37</v>
      </c>
      <c r="L65" s="139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101"/>
      <c r="AB65" s="57"/>
      <c r="AC65" s="133"/>
      <c r="AD65" s="46"/>
      <c r="AE65" s="46"/>
      <c r="AF65" s="46"/>
      <c r="AG65" s="46"/>
      <c r="AH65" s="57"/>
      <c r="AI65" s="86">
        <v>1</v>
      </c>
      <c r="AJ65" s="86">
        <f>AI65+1</f>
        <v>2</v>
      </c>
      <c r="AK65" s="86">
        <f t="shared" si="69"/>
        <v>3</v>
      </c>
      <c r="AL65" s="86">
        <f t="shared" si="70"/>
        <v>4</v>
      </c>
      <c r="AM65" s="86">
        <f t="shared" si="70"/>
        <v>5</v>
      </c>
      <c r="AN65" s="86">
        <f t="shared" si="70"/>
        <v>6</v>
      </c>
      <c r="AO65" s="86">
        <f t="shared" si="70"/>
        <v>7</v>
      </c>
      <c r="AP65" s="86">
        <f t="shared" si="70"/>
        <v>8</v>
      </c>
      <c r="AQ65" s="86">
        <f t="shared" si="70"/>
        <v>9</v>
      </c>
      <c r="AR65" s="86">
        <f t="shared" si="70"/>
        <v>10</v>
      </c>
      <c r="AS65" s="86">
        <f t="shared" si="70"/>
        <v>11</v>
      </c>
      <c r="AT65" s="86">
        <f t="shared" si="70"/>
        <v>12</v>
      </c>
      <c r="AU65" s="86">
        <f t="shared" si="70"/>
        <v>13</v>
      </c>
      <c r="AV65" s="86">
        <f t="shared" si="70"/>
        <v>14</v>
      </c>
      <c r="AW65" s="86">
        <f t="shared" si="70"/>
        <v>15</v>
      </c>
      <c r="AX65" s="86">
        <f t="shared" si="70"/>
        <v>16</v>
      </c>
      <c r="AY65" s="86">
        <f t="shared" si="70"/>
        <v>17</v>
      </c>
      <c r="AZ65" s="86">
        <f t="shared" si="70"/>
        <v>18</v>
      </c>
      <c r="BA65" s="86">
        <f t="shared" si="70"/>
        <v>19</v>
      </c>
      <c r="BB65" s="86">
        <f t="shared" si="72"/>
        <v>20</v>
      </c>
      <c r="BC65" s="86">
        <f t="shared" si="72"/>
        <v>21</v>
      </c>
      <c r="BD65" s="86">
        <f t="shared" si="72"/>
        <v>22</v>
      </c>
      <c r="BE65" s="86">
        <f t="shared" si="72"/>
        <v>23</v>
      </c>
      <c r="BF65" s="86">
        <f t="shared" si="72"/>
        <v>24</v>
      </c>
      <c r="BG65" s="86">
        <f t="shared" si="72"/>
        <v>25</v>
      </c>
      <c r="BH65" s="86">
        <f t="shared" si="72"/>
        <v>26</v>
      </c>
      <c r="BI65" s="86">
        <f t="shared" si="72"/>
        <v>27</v>
      </c>
      <c r="BJ65" s="86">
        <f t="shared" si="72"/>
        <v>28</v>
      </c>
      <c r="BK65" s="86">
        <f t="shared" si="72"/>
        <v>29</v>
      </c>
      <c r="BL65" s="86">
        <f t="shared" si="72"/>
        <v>30</v>
      </c>
      <c r="BM65" s="86">
        <f t="shared" si="72"/>
        <v>31</v>
      </c>
      <c r="BN65" s="86">
        <f t="shared" si="72"/>
        <v>32</v>
      </c>
      <c r="BO65" s="86">
        <f t="shared" si="72"/>
        <v>33</v>
      </c>
      <c r="BP65" s="86">
        <f t="shared" si="72"/>
        <v>34</v>
      </c>
      <c r="BQ65" s="86">
        <f t="shared" si="72"/>
        <v>35</v>
      </c>
      <c r="BR65" s="86">
        <f t="shared" ref="BR65:BS65" si="73">BQ65+1</f>
        <v>36</v>
      </c>
      <c r="BS65" s="86">
        <f t="shared" si="73"/>
        <v>37</v>
      </c>
      <c r="BT65" s="46"/>
      <c r="BU65" s="4"/>
      <c r="BV65" s="4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5"/>
      <c r="CT65" s="5"/>
      <c r="CU65" s="5"/>
      <c r="CV65" s="5"/>
    </row>
    <row r="66" spans="1:100" ht="15.75" customHeight="1" thickBot="1" x14ac:dyDescent="0.3">
      <c r="B66" s="139">
        <v>10</v>
      </c>
      <c r="C66" s="140">
        <v>6</v>
      </c>
      <c r="D66" s="139" t="str">
        <f t="shared" si="3"/>
        <v>COUNTDOWN_EAST_K_2_22</v>
      </c>
      <c r="E66" s="140"/>
      <c r="F66" s="142" t="s">
        <v>33</v>
      </c>
      <c r="G66" s="140" t="s">
        <v>18</v>
      </c>
      <c r="H66" s="140" t="s">
        <v>12</v>
      </c>
      <c r="I66" s="140">
        <v>2</v>
      </c>
      <c r="J66" s="144"/>
      <c r="K66" s="144"/>
      <c r="L66" s="140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101"/>
      <c r="AB66" s="57"/>
      <c r="AC66" s="171"/>
      <c r="AD66" s="74"/>
      <c r="AE66" s="74"/>
      <c r="AF66" s="74"/>
      <c r="AG66" s="194"/>
      <c r="AH66" s="75"/>
      <c r="AI66" s="86"/>
      <c r="AJ66" s="86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6"/>
      <c r="AW66" s="6"/>
      <c r="AX66" s="6"/>
      <c r="AY66" s="46"/>
      <c r="AZ66" s="46"/>
      <c r="BA66" s="56"/>
      <c r="BB66" s="56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5"/>
      <c r="CT66" s="5"/>
      <c r="CU66" s="5"/>
      <c r="CV66" s="5"/>
    </row>
    <row r="67" spans="1:100" ht="15" customHeight="1" x14ac:dyDescent="0.25">
      <c r="B67" s="139">
        <v>11</v>
      </c>
      <c r="C67" s="139">
        <v>1</v>
      </c>
      <c r="D67" s="139" t="str">
        <f t="shared" si="3"/>
        <v>SORTING_WEST_H_1_22</v>
      </c>
      <c r="E67" s="139" t="s">
        <v>35</v>
      </c>
      <c r="F67" s="138" t="s">
        <v>45</v>
      </c>
      <c r="G67" s="140" t="s">
        <v>19</v>
      </c>
      <c r="H67" s="140" t="s">
        <v>9</v>
      </c>
      <c r="I67" s="140">
        <v>1</v>
      </c>
      <c r="J67" s="139"/>
      <c r="K67" s="184">
        <f>COUNT(AC67:BD67)</f>
        <v>0</v>
      </c>
      <c r="L67" s="139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193"/>
      <c r="AC67" s="11"/>
      <c r="AD67" s="12"/>
      <c r="AE67" s="176"/>
      <c r="AF67" s="176"/>
      <c r="AG67" s="3"/>
      <c r="AH67" s="177"/>
      <c r="AI67" s="86"/>
      <c r="AJ67" s="86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5"/>
      <c r="CT67" s="5"/>
      <c r="CU67" s="5"/>
      <c r="CV67" s="5"/>
    </row>
    <row r="68" spans="1:100" ht="15" customHeight="1" x14ac:dyDescent="0.25">
      <c r="B68" s="139">
        <v>11</v>
      </c>
      <c r="C68" s="139">
        <v>2</v>
      </c>
      <c r="D68" s="139" t="str">
        <f t="shared" si="3"/>
        <v>TRANSFER_WEST_H_1_22</v>
      </c>
      <c r="E68" s="139" t="s">
        <v>21</v>
      </c>
      <c r="F68" s="138" t="s">
        <v>21</v>
      </c>
      <c r="G68" s="140" t="s">
        <v>19</v>
      </c>
      <c r="H68" s="140" t="s">
        <v>9</v>
      </c>
      <c r="I68" s="140">
        <v>1</v>
      </c>
      <c r="J68" s="139"/>
      <c r="K68" s="184">
        <f>COUNT(AC68:BD68)</f>
        <v>2</v>
      </c>
      <c r="L68" s="139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101"/>
      <c r="AC68" s="8">
        <v>1</v>
      </c>
      <c r="AD68" s="3">
        <f>AC68+1</f>
        <v>2</v>
      </c>
      <c r="AE68" s="4"/>
      <c r="AF68" s="4"/>
      <c r="AG68" s="4"/>
      <c r="AH68" s="31"/>
      <c r="AI68" s="86"/>
      <c r="AJ68" s="86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5"/>
      <c r="CT68" s="5"/>
      <c r="CU68" s="5"/>
      <c r="CV68" s="5"/>
    </row>
    <row r="69" spans="1:100" ht="15" customHeight="1" x14ac:dyDescent="0.25">
      <c r="B69" s="139">
        <v>11</v>
      </c>
      <c r="C69" s="139">
        <v>3</v>
      </c>
      <c r="D69" s="139" t="str">
        <f t="shared" si="3"/>
        <v>PREPARE_WEST_H_1_22</v>
      </c>
      <c r="E69" s="139" t="s">
        <v>0</v>
      </c>
      <c r="F69" s="138" t="s">
        <v>46</v>
      </c>
      <c r="G69" s="140" t="s">
        <v>19</v>
      </c>
      <c r="H69" s="140" t="s">
        <v>9</v>
      </c>
      <c r="I69" s="140">
        <v>1</v>
      </c>
      <c r="J69" s="141"/>
      <c r="K69" s="184">
        <f>COUNT(M69:BD69)</f>
        <v>21</v>
      </c>
      <c r="L69" s="139"/>
      <c r="M69" s="3">
        <v>1</v>
      </c>
      <c r="N69" s="3">
        <f>M69+1</f>
        <v>2</v>
      </c>
      <c r="O69" s="3">
        <f t="shared" ref="O69:AG69" si="74">N69+1</f>
        <v>3</v>
      </c>
      <c r="P69" s="3">
        <f t="shared" si="74"/>
        <v>4</v>
      </c>
      <c r="Q69" s="3">
        <f t="shared" si="74"/>
        <v>5</v>
      </c>
      <c r="R69" s="3">
        <f t="shared" si="74"/>
        <v>6</v>
      </c>
      <c r="S69" s="3">
        <f t="shared" si="74"/>
        <v>7</v>
      </c>
      <c r="T69" s="3">
        <f t="shared" si="74"/>
        <v>8</v>
      </c>
      <c r="U69" s="3">
        <f t="shared" si="74"/>
        <v>9</v>
      </c>
      <c r="V69" s="3">
        <f t="shared" si="74"/>
        <v>10</v>
      </c>
      <c r="W69" s="3">
        <f t="shared" si="74"/>
        <v>11</v>
      </c>
      <c r="X69" s="3">
        <f t="shared" si="74"/>
        <v>12</v>
      </c>
      <c r="Y69" s="3">
        <f t="shared" si="74"/>
        <v>13</v>
      </c>
      <c r="Z69" s="3">
        <f t="shared" si="74"/>
        <v>14</v>
      </c>
      <c r="AA69" s="3">
        <f t="shared" si="74"/>
        <v>15</v>
      </c>
      <c r="AB69" s="3">
        <f t="shared" si="74"/>
        <v>16</v>
      </c>
      <c r="AC69" s="3">
        <f t="shared" si="74"/>
        <v>17</v>
      </c>
      <c r="AD69" s="3">
        <f t="shared" si="74"/>
        <v>18</v>
      </c>
      <c r="AE69" s="3">
        <f t="shared" si="74"/>
        <v>19</v>
      </c>
      <c r="AF69" s="3">
        <f t="shared" si="74"/>
        <v>20</v>
      </c>
      <c r="AG69" s="3">
        <f t="shared" si="74"/>
        <v>21</v>
      </c>
      <c r="AH69" s="21"/>
      <c r="AI69" s="86"/>
      <c r="AJ69" s="86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5"/>
      <c r="CT69" s="5"/>
      <c r="CU69" s="5"/>
      <c r="CV69" s="5"/>
    </row>
    <row r="70" spans="1:100" ht="15" customHeight="1" x14ac:dyDescent="0.25">
      <c r="B70" s="139">
        <v>11</v>
      </c>
      <c r="C70" s="139">
        <v>4</v>
      </c>
      <c r="D70" s="139" t="str">
        <f t="shared" si="3"/>
        <v>SUPPLY_WEST_H_1_22</v>
      </c>
      <c r="E70" s="139" t="s">
        <v>0</v>
      </c>
      <c r="F70" s="142" t="s">
        <v>0</v>
      </c>
      <c r="G70" s="140" t="s">
        <v>19</v>
      </c>
      <c r="H70" s="140" t="s">
        <v>9</v>
      </c>
      <c r="I70" s="140">
        <v>1</v>
      </c>
      <c r="J70" s="143"/>
      <c r="K70" s="184">
        <f>COUNT(AI70:BZ70)</f>
        <v>0</v>
      </c>
      <c r="L70" s="140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101"/>
      <c r="AC70" s="42"/>
      <c r="AD70" s="46"/>
      <c r="AE70" s="46"/>
      <c r="AF70" s="46"/>
      <c r="AG70" s="46"/>
      <c r="AH70" s="57"/>
      <c r="AI70" s="93"/>
      <c r="AJ70" s="93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97"/>
      <c r="AY70" s="4"/>
      <c r="AZ70" s="4"/>
      <c r="BA70" s="4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5"/>
      <c r="CT70" s="5"/>
      <c r="CU70" s="5"/>
      <c r="CV70" s="5"/>
    </row>
    <row r="71" spans="1:100" ht="15" customHeight="1" x14ac:dyDescent="0.25">
      <c r="B71" s="139">
        <v>11</v>
      </c>
      <c r="C71" s="140">
        <v>5</v>
      </c>
      <c r="D71" s="139" t="str">
        <f t="shared" si="3"/>
        <v>EMPTY_WEST_H_1_22</v>
      </c>
      <c r="E71" s="140" t="s">
        <v>0</v>
      </c>
      <c r="F71" s="142" t="s">
        <v>32</v>
      </c>
      <c r="G71" s="140" t="s">
        <v>19</v>
      </c>
      <c r="H71" s="140" t="s">
        <v>9</v>
      </c>
      <c r="I71" s="140">
        <v>1</v>
      </c>
      <c r="J71" s="139"/>
      <c r="K71" s="184">
        <f>COUNT(AI71:BZ71)</f>
        <v>19</v>
      </c>
      <c r="L71" s="139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101"/>
      <c r="AC71" s="42"/>
      <c r="AD71" s="46"/>
      <c r="AE71" s="46"/>
      <c r="AF71" s="46"/>
      <c r="AG71" s="46"/>
      <c r="AH71" s="57"/>
      <c r="AI71" s="86">
        <v>1</v>
      </c>
      <c r="AJ71" s="86">
        <f>AI71+1</f>
        <v>2</v>
      </c>
      <c r="AK71" s="86">
        <f t="shared" ref="AK71:BA71" si="75">AJ71+1</f>
        <v>3</v>
      </c>
      <c r="AL71" s="86">
        <f t="shared" si="75"/>
        <v>4</v>
      </c>
      <c r="AM71" s="86">
        <f t="shared" si="75"/>
        <v>5</v>
      </c>
      <c r="AN71" s="86">
        <f t="shared" si="75"/>
        <v>6</v>
      </c>
      <c r="AO71" s="86">
        <f t="shared" si="75"/>
        <v>7</v>
      </c>
      <c r="AP71" s="86">
        <f t="shared" si="75"/>
        <v>8</v>
      </c>
      <c r="AQ71" s="86">
        <f t="shared" si="75"/>
        <v>9</v>
      </c>
      <c r="AR71" s="86">
        <f t="shared" si="75"/>
        <v>10</v>
      </c>
      <c r="AS71" s="86">
        <f t="shared" si="75"/>
        <v>11</v>
      </c>
      <c r="AT71" s="86">
        <f t="shared" si="75"/>
        <v>12</v>
      </c>
      <c r="AU71" s="86">
        <f t="shared" si="75"/>
        <v>13</v>
      </c>
      <c r="AV71" s="86">
        <f t="shared" si="75"/>
        <v>14</v>
      </c>
      <c r="AW71" s="86">
        <f t="shared" si="75"/>
        <v>15</v>
      </c>
      <c r="AX71" s="86">
        <f t="shared" si="75"/>
        <v>16</v>
      </c>
      <c r="AY71" s="86">
        <f t="shared" si="75"/>
        <v>17</v>
      </c>
      <c r="AZ71" s="86">
        <f t="shared" si="75"/>
        <v>18</v>
      </c>
      <c r="BA71" s="86">
        <f t="shared" si="75"/>
        <v>19</v>
      </c>
      <c r="BB71" s="46"/>
      <c r="BC71" s="4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5"/>
      <c r="CT71" s="5"/>
      <c r="CU71" s="5"/>
      <c r="CV71" s="5"/>
    </row>
    <row r="72" spans="1:100" ht="15" customHeight="1" x14ac:dyDescent="0.25">
      <c r="B72" s="139">
        <v>11</v>
      </c>
      <c r="C72" s="140">
        <v>6</v>
      </c>
      <c r="D72" s="139" t="str">
        <f t="shared" si="3"/>
        <v>COUNTDOWN_WEST_H_1_22</v>
      </c>
      <c r="E72" s="140"/>
      <c r="F72" s="142" t="s">
        <v>33</v>
      </c>
      <c r="G72" s="140" t="s">
        <v>19</v>
      </c>
      <c r="H72" s="140" t="s">
        <v>9</v>
      </c>
      <c r="I72" s="140">
        <v>1</v>
      </c>
      <c r="J72" s="144"/>
      <c r="K72" s="144"/>
      <c r="L72" s="140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101"/>
      <c r="AC72" s="29"/>
      <c r="AD72" s="6"/>
      <c r="AE72" s="46"/>
      <c r="AF72" s="46"/>
      <c r="AG72" s="220"/>
      <c r="AH72" s="59"/>
      <c r="AI72" s="86"/>
      <c r="AJ72" s="86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5"/>
      <c r="CT72" s="5"/>
      <c r="CU72" s="5"/>
      <c r="CV72" s="5"/>
    </row>
    <row r="73" spans="1:100" ht="15" customHeight="1" x14ac:dyDescent="0.25">
      <c r="B73" s="139">
        <v>12</v>
      </c>
      <c r="C73" s="139">
        <v>1</v>
      </c>
      <c r="D73" s="139" t="str">
        <f t="shared" si="3"/>
        <v>SORTING_WEST_P_2_22</v>
      </c>
      <c r="E73" s="139" t="s">
        <v>35</v>
      </c>
      <c r="F73" s="138" t="s">
        <v>45</v>
      </c>
      <c r="G73" s="140" t="s">
        <v>19</v>
      </c>
      <c r="H73" s="140" t="s">
        <v>41</v>
      </c>
      <c r="I73" s="140">
        <v>2</v>
      </c>
      <c r="J73" s="139"/>
      <c r="K73" s="184">
        <f>COUNT(AC73:BD73)</f>
        <v>2</v>
      </c>
      <c r="L73" s="139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101"/>
      <c r="AC73" s="8">
        <v>1</v>
      </c>
      <c r="AD73" s="3">
        <f>AC73+1</f>
        <v>2</v>
      </c>
      <c r="AE73" s="4"/>
      <c r="AF73" s="4"/>
      <c r="AG73" s="4"/>
      <c r="AH73" s="31"/>
      <c r="AI73" s="86"/>
      <c r="AJ73" s="86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5"/>
      <c r="CT73" s="5"/>
      <c r="CU73" s="5"/>
      <c r="CV73" s="5"/>
    </row>
    <row r="74" spans="1:100" ht="15" customHeight="1" x14ac:dyDescent="0.25">
      <c r="B74" s="139">
        <v>12</v>
      </c>
      <c r="C74" s="139">
        <v>2</v>
      </c>
      <c r="D74" s="139" t="str">
        <f t="shared" si="3"/>
        <v>TRANSFER_WEST_P_2_22</v>
      </c>
      <c r="E74" s="139" t="s">
        <v>21</v>
      </c>
      <c r="F74" s="138" t="s">
        <v>21</v>
      </c>
      <c r="G74" s="140" t="s">
        <v>19</v>
      </c>
      <c r="H74" s="140" t="s">
        <v>41</v>
      </c>
      <c r="I74" s="140">
        <v>2</v>
      </c>
      <c r="J74" s="139"/>
      <c r="K74" s="184">
        <f>COUNT(AC74:BD74)</f>
        <v>5</v>
      </c>
      <c r="L74" s="139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101"/>
      <c r="AC74" s="8">
        <v>1</v>
      </c>
      <c r="AD74" s="3">
        <f>AC74+1</f>
        <v>2</v>
      </c>
      <c r="AE74" s="3">
        <f t="shared" ref="AE74:AH75" si="76">AD74+1</f>
        <v>3</v>
      </c>
      <c r="AF74" s="3">
        <f t="shared" si="76"/>
        <v>4</v>
      </c>
      <c r="AG74" s="3">
        <f t="shared" si="76"/>
        <v>5</v>
      </c>
      <c r="AH74" s="21"/>
      <c r="AI74" s="4"/>
      <c r="AJ74" s="4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5"/>
      <c r="CT74" s="5"/>
      <c r="CU74" s="5"/>
      <c r="CV74" s="5"/>
    </row>
    <row r="75" spans="1:100" ht="15" customHeight="1" x14ac:dyDescent="0.25">
      <c r="B75" s="139">
        <v>12</v>
      </c>
      <c r="C75" s="139">
        <v>3</v>
      </c>
      <c r="D75" s="139" t="str">
        <f t="shared" si="3"/>
        <v>PREPARE_WEST_P_2_22</v>
      </c>
      <c r="E75" s="139" t="s">
        <v>0</v>
      </c>
      <c r="F75" s="138" t="s">
        <v>46</v>
      </c>
      <c r="G75" s="140" t="s">
        <v>19</v>
      </c>
      <c r="H75" s="140" t="s">
        <v>41</v>
      </c>
      <c r="I75" s="140">
        <v>2</v>
      </c>
      <c r="J75" s="141"/>
      <c r="K75" s="184">
        <f>COUNT(M75:BD75)</f>
        <v>24</v>
      </c>
      <c r="L75" s="139"/>
      <c r="M75" s="3">
        <v>1</v>
      </c>
      <c r="N75" s="3">
        <f>M75+1</f>
        <v>2</v>
      </c>
      <c r="O75" s="3">
        <f t="shared" ref="O75:AD75" si="77">N75+1</f>
        <v>3</v>
      </c>
      <c r="P75" s="3">
        <f t="shared" si="77"/>
        <v>4</v>
      </c>
      <c r="Q75" s="3">
        <f t="shared" si="77"/>
        <v>5</v>
      </c>
      <c r="R75" s="3">
        <f t="shared" si="77"/>
        <v>6</v>
      </c>
      <c r="S75" s="3">
        <f t="shared" si="77"/>
        <v>7</v>
      </c>
      <c r="T75" s="3">
        <f t="shared" si="77"/>
        <v>8</v>
      </c>
      <c r="U75" s="3">
        <f t="shared" si="77"/>
        <v>9</v>
      </c>
      <c r="V75" s="3">
        <f t="shared" si="77"/>
        <v>10</v>
      </c>
      <c r="W75" s="3">
        <f t="shared" si="77"/>
        <v>11</v>
      </c>
      <c r="X75" s="3">
        <f t="shared" si="77"/>
        <v>12</v>
      </c>
      <c r="Y75" s="3">
        <f t="shared" si="77"/>
        <v>13</v>
      </c>
      <c r="Z75" s="3">
        <f t="shared" si="77"/>
        <v>14</v>
      </c>
      <c r="AA75" s="3">
        <f t="shared" si="77"/>
        <v>15</v>
      </c>
      <c r="AB75" s="3">
        <f t="shared" si="77"/>
        <v>16</v>
      </c>
      <c r="AC75" s="3">
        <f t="shared" si="77"/>
        <v>17</v>
      </c>
      <c r="AD75" s="3">
        <f t="shared" si="77"/>
        <v>18</v>
      </c>
      <c r="AE75" s="3">
        <f t="shared" si="76"/>
        <v>19</v>
      </c>
      <c r="AF75" s="3">
        <f t="shared" si="76"/>
        <v>20</v>
      </c>
      <c r="AG75" s="3">
        <f t="shared" si="76"/>
        <v>21</v>
      </c>
      <c r="AH75" s="3">
        <f t="shared" si="76"/>
        <v>22</v>
      </c>
      <c r="AI75" s="3">
        <f t="shared" ref="AI75" si="78">AH75+1</f>
        <v>23</v>
      </c>
      <c r="AJ75" s="3">
        <f t="shared" ref="AJ75" si="79">AI75+1</f>
        <v>24</v>
      </c>
      <c r="AK75" s="4"/>
      <c r="AL75" s="4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5"/>
      <c r="CT75" s="5"/>
      <c r="CU75" s="5"/>
      <c r="CV75" s="5"/>
    </row>
    <row r="76" spans="1:100" ht="15" customHeight="1" x14ac:dyDescent="0.25">
      <c r="B76" s="139">
        <v>12</v>
      </c>
      <c r="C76" s="139">
        <v>4</v>
      </c>
      <c r="D76" s="139" t="str">
        <f t="shared" si="3"/>
        <v>SUPPLY_WEST_P_2_22</v>
      </c>
      <c r="E76" s="139" t="s">
        <v>0</v>
      </c>
      <c r="F76" s="142" t="s">
        <v>0</v>
      </c>
      <c r="G76" s="140" t="s">
        <v>19</v>
      </c>
      <c r="H76" s="140" t="s">
        <v>41</v>
      </c>
      <c r="I76" s="140">
        <v>2</v>
      </c>
      <c r="J76" s="143"/>
      <c r="K76" s="184">
        <f>COUNT(AI76:BZ76)</f>
        <v>4</v>
      </c>
      <c r="L76" s="140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101"/>
      <c r="AC76" s="42"/>
      <c r="AD76" s="46"/>
      <c r="AE76" s="46"/>
      <c r="AF76" s="46"/>
      <c r="AG76" s="46"/>
      <c r="AH76" s="57"/>
      <c r="AI76" s="86">
        <v>1</v>
      </c>
      <c r="AJ76" s="86">
        <f>AI76+1</f>
        <v>2</v>
      </c>
      <c r="AK76" s="86">
        <f t="shared" ref="AK76:AZ77" si="80">AJ76+1</f>
        <v>3</v>
      </c>
      <c r="AL76" s="86">
        <f t="shared" si="80"/>
        <v>4</v>
      </c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97"/>
      <c r="BA76" s="4"/>
      <c r="BB76" s="4"/>
      <c r="BC76" s="4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5"/>
      <c r="CT76" s="5"/>
      <c r="CU76" s="5"/>
      <c r="CV76" s="5"/>
    </row>
    <row r="77" spans="1:100" ht="15" customHeight="1" x14ac:dyDescent="0.25">
      <c r="B77" s="139">
        <v>12</v>
      </c>
      <c r="C77" s="140">
        <v>5</v>
      </c>
      <c r="D77" s="139" t="str">
        <f t="shared" si="3"/>
        <v>EMPTY_WEST_P_2_22</v>
      </c>
      <c r="E77" s="140" t="s">
        <v>0</v>
      </c>
      <c r="F77" s="142" t="s">
        <v>32</v>
      </c>
      <c r="G77" s="140" t="s">
        <v>19</v>
      </c>
      <c r="H77" s="140" t="s">
        <v>41</v>
      </c>
      <c r="I77" s="140">
        <v>2</v>
      </c>
      <c r="J77" s="139"/>
      <c r="K77" s="184">
        <f>COUNT(AI77:BZ77)</f>
        <v>21</v>
      </c>
      <c r="L77" s="139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101"/>
      <c r="AC77" s="42"/>
      <c r="AD77" s="46"/>
      <c r="AE77" s="46"/>
      <c r="AF77" s="46"/>
      <c r="AG77" s="46"/>
      <c r="AH77" s="57"/>
      <c r="AI77" s="86">
        <v>1</v>
      </c>
      <c r="AJ77" s="86">
        <f>AI77+1</f>
        <v>2</v>
      </c>
      <c r="AK77" s="86">
        <f t="shared" si="80"/>
        <v>3</v>
      </c>
      <c r="AL77" s="86">
        <f t="shared" si="80"/>
        <v>4</v>
      </c>
      <c r="AM77" s="86">
        <f t="shared" si="80"/>
        <v>5</v>
      </c>
      <c r="AN77" s="86">
        <f t="shared" si="80"/>
        <v>6</v>
      </c>
      <c r="AO77" s="86">
        <f t="shared" si="80"/>
        <v>7</v>
      </c>
      <c r="AP77" s="86">
        <f t="shared" si="80"/>
        <v>8</v>
      </c>
      <c r="AQ77" s="86">
        <f t="shared" si="80"/>
        <v>9</v>
      </c>
      <c r="AR77" s="86">
        <f t="shared" si="80"/>
        <v>10</v>
      </c>
      <c r="AS77" s="86">
        <f t="shared" si="80"/>
        <v>11</v>
      </c>
      <c r="AT77" s="86">
        <f t="shared" si="80"/>
        <v>12</v>
      </c>
      <c r="AU77" s="86">
        <f t="shared" si="80"/>
        <v>13</v>
      </c>
      <c r="AV77" s="86">
        <f t="shared" si="80"/>
        <v>14</v>
      </c>
      <c r="AW77" s="86">
        <f t="shared" si="80"/>
        <v>15</v>
      </c>
      <c r="AX77" s="86">
        <f t="shared" si="80"/>
        <v>16</v>
      </c>
      <c r="AY77" s="86">
        <f t="shared" si="80"/>
        <v>17</v>
      </c>
      <c r="AZ77" s="86">
        <f t="shared" si="80"/>
        <v>18</v>
      </c>
      <c r="BA77" s="86">
        <f t="shared" ref="BA77:BC77" si="81">AZ77+1</f>
        <v>19</v>
      </c>
      <c r="BB77" s="86">
        <f t="shared" si="81"/>
        <v>20</v>
      </c>
      <c r="BC77" s="86">
        <f t="shared" si="81"/>
        <v>21</v>
      </c>
      <c r="BD77" s="46"/>
      <c r="BE77" s="4"/>
      <c r="BF77" s="4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5"/>
      <c r="CT77" s="5"/>
      <c r="CU77" s="5"/>
      <c r="CV77" s="5"/>
    </row>
    <row r="78" spans="1:100" ht="15" customHeight="1" x14ac:dyDescent="0.25">
      <c r="B78" s="139">
        <v>12</v>
      </c>
      <c r="C78" s="140">
        <v>6</v>
      </c>
      <c r="D78" s="139" t="str">
        <f t="shared" si="3"/>
        <v>COUNTDOWN_WEST_P_2_22</v>
      </c>
      <c r="E78" s="140"/>
      <c r="F78" s="142" t="s">
        <v>33</v>
      </c>
      <c r="G78" s="140" t="s">
        <v>19</v>
      </c>
      <c r="H78" s="140" t="s">
        <v>41</v>
      </c>
      <c r="I78" s="140">
        <v>2</v>
      </c>
      <c r="J78" s="144"/>
      <c r="K78" s="144"/>
      <c r="L78" s="140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101"/>
      <c r="AC78" s="8"/>
      <c r="AD78" s="3"/>
      <c r="AE78" s="6"/>
      <c r="AF78" s="6"/>
      <c r="AG78" s="46"/>
      <c r="AH78" s="57"/>
      <c r="AI78" s="134"/>
      <c r="AJ78" s="134"/>
      <c r="AK78" s="56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5"/>
      <c r="CT78" s="5"/>
      <c r="CU78" s="5"/>
      <c r="CV78" s="5"/>
    </row>
    <row r="79" spans="1:100" ht="15" customHeight="1" x14ac:dyDescent="0.25">
      <c r="A79" t="s">
        <v>8</v>
      </c>
      <c r="B79" s="139">
        <v>13</v>
      </c>
      <c r="C79" s="139">
        <v>1</v>
      </c>
      <c r="D79" s="139" t="str">
        <f t="shared" si="3"/>
        <v>SORTING_WEST_O_1_22</v>
      </c>
      <c r="E79" s="139" t="s">
        <v>35</v>
      </c>
      <c r="F79" s="138" t="s">
        <v>45</v>
      </c>
      <c r="G79" s="140" t="s">
        <v>19</v>
      </c>
      <c r="H79" s="140" t="s">
        <v>40</v>
      </c>
      <c r="I79" s="140">
        <v>1</v>
      </c>
      <c r="J79" s="139"/>
      <c r="K79" s="184">
        <f>COUNT(AC79:BD79)</f>
        <v>5</v>
      </c>
      <c r="L79" s="139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101"/>
      <c r="AC79" s="8">
        <v>1</v>
      </c>
      <c r="AD79" s="3">
        <f>AC79+1</f>
        <v>2</v>
      </c>
      <c r="AE79" s="3">
        <f t="shared" ref="AE79:AT83" si="82">AD79+1</f>
        <v>3</v>
      </c>
      <c r="AF79" s="3">
        <f t="shared" si="82"/>
        <v>4</v>
      </c>
      <c r="AG79" s="3">
        <f t="shared" si="82"/>
        <v>5</v>
      </c>
      <c r="AH79" s="21"/>
      <c r="AI79" s="4"/>
      <c r="AJ79" s="4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5"/>
      <c r="CT79" s="5"/>
      <c r="CU79" s="5"/>
      <c r="CV79" s="5"/>
    </row>
    <row r="80" spans="1:100" ht="15" customHeight="1" x14ac:dyDescent="0.25">
      <c r="A80" t="s">
        <v>8</v>
      </c>
      <c r="B80" s="139">
        <v>13</v>
      </c>
      <c r="C80" s="139">
        <v>2</v>
      </c>
      <c r="D80" s="139" t="str">
        <f t="shared" si="3"/>
        <v>TRANSFER_WEST_O_1_22</v>
      </c>
      <c r="E80" s="139" t="s">
        <v>21</v>
      </c>
      <c r="F80" s="138" t="s">
        <v>21</v>
      </c>
      <c r="G80" s="140" t="s">
        <v>19</v>
      </c>
      <c r="H80" s="140" t="s">
        <v>40</v>
      </c>
      <c r="I80" s="140">
        <v>1</v>
      </c>
      <c r="J80" s="139"/>
      <c r="K80" s="184">
        <f>COUNT(AC80:BD80)</f>
        <v>8</v>
      </c>
      <c r="L80" s="139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101"/>
      <c r="AC80" s="8">
        <v>1</v>
      </c>
      <c r="AD80" s="3">
        <f>AC80+1</f>
        <v>2</v>
      </c>
      <c r="AE80" s="3">
        <f t="shared" si="82"/>
        <v>3</v>
      </c>
      <c r="AF80" s="3">
        <f t="shared" si="82"/>
        <v>4</v>
      </c>
      <c r="AG80" s="3">
        <f t="shared" si="82"/>
        <v>5</v>
      </c>
      <c r="AH80" s="3">
        <f t="shared" si="82"/>
        <v>6</v>
      </c>
      <c r="AI80" s="3">
        <f t="shared" si="82"/>
        <v>7</v>
      </c>
      <c r="AJ80" s="3">
        <f t="shared" si="82"/>
        <v>8</v>
      </c>
      <c r="AK80" s="4"/>
      <c r="AL80" s="4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5"/>
      <c r="CT80" s="5"/>
      <c r="CU80" s="5"/>
      <c r="CV80" s="5"/>
    </row>
    <row r="81" spans="1:100" ht="15" customHeight="1" x14ac:dyDescent="0.25">
      <c r="A81" t="s">
        <v>8</v>
      </c>
      <c r="B81" s="139">
        <v>13</v>
      </c>
      <c r="C81" s="139">
        <v>3</v>
      </c>
      <c r="D81" s="139" t="str">
        <f t="shared" si="3"/>
        <v>PREPARE_WEST_O_1_22</v>
      </c>
      <c r="E81" s="139" t="s">
        <v>0</v>
      </c>
      <c r="F81" s="138" t="s">
        <v>46</v>
      </c>
      <c r="G81" s="140" t="s">
        <v>19</v>
      </c>
      <c r="H81" s="140" t="s">
        <v>40</v>
      </c>
      <c r="I81" s="140">
        <v>1</v>
      </c>
      <c r="J81" s="141"/>
      <c r="K81" s="184">
        <f>COUNT(M81:BD81)</f>
        <v>27</v>
      </c>
      <c r="L81" s="139"/>
      <c r="M81" s="3">
        <v>1</v>
      </c>
      <c r="N81" s="3">
        <f>M81+1</f>
        <v>2</v>
      </c>
      <c r="O81" s="3">
        <f t="shared" ref="O81:AD81" si="83">N81+1</f>
        <v>3</v>
      </c>
      <c r="P81" s="3">
        <f t="shared" si="83"/>
        <v>4</v>
      </c>
      <c r="Q81" s="3">
        <f t="shared" si="83"/>
        <v>5</v>
      </c>
      <c r="R81" s="3">
        <f t="shared" si="83"/>
        <v>6</v>
      </c>
      <c r="S81" s="3">
        <f t="shared" si="83"/>
        <v>7</v>
      </c>
      <c r="T81" s="3">
        <f t="shared" si="83"/>
        <v>8</v>
      </c>
      <c r="U81" s="3">
        <f t="shared" si="83"/>
        <v>9</v>
      </c>
      <c r="V81" s="3">
        <f t="shared" si="83"/>
        <v>10</v>
      </c>
      <c r="W81" s="3">
        <f t="shared" si="83"/>
        <v>11</v>
      </c>
      <c r="X81" s="3">
        <f t="shared" si="83"/>
        <v>12</v>
      </c>
      <c r="Y81" s="3">
        <f t="shared" si="83"/>
        <v>13</v>
      </c>
      <c r="Z81" s="3">
        <f t="shared" si="83"/>
        <v>14</v>
      </c>
      <c r="AA81" s="3">
        <f t="shared" si="83"/>
        <v>15</v>
      </c>
      <c r="AB81" s="3">
        <f t="shared" si="83"/>
        <v>16</v>
      </c>
      <c r="AC81" s="3">
        <f t="shared" si="83"/>
        <v>17</v>
      </c>
      <c r="AD81" s="3">
        <f t="shared" si="83"/>
        <v>18</v>
      </c>
      <c r="AE81" s="3">
        <f t="shared" si="82"/>
        <v>19</v>
      </c>
      <c r="AF81" s="3">
        <f t="shared" si="82"/>
        <v>20</v>
      </c>
      <c r="AG81" s="3">
        <f t="shared" si="82"/>
        <v>21</v>
      </c>
      <c r="AH81" s="3">
        <f t="shared" si="82"/>
        <v>22</v>
      </c>
      <c r="AI81" s="3">
        <f t="shared" si="82"/>
        <v>23</v>
      </c>
      <c r="AJ81" s="3">
        <f t="shared" si="82"/>
        <v>24</v>
      </c>
      <c r="AK81" s="3">
        <f t="shared" si="82"/>
        <v>25</v>
      </c>
      <c r="AL81" s="3">
        <f t="shared" si="82"/>
        <v>26</v>
      </c>
      <c r="AM81" s="3">
        <f t="shared" si="82"/>
        <v>27</v>
      </c>
      <c r="AN81" s="4"/>
      <c r="AO81" s="4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5"/>
      <c r="CT81" s="5"/>
      <c r="CU81" s="5"/>
      <c r="CV81" s="5"/>
    </row>
    <row r="82" spans="1:100" ht="15" customHeight="1" x14ac:dyDescent="0.25">
      <c r="A82" t="s">
        <v>8</v>
      </c>
      <c r="B82" s="139">
        <v>13</v>
      </c>
      <c r="C82" s="139">
        <v>4</v>
      </c>
      <c r="D82" s="139" t="str">
        <f t="shared" ref="D82:D120" si="84">F82&amp;"_"&amp;G82&amp;"_"&amp;H82&amp;"_"&amp;I82&amp;"_"&amp;$D$1</f>
        <v>SUPPLY_WEST_O_1_22</v>
      </c>
      <c r="E82" s="139" t="s">
        <v>0</v>
      </c>
      <c r="F82" s="142" t="s">
        <v>0</v>
      </c>
      <c r="G82" s="140" t="s">
        <v>19</v>
      </c>
      <c r="H82" s="140" t="s">
        <v>40</v>
      </c>
      <c r="I82" s="140">
        <v>1</v>
      </c>
      <c r="J82" s="143"/>
      <c r="K82" s="184">
        <f>COUNT(AI82:BZ82)</f>
        <v>7</v>
      </c>
      <c r="L82" s="140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101"/>
      <c r="AC82" s="42"/>
      <c r="AD82" s="46"/>
      <c r="AE82" s="46"/>
      <c r="AF82" s="46"/>
      <c r="AG82" s="46"/>
      <c r="AH82" s="57"/>
      <c r="AI82" s="86">
        <v>1</v>
      </c>
      <c r="AJ82" s="86">
        <f>AI82+1</f>
        <v>2</v>
      </c>
      <c r="AK82" s="86">
        <f t="shared" si="82"/>
        <v>3</v>
      </c>
      <c r="AL82" s="86">
        <f t="shared" si="82"/>
        <v>4</v>
      </c>
      <c r="AM82" s="86">
        <f t="shared" si="82"/>
        <v>5</v>
      </c>
      <c r="AN82" s="86">
        <f t="shared" si="82"/>
        <v>6</v>
      </c>
      <c r="AO82" s="86">
        <f t="shared" si="82"/>
        <v>7</v>
      </c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97"/>
      <c r="BC82" s="4"/>
      <c r="BD82" s="4"/>
      <c r="BE82" s="4"/>
      <c r="BF82" s="4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5"/>
      <c r="CT82" s="5"/>
      <c r="CU82" s="5"/>
      <c r="CV82" s="5"/>
    </row>
    <row r="83" spans="1:100" ht="15" customHeight="1" x14ac:dyDescent="0.25">
      <c r="A83" t="s">
        <v>8</v>
      </c>
      <c r="B83" s="139">
        <v>13</v>
      </c>
      <c r="C83" s="140">
        <v>5</v>
      </c>
      <c r="D83" s="139" t="str">
        <f t="shared" si="84"/>
        <v>EMPTY_WEST_O_1_22</v>
      </c>
      <c r="E83" s="140" t="s">
        <v>0</v>
      </c>
      <c r="F83" s="142" t="s">
        <v>32</v>
      </c>
      <c r="G83" s="140" t="s">
        <v>19</v>
      </c>
      <c r="H83" s="140" t="s">
        <v>40</v>
      </c>
      <c r="I83" s="140">
        <v>1</v>
      </c>
      <c r="J83" s="139"/>
      <c r="K83" s="184">
        <f>COUNT(AI83:BZ83)</f>
        <v>24</v>
      </c>
      <c r="L83" s="139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101"/>
      <c r="AC83" s="42"/>
      <c r="AD83" s="46"/>
      <c r="AE83" s="46"/>
      <c r="AF83" s="46"/>
      <c r="AG83" s="46"/>
      <c r="AH83" s="57"/>
      <c r="AI83" s="86">
        <v>1</v>
      </c>
      <c r="AJ83" s="86">
        <f>AI83+1</f>
        <v>2</v>
      </c>
      <c r="AK83" s="86">
        <f t="shared" si="82"/>
        <v>3</v>
      </c>
      <c r="AL83" s="86">
        <f t="shared" si="82"/>
        <v>4</v>
      </c>
      <c r="AM83" s="86">
        <f t="shared" si="82"/>
        <v>5</v>
      </c>
      <c r="AN83" s="86">
        <f t="shared" si="82"/>
        <v>6</v>
      </c>
      <c r="AO83" s="86">
        <f t="shared" si="82"/>
        <v>7</v>
      </c>
      <c r="AP83" s="86">
        <f t="shared" si="82"/>
        <v>8</v>
      </c>
      <c r="AQ83" s="86">
        <f t="shared" si="82"/>
        <v>9</v>
      </c>
      <c r="AR83" s="86">
        <f t="shared" si="82"/>
        <v>10</v>
      </c>
      <c r="AS83" s="86">
        <f t="shared" si="82"/>
        <v>11</v>
      </c>
      <c r="AT83" s="86">
        <f t="shared" si="82"/>
        <v>12</v>
      </c>
      <c r="AU83" s="86">
        <f t="shared" ref="AU83:BF83" si="85">AT83+1</f>
        <v>13</v>
      </c>
      <c r="AV83" s="86">
        <f t="shared" si="85"/>
        <v>14</v>
      </c>
      <c r="AW83" s="86">
        <f t="shared" si="85"/>
        <v>15</v>
      </c>
      <c r="AX83" s="86">
        <f t="shared" si="85"/>
        <v>16</v>
      </c>
      <c r="AY83" s="86">
        <f t="shared" si="85"/>
        <v>17</v>
      </c>
      <c r="AZ83" s="86">
        <f t="shared" si="85"/>
        <v>18</v>
      </c>
      <c r="BA83" s="86">
        <f t="shared" si="85"/>
        <v>19</v>
      </c>
      <c r="BB83" s="86">
        <f t="shared" si="85"/>
        <v>20</v>
      </c>
      <c r="BC83" s="86">
        <f t="shared" si="85"/>
        <v>21</v>
      </c>
      <c r="BD83" s="86">
        <f t="shared" si="85"/>
        <v>22</v>
      </c>
      <c r="BE83" s="86">
        <f t="shared" si="85"/>
        <v>23</v>
      </c>
      <c r="BF83" s="86">
        <f t="shared" si="85"/>
        <v>24</v>
      </c>
      <c r="BG83" s="46"/>
      <c r="BH83" s="4"/>
      <c r="BI83" s="4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5"/>
      <c r="CT83" s="5"/>
      <c r="CU83" s="5"/>
      <c r="CV83" s="5"/>
    </row>
    <row r="84" spans="1:100" ht="15" customHeight="1" x14ac:dyDescent="0.25">
      <c r="A84" t="s">
        <v>8</v>
      </c>
      <c r="B84" s="139">
        <v>13</v>
      </c>
      <c r="C84" s="140">
        <v>6</v>
      </c>
      <c r="D84" s="139" t="str">
        <f t="shared" si="84"/>
        <v>COUNTDOWN_WEST_O_1_22</v>
      </c>
      <c r="E84" s="140"/>
      <c r="F84" s="142" t="s">
        <v>33</v>
      </c>
      <c r="G84" s="140" t="s">
        <v>19</v>
      </c>
      <c r="H84" s="140" t="s">
        <v>40</v>
      </c>
      <c r="I84" s="140">
        <v>1</v>
      </c>
      <c r="J84" s="144"/>
      <c r="K84" s="144"/>
      <c r="L84" s="140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101"/>
      <c r="AC84" s="42"/>
      <c r="AD84" s="46"/>
      <c r="AE84" s="46"/>
      <c r="AF84" s="46"/>
      <c r="AG84" s="6"/>
      <c r="AH84" s="28"/>
      <c r="AI84" s="133"/>
      <c r="AJ84" s="133"/>
      <c r="AK84" s="46"/>
      <c r="AL84" s="56"/>
      <c r="AM84" s="56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5"/>
      <c r="CT84" s="5"/>
      <c r="CU84" s="5"/>
      <c r="CV84" s="5"/>
    </row>
    <row r="85" spans="1:100" ht="15" customHeight="1" x14ac:dyDescent="0.25">
      <c r="B85" s="139">
        <v>14</v>
      </c>
      <c r="C85" s="139">
        <v>1</v>
      </c>
      <c r="D85" s="139" t="str">
        <f t="shared" si="84"/>
        <v>SORTING_WEST_L_2_22</v>
      </c>
      <c r="E85" s="139" t="s">
        <v>35</v>
      </c>
      <c r="F85" s="138" t="s">
        <v>45</v>
      </c>
      <c r="G85" s="140" t="s">
        <v>19</v>
      </c>
      <c r="H85" s="140" t="s">
        <v>13</v>
      </c>
      <c r="I85" s="140">
        <v>2</v>
      </c>
      <c r="J85" s="139"/>
      <c r="K85" s="184">
        <f>COUNT(AC85:BD85)</f>
        <v>8</v>
      </c>
      <c r="L85" s="139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101"/>
      <c r="AC85" s="8">
        <v>1</v>
      </c>
      <c r="AD85" s="3">
        <f>AC85+1</f>
        <v>2</v>
      </c>
      <c r="AE85" s="3">
        <f t="shared" ref="AE85:AT89" si="86">AD85+1</f>
        <v>3</v>
      </c>
      <c r="AF85" s="3">
        <f t="shared" si="86"/>
        <v>4</v>
      </c>
      <c r="AG85" s="3">
        <f t="shared" si="86"/>
        <v>5</v>
      </c>
      <c r="AH85" s="3">
        <f t="shared" si="86"/>
        <v>6</v>
      </c>
      <c r="AI85" s="3">
        <f t="shared" si="86"/>
        <v>7</v>
      </c>
      <c r="AJ85" s="3">
        <f t="shared" si="86"/>
        <v>8</v>
      </c>
      <c r="AK85" s="4"/>
      <c r="AL85" s="4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5"/>
      <c r="CT85" s="5"/>
      <c r="CU85" s="5"/>
      <c r="CV85" s="5"/>
    </row>
    <row r="86" spans="1:100" ht="15" customHeight="1" x14ac:dyDescent="0.25">
      <c r="B86" s="139">
        <v>14</v>
      </c>
      <c r="C86" s="139">
        <v>2</v>
      </c>
      <c r="D86" s="139" t="str">
        <f t="shared" si="84"/>
        <v>TRANSFER_WEST_L_2_22</v>
      </c>
      <c r="E86" s="139" t="s">
        <v>21</v>
      </c>
      <c r="F86" s="138" t="s">
        <v>21</v>
      </c>
      <c r="G86" s="140" t="s">
        <v>19</v>
      </c>
      <c r="H86" s="140" t="s">
        <v>13</v>
      </c>
      <c r="I86" s="140">
        <v>2</v>
      </c>
      <c r="J86" s="139"/>
      <c r="K86" s="184">
        <f>COUNT(AC86:BD86)</f>
        <v>10</v>
      </c>
      <c r="L86" s="139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101"/>
      <c r="AC86" s="8">
        <v>1</v>
      </c>
      <c r="AD86" s="3">
        <f>AC86+1</f>
        <v>2</v>
      </c>
      <c r="AE86" s="3">
        <f t="shared" si="86"/>
        <v>3</v>
      </c>
      <c r="AF86" s="3">
        <f t="shared" si="86"/>
        <v>4</v>
      </c>
      <c r="AG86" s="3">
        <f t="shared" si="86"/>
        <v>5</v>
      </c>
      <c r="AH86" s="3">
        <f t="shared" si="86"/>
        <v>6</v>
      </c>
      <c r="AI86" s="3">
        <f t="shared" si="86"/>
        <v>7</v>
      </c>
      <c r="AJ86" s="3">
        <f t="shared" si="86"/>
        <v>8</v>
      </c>
      <c r="AK86" s="3">
        <f t="shared" si="86"/>
        <v>9</v>
      </c>
      <c r="AL86" s="3">
        <f t="shared" si="86"/>
        <v>10</v>
      </c>
      <c r="AM86" s="4"/>
      <c r="AN86" s="4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5"/>
      <c r="CT86" s="5"/>
      <c r="CU86" s="5"/>
      <c r="CV86" s="5"/>
    </row>
    <row r="87" spans="1:100" ht="15" customHeight="1" x14ac:dyDescent="0.25">
      <c r="B87" s="139">
        <v>14</v>
      </c>
      <c r="C87" s="139">
        <v>3</v>
      </c>
      <c r="D87" s="139" t="str">
        <f t="shared" si="84"/>
        <v>PREPARE_WEST_L_2_22</v>
      </c>
      <c r="E87" s="139" t="s">
        <v>0</v>
      </c>
      <c r="F87" s="138" t="s">
        <v>46</v>
      </c>
      <c r="G87" s="140" t="s">
        <v>19</v>
      </c>
      <c r="H87" s="140" t="s">
        <v>13</v>
      </c>
      <c r="I87" s="140">
        <v>2</v>
      </c>
      <c r="J87" s="141"/>
      <c r="K87" s="184">
        <f>COUNT(M87:BD87)</f>
        <v>29</v>
      </c>
      <c r="L87" s="139"/>
      <c r="M87" s="3">
        <v>1</v>
      </c>
      <c r="N87" s="3">
        <f>M87+1</f>
        <v>2</v>
      </c>
      <c r="O87" s="3">
        <f t="shared" ref="O87:AD87" si="87">N87+1</f>
        <v>3</v>
      </c>
      <c r="P87" s="3">
        <f t="shared" si="87"/>
        <v>4</v>
      </c>
      <c r="Q87" s="3">
        <f t="shared" si="87"/>
        <v>5</v>
      </c>
      <c r="R87" s="3">
        <f t="shared" si="87"/>
        <v>6</v>
      </c>
      <c r="S87" s="3">
        <f t="shared" si="87"/>
        <v>7</v>
      </c>
      <c r="T87" s="3">
        <f t="shared" si="87"/>
        <v>8</v>
      </c>
      <c r="U87" s="3">
        <f t="shared" si="87"/>
        <v>9</v>
      </c>
      <c r="V87" s="3">
        <f t="shared" si="87"/>
        <v>10</v>
      </c>
      <c r="W87" s="3">
        <f t="shared" si="87"/>
        <v>11</v>
      </c>
      <c r="X87" s="3">
        <f t="shared" si="87"/>
        <v>12</v>
      </c>
      <c r="Y87" s="3">
        <f t="shared" si="87"/>
        <v>13</v>
      </c>
      <c r="Z87" s="3">
        <f t="shared" si="87"/>
        <v>14</v>
      </c>
      <c r="AA87" s="3">
        <f t="shared" si="87"/>
        <v>15</v>
      </c>
      <c r="AB87" s="3">
        <f t="shared" si="87"/>
        <v>16</v>
      </c>
      <c r="AC87" s="3">
        <f t="shared" si="87"/>
        <v>17</v>
      </c>
      <c r="AD87" s="3">
        <f t="shared" si="87"/>
        <v>18</v>
      </c>
      <c r="AE87" s="3">
        <f t="shared" si="86"/>
        <v>19</v>
      </c>
      <c r="AF87" s="3">
        <f t="shared" si="86"/>
        <v>20</v>
      </c>
      <c r="AG87" s="3">
        <f t="shared" si="86"/>
        <v>21</v>
      </c>
      <c r="AH87" s="3">
        <f t="shared" si="86"/>
        <v>22</v>
      </c>
      <c r="AI87" s="3">
        <f t="shared" si="86"/>
        <v>23</v>
      </c>
      <c r="AJ87" s="3">
        <f t="shared" si="86"/>
        <v>24</v>
      </c>
      <c r="AK87" s="3">
        <f t="shared" si="86"/>
        <v>25</v>
      </c>
      <c r="AL87" s="3">
        <f t="shared" si="86"/>
        <v>26</v>
      </c>
      <c r="AM87" s="3">
        <f t="shared" si="86"/>
        <v>27</v>
      </c>
      <c r="AN87" s="3">
        <f t="shared" si="86"/>
        <v>28</v>
      </c>
      <c r="AO87" s="3">
        <f t="shared" si="86"/>
        <v>29</v>
      </c>
      <c r="AP87" s="4"/>
      <c r="AQ87" s="4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5"/>
      <c r="CT87" s="5"/>
      <c r="CU87" s="5"/>
      <c r="CV87" s="5"/>
    </row>
    <row r="88" spans="1:100" ht="15" customHeight="1" x14ac:dyDescent="0.25">
      <c r="B88" s="139">
        <v>14</v>
      </c>
      <c r="C88" s="139">
        <v>4</v>
      </c>
      <c r="D88" s="139" t="str">
        <f t="shared" si="84"/>
        <v>SUPPLY_WEST_L_2_22</v>
      </c>
      <c r="E88" s="139" t="s">
        <v>0</v>
      </c>
      <c r="F88" s="142" t="s">
        <v>0</v>
      </c>
      <c r="G88" s="140" t="s">
        <v>19</v>
      </c>
      <c r="H88" s="140" t="s">
        <v>13</v>
      </c>
      <c r="I88" s="140">
        <v>2</v>
      </c>
      <c r="J88" s="143"/>
      <c r="K88" s="184">
        <f>COUNT(AI88:BZ88)</f>
        <v>9</v>
      </c>
      <c r="L88" s="140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101"/>
      <c r="AC88" s="42"/>
      <c r="AD88" s="46"/>
      <c r="AE88" s="46"/>
      <c r="AF88" s="46"/>
      <c r="AG88" s="46"/>
      <c r="AH88" s="57"/>
      <c r="AI88" s="86">
        <v>1</v>
      </c>
      <c r="AJ88" s="86">
        <f>AI88+1</f>
        <v>2</v>
      </c>
      <c r="AK88" s="86">
        <f t="shared" si="86"/>
        <v>3</v>
      </c>
      <c r="AL88" s="86">
        <f t="shared" si="86"/>
        <v>4</v>
      </c>
      <c r="AM88" s="86">
        <f t="shared" si="86"/>
        <v>5</v>
      </c>
      <c r="AN88" s="86">
        <f t="shared" si="86"/>
        <v>6</v>
      </c>
      <c r="AO88" s="86">
        <f t="shared" si="86"/>
        <v>7</v>
      </c>
      <c r="AP88" s="86">
        <f t="shared" si="86"/>
        <v>8</v>
      </c>
      <c r="AQ88" s="86">
        <f t="shared" si="86"/>
        <v>9</v>
      </c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97"/>
      <c r="BE88" s="4"/>
      <c r="BF88" s="4"/>
      <c r="BG88" s="4"/>
      <c r="BH88" s="4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5"/>
      <c r="CT88" s="5"/>
      <c r="CU88" s="5"/>
      <c r="CV88" s="5"/>
    </row>
    <row r="89" spans="1:100" ht="15" customHeight="1" x14ac:dyDescent="0.25">
      <c r="B89" s="139">
        <v>14</v>
      </c>
      <c r="C89" s="140">
        <v>5</v>
      </c>
      <c r="D89" s="139" t="str">
        <f t="shared" si="84"/>
        <v>EMPTY_WEST_L_2_22</v>
      </c>
      <c r="E89" s="140" t="s">
        <v>0</v>
      </c>
      <c r="F89" s="142" t="s">
        <v>32</v>
      </c>
      <c r="G89" s="140" t="s">
        <v>19</v>
      </c>
      <c r="H89" s="140" t="s">
        <v>13</v>
      </c>
      <c r="I89" s="140">
        <v>2</v>
      </c>
      <c r="J89" s="139"/>
      <c r="K89" s="184">
        <f>COUNT(AI89:BZ89)</f>
        <v>26</v>
      </c>
      <c r="L89" s="139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101"/>
      <c r="AC89" s="42"/>
      <c r="AD89" s="46"/>
      <c r="AE89" s="46"/>
      <c r="AF89" s="46"/>
      <c r="AG89" s="46"/>
      <c r="AH89" s="57"/>
      <c r="AI89" s="86">
        <v>1</v>
      </c>
      <c r="AJ89" s="86">
        <f>AI89+1</f>
        <v>2</v>
      </c>
      <c r="AK89" s="86">
        <f t="shared" si="86"/>
        <v>3</v>
      </c>
      <c r="AL89" s="86">
        <f t="shared" si="86"/>
        <v>4</v>
      </c>
      <c r="AM89" s="86">
        <f t="shared" si="86"/>
        <v>5</v>
      </c>
      <c r="AN89" s="86">
        <f t="shared" si="86"/>
        <v>6</v>
      </c>
      <c r="AO89" s="86">
        <f t="shared" si="86"/>
        <v>7</v>
      </c>
      <c r="AP89" s="86">
        <f t="shared" si="86"/>
        <v>8</v>
      </c>
      <c r="AQ89" s="86">
        <f t="shared" si="86"/>
        <v>9</v>
      </c>
      <c r="AR89" s="86">
        <f t="shared" si="86"/>
        <v>10</v>
      </c>
      <c r="AS89" s="86">
        <f t="shared" si="86"/>
        <v>11</v>
      </c>
      <c r="AT89" s="86">
        <f t="shared" si="86"/>
        <v>12</v>
      </c>
      <c r="AU89" s="86">
        <f t="shared" ref="AU89:BH89" si="88">AT89+1</f>
        <v>13</v>
      </c>
      <c r="AV89" s="86">
        <f t="shared" si="88"/>
        <v>14</v>
      </c>
      <c r="AW89" s="86">
        <f t="shared" si="88"/>
        <v>15</v>
      </c>
      <c r="AX89" s="86">
        <f t="shared" si="88"/>
        <v>16</v>
      </c>
      <c r="AY89" s="86">
        <f t="shared" si="88"/>
        <v>17</v>
      </c>
      <c r="AZ89" s="86">
        <f t="shared" si="88"/>
        <v>18</v>
      </c>
      <c r="BA89" s="86">
        <f t="shared" si="88"/>
        <v>19</v>
      </c>
      <c r="BB89" s="86">
        <f t="shared" si="88"/>
        <v>20</v>
      </c>
      <c r="BC89" s="86">
        <f t="shared" si="88"/>
        <v>21</v>
      </c>
      <c r="BD89" s="86">
        <f t="shared" si="88"/>
        <v>22</v>
      </c>
      <c r="BE89" s="86">
        <f t="shared" si="88"/>
        <v>23</v>
      </c>
      <c r="BF89" s="86">
        <f t="shared" si="88"/>
        <v>24</v>
      </c>
      <c r="BG89" s="86">
        <f t="shared" si="88"/>
        <v>25</v>
      </c>
      <c r="BH89" s="86">
        <f t="shared" si="88"/>
        <v>26</v>
      </c>
      <c r="BI89" s="46"/>
      <c r="BJ89" s="4"/>
      <c r="BK89" s="4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5"/>
      <c r="CT89" s="5"/>
      <c r="CU89" s="5"/>
      <c r="CV89" s="5"/>
    </row>
    <row r="90" spans="1:100" ht="15" customHeight="1" x14ac:dyDescent="0.25">
      <c r="B90" s="139">
        <v>14</v>
      </c>
      <c r="C90" s="140">
        <v>6</v>
      </c>
      <c r="D90" s="139" t="str">
        <f t="shared" si="84"/>
        <v>COUNTDOWN_WEST_L_2_22</v>
      </c>
      <c r="E90" s="140"/>
      <c r="F90" s="142" t="s">
        <v>33</v>
      </c>
      <c r="G90" s="140" t="s">
        <v>19</v>
      </c>
      <c r="H90" s="140" t="s">
        <v>13</v>
      </c>
      <c r="I90" s="140">
        <v>2</v>
      </c>
      <c r="J90" s="144"/>
      <c r="K90" s="144"/>
      <c r="L90" s="140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101"/>
      <c r="AC90" s="8"/>
      <c r="AD90" s="3"/>
      <c r="AE90" s="3"/>
      <c r="AF90" s="3"/>
      <c r="AG90" s="3"/>
      <c r="AH90" s="31"/>
      <c r="AI90" s="132"/>
      <c r="AJ90" s="132"/>
      <c r="AK90" s="6"/>
      <c r="AL90" s="46"/>
      <c r="AM90" s="46"/>
      <c r="AN90" s="56"/>
      <c r="AO90" s="56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5"/>
      <c r="CT90" s="5"/>
      <c r="CU90" s="5"/>
      <c r="CV90" s="5"/>
    </row>
    <row r="91" spans="1:100" ht="15" customHeight="1" x14ac:dyDescent="0.25">
      <c r="B91" s="139">
        <v>16</v>
      </c>
      <c r="C91" s="139">
        <v>1</v>
      </c>
      <c r="D91" s="139" t="str">
        <f t="shared" si="84"/>
        <v>SORTING_WEST_N_1_22</v>
      </c>
      <c r="E91" s="139" t="s">
        <v>35</v>
      </c>
      <c r="F91" s="138" t="s">
        <v>45</v>
      </c>
      <c r="G91" s="140" t="s">
        <v>19</v>
      </c>
      <c r="H91" s="140" t="s">
        <v>15</v>
      </c>
      <c r="I91" s="140">
        <v>1</v>
      </c>
      <c r="J91" s="139"/>
      <c r="K91" s="184">
        <f>COUNT(AC91:BD91)</f>
        <v>10</v>
      </c>
      <c r="L91" s="139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101"/>
      <c r="AC91" s="8">
        <v>1</v>
      </c>
      <c r="AD91" s="3">
        <f>AC91+1</f>
        <v>2</v>
      </c>
      <c r="AE91" s="3">
        <f t="shared" ref="AE91:AT95" si="89">AD91+1</f>
        <v>3</v>
      </c>
      <c r="AF91" s="3">
        <f t="shared" si="89"/>
        <v>4</v>
      </c>
      <c r="AG91" s="3">
        <f t="shared" si="89"/>
        <v>5</v>
      </c>
      <c r="AH91" s="3">
        <f t="shared" si="89"/>
        <v>6</v>
      </c>
      <c r="AI91" s="3">
        <f t="shared" si="89"/>
        <v>7</v>
      </c>
      <c r="AJ91" s="3">
        <f t="shared" si="89"/>
        <v>8</v>
      </c>
      <c r="AK91" s="3">
        <f t="shared" si="89"/>
        <v>9</v>
      </c>
      <c r="AL91" s="3">
        <f t="shared" si="89"/>
        <v>10</v>
      </c>
      <c r="AM91" s="4"/>
      <c r="AN91" s="4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5"/>
      <c r="CT91" s="5"/>
      <c r="CU91" s="5"/>
      <c r="CV91" s="5"/>
    </row>
    <row r="92" spans="1:100" ht="15" customHeight="1" x14ac:dyDescent="0.25">
      <c r="B92" s="139">
        <v>16</v>
      </c>
      <c r="C92" s="139">
        <v>2</v>
      </c>
      <c r="D92" s="139" t="str">
        <f t="shared" si="84"/>
        <v>TRANSFER_WEST_N_1_22</v>
      </c>
      <c r="E92" s="139" t="s">
        <v>21</v>
      </c>
      <c r="F92" s="138" t="s">
        <v>21</v>
      </c>
      <c r="G92" s="140" t="s">
        <v>19</v>
      </c>
      <c r="H92" s="140" t="s">
        <v>15</v>
      </c>
      <c r="I92" s="140">
        <v>1</v>
      </c>
      <c r="J92" s="139"/>
      <c r="K92" s="184">
        <f>COUNT(AC92:BD92)</f>
        <v>12</v>
      </c>
      <c r="L92" s="139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101"/>
      <c r="AC92" s="8">
        <v>1</v>
      </c>
      <c r="AD92" s="3">
        <f>AC92+1</f>
        <v>2</v>
      </c>
      <c r="AE92" s="3">
        <f t="shared" si="89"/>
        <v>3</v>
      </c>
      <c r="AF92" s="3">
        <f t="shared" si="89"/>
        <v>4</v>
      </c>
      <c r="AG92" s="3">
        <f t="shared" si="89"/>
        <v>5</v>
      </c>
      <c r="AH92" s="3">
        <f t="shared" si="89"/>
        <v>6</v>
      </c>
      <c r="AI92" s="3">
        <f t="shared" si="89"/>
        <v>7</v>
      </c>
      <c r="AJ92" s="3">
        <f t="shared" si="89"/>
        <v>8</v>
      </c>
      <c r="AK92" s="3">
        <f t="shared" si="89"/>
        <v>9</v>
      </c>
      <c r="AL92" s="3">
        <f t="shared" si="89"/>
        <v>10</v>
      </c>
      <c r="AM92" s="3">
        <f t="shared" si="89"/>
        <v>11</v>
      </c>
      <c r="AN92" s="3">
        <f t="shared" si="89"/>
        <v>12</v>
      </c>
      <c r="AO92" s="4"/>
      <c r="AP92" s="4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5"/>
      <c r="CT92" s="5"/>
      <c r="CU92" s="5"/>
      <c r="CV92" s="5"/>
    </row>
    <row r="93" spans="1:100" ht="15" customHeight="1" x14ac:dyDescent="0.25">
      <c r="B93" s="139">
        <v>16</v>
      </c>
      <c r="C93" s="139">
        <v>3</v>
      </c>
      <c r="D93" s="139" t="str">
        <f t="shared" si="84"/>
        <v>PREPARE_WEST_N_1_22</v>
      </c>
      <c r="E93" s="139" t="s">
        <v>0</v>
      </c>
      <c r="F93" s="138" t="s">
        <v>46</v>
      </c>
      <c r="G93" s="140" t="s">
        <v>19</v>
      </c>
      <c r="H93" s="140" t="s">
        <v>15</v>
      </c>
      <c r="I93" s="140">
        <v>1</v>
      </c>
      <c r="J93" s="141"/>
      <c r="K93" s="184">
        <f>COUNT(M93:BD93)</f>
        <v>32</v>
      </c>
      <c r="L93" s="139"/>
      <c r="M93" s="3">
        <v>1</v>
      </c>
      <c r="N93" s="3">
        <f>M93+1</f>
        <v>2</v>
      </c>
      <c r="O93" s="3">
        <f t="shared" ref="O93:AD93" si="90">N93+1</f>
        <v>3</v>
      </c>
      <c r="P93" s="3">
        <f t="shared" si="90"/>
        <v>4</v>
      </c>
      <c r="Q93" s="3">
        <f t="shared" si="90"/>
        <v>5</v>
      </c>
      <c r="R93" s="3">
        <f t="shared" si="90"/>
        <v>6</v>
      </c>
      <c r="S93" s="3">
        <f t="shared" si="90"/>
        <v>7</v>
      </c>
      <c r="T93" s="3">
        <f t="shared" si="90"/>
        <v>8</v>
      </c>
      <c r="U93" s="3">
        <f t="shared" si="90"/>
        <v>9</v>
      </c>
      <c r="V93" s="3">
        <f t="shared" si="90"/>
        <v>10</v>
      </c>
      <c r="W93" s="3">
        <f t="shared" si="90"/>
        <v>11</v>
      </c>
      <c r="X93" s="3">
        <f t="shared" si="90"/>
        <v>12</v>
      </c>
      <c r="Y93" s="3">
        <f t="shared" si="90"/>
        <v>13</v>
      </c>
      <c r="Z93" s="3">
        <f t="shared" si="90"/>
        <v>14</v>
      </c>
      <c r="AA93" s="3">
        <f t="shared" si="90"/>
        <v>15</v>
      </c>
      <c r="AB93" s="3">
        <f t="shared" si="90"/>
        <v>16</v>
      </c>
      <c r="AC93" s="3">
        <f t="shared" si="90"/>
        <v>17</v>
      </c>
      <c r="AD93" s="3">
        <f t="shared" si="90"/>
        <v>18</v>
      </c>
      <c r="AE93" s="3">
        <f t="shared" si="89"/>
        <v>19</v>
      </c>
      <c r="AF93" s="3">
        <f t="shared" si="89"/>
        <v>20</v>
      </c>
      <c r="AG93" s="3">
        <f t="shared" si="89"/>
        <v>21</v>
      </c>
      <c r="AH93" s="3">
        <f t="shared" si="89"/>
        <v>22</v>
      </c>
      <c r="AI93" s="3">
        <f t="shared" si="89"/>
        <v>23</v>
      </c>
      <c r="AJ93" s="3">
        <f t="shared" si="89"/>
        <v>24</v>
      </c>
      <c r="AK93" s="3">
        <f t="shared" si="89"/>
        <v>25</v>
      </c>
      <c r="AL93" s="3">
        <f t="shared" si="89"/>
        <v>26</v>
      </c>
      <c r="AM93" s="3">
        <f t="shared" si="89"/>
        <v>27</v>
      </c>
      <c r="AN93" s="3">
        <f t="shared" si="89"/>
        <v>28</v>
      </c>
      <c r="AO93" s="3">
        <f t="shared" si="89"/>
        <v>29</v>
      </c>
      <c r="AP93" s="3">
        <f t="shared" si="89"/>
        <v>30</v>
      </c>
      <c r="AQ93" s="3">
        <f t="shared" si="89"/>
        <v>31</v>
      </c>
      <c r="AR93" s="3">
        <f t="shared" si="89"/>
        <v>32</v>
      </c>
      <c r="AS93" s="4"/>
      <c r="AT93" s="4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5"/>
      <c r="CT93" s="5"/>
      <c r="CU93" s="5"/>
      <c r="CV93" s="5"/>
    </row>
    <row r="94" spans="1:100" ht="15" customHeight="1" x14ac:dyDescent="0.25">
      <c r="B94" s="139">
        <v>16</v>
      </c>
      <c r="C94" s="139">
        <v>4</v>
      </c>
      <c r="D94" s="139" t="str">
        <f t="shared" si="84"/>
        <v>SUPPLY_WEST_N_1_22</v>
      </c>
      <c r="E94" s="139" t="s">
        <v>0</v>
      </c>
      <c r="F94" s="142" t="s">
        <v>0</v>
      </c>
      <c r="G94" s="140" t="s">
        <v>19</v>
      </c>
      <c r="H94" s="140" t="s">
        <v>15</v>
      </c>
      <c r="I94" s="140">
        <v>1</v>
      </c>
      <c r="J94" s="143"/>
      <c r="K94" s="184">
        <f>COUNT(AI94:BZ94)</f>
        <v>12</v>
      </c>
      <c r="L94" s="140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101"/>
      <c r="AC94" s="42"/>
      <c r="AD94" s="46"/>
      <c r="AE94" s="46"/>
      <c r="AF94" s="46"/>
      <c r="AG94" s="46"/>
      <c r="AH94" s="57"/>
      <c r="AI94" s="86">
        <v>1</v>
      </c>
      <c r="AJ94" s="86">
        <f>AI94+1</f>
        <v>2</v>
      </c>
      <c r="AK94" s="86">
        <f t="shared" si="89"/>
        <v>3</v>
      </c>
      <c r="AL94" s="86">
        <f t="shared" si="89"/>
        <v>4</v>
      </c>
      <c r="AM94" s="86">
        <f t="shared" si="89"/>
        <v>5</v>
      </c>
      <c r="AN94" s="86">
        <f t="shared" si="89"/>
        <v>6</v>
      </c>
      <c r="AO94" s="86">
        <f t="shared" si="89"/>
        <v>7</v>
      </c>
      <c r="AP94" s="86">
        <f t="shared" si="89"/>
        <v>8</v>
      </c>
      <c r="AQ94" s="86">
        <f t="shared" si="89"/>
        <v>9</v>
      </c>
      <c r="AR94" s="86">
        <f t="shared" si="89"/>
        <v>10</v>
      </c>
      <c r="AS94" s="86">
        <f t="shared" si="89"/>
        <v>11</v>
      </c>
      <c r="AT94" s="86">
        <f t="shared" si="89"/>
        <v>12</v>
      </c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97"/>
      <c r="BJ94" s="4"/>
      <c r="BK94" s="4"/>
      <c r="BL94" s="4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5"/>
      <c r="CT94" s="5"/>
      <c r="CU94" s="5"/>
      <c r="CV94" s="5"/>
    </row>
    <row r="95" spans="1:100" ht="15" customHeight="1" x14ac:dyDescent="0.25">
      <c r="B95" s="139">
        <v>16</v>
      </c>
      <c r="C95" s="140">
        <v>5</v>
      </c>
      <c r="D95" s="139" t="str">
        <f t="shared" si="84"/>
        <v>EMPTY_WEST_N_1_22</v>
      </c>
      <c r="E95" s="140" t="s">
        <v>0</v>
      </c>
      <c r="F95" s="142" t="s">
        <v>32</v>
      </c>
      <c r="G95" s="140" t="s">
        <v>19</v>
      </c>
      <c r="H95" s="140" t="s">
        <v>15</v>
      </c>
      <c r="I95" s="140">
        <v>1</v>
      </c>
      <c r="J95" s="139"/>
      <c r="K95" s="184">
        <f>COUNT(AI95:BZ95)</f>
        <v>30</v>
      </c>
      <c r="L95" s="139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101"/>
      <c r="AC95" s="42"/>
      <c r="AD95" s="46"/>
      <c r="AE95" s="46"/>
      <c r="AF95" s="46"/>
      <c r="AG95" s="46"/>
      <c r="AH95" s="57"/>
      <c r="AI95" s="86">
        <v>1</v>
      </c>
      <c r="AJ95" s="86">
        <f>AI95+1</f>
        <v>2</v>
      </c>
      <c r="AK95" s="86">
        <f t="shared" si="89"/>
        <v>3</v>
      </c>
      <c r="AL95" s="86">
        <f t="shared" si="89"/>
        <v>4</v>
      </c>
      <c r="AM95" s="86">
        <f t="shared" si="89"/>
        <v>5</v>
      </c>
      <c r="AN95" s="86">
        <f t="shared" si="89"/>
        <v>6</v>
      </c>
      <c r="AO95" s="86">
        <f t="shared" si="89"/>
        <v>7</v>
      </c>
      <c r="AP95" s="86">
        <f t="shared" si="89"/>
        <v>8</v>
      </c>
      <c r="AQ95" s="86">
        <f t="shared" si="89"/>
        <v>9</v>
      </c>
      <c r="AR95" s="86">
        <f t="shared" si="89"/>
        <v>10</v>
      </c>
      <c r="AS95" s="86">
        <f t="shared" si="89"/>
        <v>11</v>
      </c>
      <c r="AT95" s="86">
        <f t="shared" si="89"/>
        <v>12</v>
      </c>
      <c r="AU95" s="86">
        <f t="shared" ref="AU95:BJ95" si="91">AT95+1</f>
        <v>13</v>
      </c>
      <c r="AV95" s="86">
        <f t="shared" si="91"/>
        <v>14</v>
      </c>
      <c r="AW95" s="86">
        <f t="shared" si="91"/>
        <v>15</v>
      </c>
      <c r="AX95" s="86">
        <f t="shared" si="91"/>
        <v>16</v>
      </c>
      <c r="AY95" s="86">
        <f t="shared" si="91"/>
        <v>17</v>
      </c>
      <c r="AZ95" s="86">
        <f t="shared" si="91"/>
        <v>18</v>
      </c>
      <c r="BA95" s="86">
        <f t="shared" si="91"/>
        <v>19</v>
      </c>
      <c r="BB95" s="86">
        <f t="shared" si="91"/>
        <v>20</v>
      </c>
      <c r="BC95" s="86">
        <f t="shared" si="91"/>
        <v>21</v>
      </c>
      <c r="BD95" s="86">
        <f t="shared" si="91"/>
        <v>22</v>
      </c>
      <c r="BE95" s="86">
        <f t="shared" si="91"/>
        <v>23</v>
      </c>
      <c r="BF95" s="86">
        <f t="shared" si="91"/>
        <v>24</v>
      </c>
      <c r="BG95" s="86">
        <f t="shared" si="91"/>
        <v>25</v>
      </c>
      <c r="BH95" s="86">
        <f t="shared" si="91"/>
        <v>26</v>
      </c>
      <c r="BI95" s="86">
        <f t="shared" si="91"/>
        <v>27</v>
      </c>
      <c r="BJ95" s="86">
        <f t="shared" si="91"/>
        <v>28</v>
      </c>
      <c r="BK95" s="86">
        <f t="shared" ref="BK95" si="92">BJ95+1</f>
        <v>29</v>
      </c>
      <c r="BL95" s="86">
        <f t="shared" ref="BL95" si="93">BK95+1</f>
        <v>30</v>
      </c>
      <c r="BM95" s="46"/>
      <c r="BN95" s="4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5"/>
      <c r="CT95" s="5"/>
      <c r="CU95" s="5"/>
      <c r="CV95" s="5"/>
    </row>
    <row r="96" spans="1:100" ht="15" customHeight="1" x14ac:dyDescent="0.25">
      <c r="B96" s="139">
        <v>16</v>
      </c>
      <c r="C96" s="140">
        <v>6</v>
      </c>
      <c r="D96" s="139" t="str">
        <f t="shared" si="84"/>
        <v>COUNTDOWN_WEST_N_1_22</v>
      </c>
      <c r="E96" s="140"/>
      <c r="F96" s="142" t="s">
        <v>33</v>
      </c>
      <c r="G96" s="140" t="s">
        <v>19</v>
      </c>
      <c r="H96" s="140" t="s">
        <v>15</v>
      </c>
      <c r="I96" s="140">
        <v>1</v>
      </c>
      <c r="J96" s="144"/>
      <c r="K96" s="144"/>
      <c r="L96" s="140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101"/>
      <c r="AC96" s="42"/>
      <c r="AD96" s="46"/>
      <c r="AE96" s="46"/>
      <c r="AF96" s="46"/>
      <c r="AG96" s="46"/>
      <c r="AH96" s="57"/>
      <c r="AI96" s="133"/>
      <c r="AJ96" s="133"/>
      <c r="AK96" s="46"/>
      <c r="AL96" s="46"/>
      <c r="AM96" s="46"/>
      <c r="AN96" s="6"/>
      <c r="AO96" s="6"/>
      <c r="AP96" s="46"/>
      <c r="AQ96" s="46"/>
      <c r="AR96" s="56"/>
      <c r="AS96" s="56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5"/>
      <c r="CT96" s="5"/>
      <c r="CU96" s="5"/>
      <c r="CV96" s="5"/>
    </row>
    <row r="97" spans="1:100" ht="15" customHeight="1" x14ac:dyDescent="0.25">
      <c r="B97" s="139">
        <v>17</v>
      </c>
      <c r="C97" s="139">
        <v>1</v>
      </c>
      <c r="D97" s="139" t="str">
        <f t="shared" si="84"/>
        <v>SORTING_WEST_J_2_22</v>
      </c>
      <c r="E97" s="139" t="s">
        <v>35</v>
      </c>
      <c r="F97" s="138" t="s">
        <v>45</v>
      </c>
      <c r="G97" s="140" t="s">
        <v>19</v>
      </c>
      <c r="H97" s="140" t="s">
        <v>11</v>
      </c>
      <c r="I97" s="140">
        <v>2</v>
      </c>
      <c r="J97" s="139"/>
      <c r="K97" s="184">
        <f>COUNT(AC97:BD97)</f>
        <v>12</v>
      </c>
      <c r="L97" s="139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101"/>
      <c r="AC97" s="8">
        <v>1</v>
      </c>
      <c r="AD97" s="3">
        <f>AC97+1</f>
        <v>2</v>
      </c>
      <c r="AE97" s="3">
        <f t="shared" ref="AE97:AT101" si="94">AD97+1</f>
        <v>3</v>
      </c>
      <c r="AF97" s="3">
        <f t="shared" si="94"/>
        <v>4</v>
      </c>
      <c r="AG97" s="3">
        <f t="shared" si="94"/>
        <v>5</v>
      </c>
      <c r="AH97" s="3">
        <f t="shared" si="94"/>
        <v>6</v>
      </c>
      <c r="AI97" s="3">
        <f t="shared" si="94"/>
        <v>7</v>
      </c>
      <c r="AJ97" s="3">
        <f t="shared" si="94"/>
        <v>8</v>
      </c>
      <c r="AK97" s="3">
        <f t="shared" si="94"/>
        <v>9</v>
      </c>
      <c r="AL97" s="3">
        <f t="shared" si="94"/>
        <v>10</v>
      </c>
      <c r="AM97" s="3">
        <f t="shared" si="94"/>
        <v>11</v>
      </c>
      <c r="AN97" s="3">
        <f t="shared" si="94"/>
        <v>12</v>
      </c>
      <c r="AO97" s="4"/>
      <c r="AP97" s="4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5"/>
      <c r="CT97" s="5"/>
      <c r="CU97" s="5"/>
      <c r="CV97" s="5"/>
    </row>
    <row r="98" spans="1:100" ht="15" customHeight="1" x14ac:dyDescent="0.25">
      <c r="B98" s="139">
        <v>17</v>
      </c>
      <c r="C98" s="139">
        <v>2</v>
      </c>
      <c r="D98" s="139" t="str">
        <f t="shared" si="84"/>
        <v>TRANSFER_WEST_J_2_22</v>
      </c>
      <c r="E98" s="139" t="s">
        <v>21</v>
      </c>
      <c r="F98" s="138" t="s">
        <v>21</v>
      </c>
      <c r="G98" s="140" t="s">
        <v>19</v>
      </c>
      <c r="H98" s="140" t="s">
        <v>11</v>
      </c>
      <c r="I98" s="140">
        <v>2</v>
      </c>
      <c r="J98" s="139"/>
      <c r="K98" s="184">
        <f>COUNT(AC98:BD98)</f>
        <v>14</v>
      </c>
      <c r="L98" s="139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101"/>
      <c r="AC98" s="8">
        <v>1</v>
      </c>
      <c r="AD98" s="3">
        <f>AC98+1</f>
        <v>2</v>
      </c>
      <c r="AE98" s="3">
        <f t="shared" si="94"/>
        <v>3</v>
      </c>
      <c r="AF98" s="3">
        <f t="shared" si="94"/>
        <v>4</v>
      </c>
      <c r="AG98" s="3">
        <f t="shared" si="94"/>
        <v>5</v>
      </c>
      <c r="AH98" s="3">
        <f t="shared" si="94"/>
        <v>6</v>
      </c>
      <c r="AI98" s="3">
        <f t="shared" si="94"/>
        <v>7</v>
      </c>
      <c r="AJ98" s="3">
        <f t="shared" si="94"/>
        <v>8</v>
      </c>
      <c r="AK98" s="3">
        <f t="shared" si="94"/>
        <v>9</v>
      </c>
      <c r="AL98" s="3">
        <f t="shared" si="94"/>
        <v>10</v>
      </c>
      <c r="AM98" s="3">
        <f t="shared" si="94"/>
        <v>11</v>
      </c>
      <c r="AN98" s="3">
        <f t="shared" si="94"/>
        <v>12</v>
      </c>
      <c r="AO98" s="3">
        <f t="shared" si="94"/>
        <v>13</v>
      </c>
      <c r="AP98" s="3">
        <f t="shared" si="94"/>
        <v>14</v>
      </c>
      <c r="AQ98" s="4"/>
      <c r="AR98" s="4"/>
      <c r="AS98" s="4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5"/>
      <c r="CT98" s="5"/>
      <c r="CU98" s="5"/>
      <c r="CV98" s="5"/>
    </row>
    <row r="99" spans="1:100" ht="15" customHeight="1" x14ac:dyDescent="0.25">
      <c r="B99" s="139">
        <v>17</v>
      </c>
      <c r="C99" s="139">
        <v>3</v>
      </c>
      <c r="D99" s="139" t="str">
        <f t="shared" si="84"/>
        <v>PREPARE_WEST_J_2_22</v>
      </c>
      <c r="E99" s="139" t="s">
        <v>0</v>
      </c>
      <c r="F99" s="138" t="s">
        <v>46</v>
      </c>
      <c r="G99" s="140" t="s">
        <v>19</v>
      </c>
      <c r="H99" s="140" t="s">
        <v>11</v>
      </c>
      <c r="I99" s="140">
        <v>2</v>
      </c>
      <c r="J99" s="141"/>
      <c r="K99" s="184">
        <f>COUNT(M99:BD99)</f>
        <v>34</v>
      </c>
      <c r="L99" s="139"/>
      <c r="M99" s="3">
        <v>1</v>
      </c>
      <c r="N99" s="3">
        <f>M99+1</f>
        <v>2</v>
      </c>
      <c r="O99" s="3">
        <f t="shared" ref="O99:AD99" si="95">N99+1</f>
        <v>3</v>
      </c>
      <c r="P99" s="3">
        <f t="shared" si="95"/>
        <v>4</v>
      </c>
      <c r="Q99" s="3">
        <f t="shared" si="95"/>
        <v>5</v>
      </c>
      <c r="R99" s="3">
        <f t="shared" si="95"/>
        <v>6</v>
      </c>
      <c r="S99" s="3">
        <f t="shared" si="95"/>
        <v>7</v>
      </c>
      <c r="T99" s="3">
        <f t="shared" si="95"/>
        <v>8</v>
      </c>
      <c r="U99" s="3">
        <f t="shared" si="95"/>
        <v>9</v>
      </c>
      <c r="V99" s="3">
        <f t="shared" si="95"/>
        <v>10</v>
      </c>
      <c r="W99" s="3">
        <f t="shared" si="95"/>
        <v>11</v>
      </c>
      <c r="X99" s="3">
        <f t="shared" si="95"/>
        <v>12</v>
      </c>
      <c r="Y99" s="3">
        <f t="shared" si="95"/>
        <v>13</v>
      </c>
      <c r="Z99" s="3">
        <f t="shared" si="95"/>
        <v>14</v>
      </c>
      <c r="AA99" s="3">
        <f t="shared" si="95"/>
        <v>15</v>
      </c>
      <c r="AB99" s="3">
        <f t="shared" si="95"/>
        <v>16</v>
      </c>
      <c r="AC99" s="3">
        <f t="shared" si="95"/>
        <v>17</v>
      </c>
      <c r="AD99" s="3">
        <f t="shared" si="95"/>
        <v>18</v>
      </c>
      <c r="AE99" s="3">
        <f t="shared" si="94"/>
        <v>19</v>
      </c>
      <c r="AF99" s="3">
        <f t="shared" si="94"/>
        <v>20</v>
      </c>
      <c r="AG99" s="3">
        <f t="shared" si="94"/>
        <v>21</v>
      </c>
      <c r="AH99" s="3">
        <f t="shared" si="94"/>
        <v>22</v>
      </c>
      <c r="AI99" s="3">
        <f t="shared" si="94"/>
        <v>23</v>
      </c>
      <c r="AJ99" s="3">
        <f t="shared" si="94"/>
        <v>24</v>
      </c>
      <c r="AK99" s="3">
        <f t="shared" si="94"/>
        <v>25</v>
      </c>
      <c r="AL99" s="3">
        <f t="shared" si="94"/>
        <v>26</v>
      </c>
      <c r="AM99" s="3">
        <f t="shared" si="94"/>
        <v>27</v>
      </c>
      <c r="AN99" s="3">
        <f t="shared" si="94"/>
        <v>28</v>
      </c>
      <c r="AO99" s="3">
        <f t="shared" si="94"/>
        <v>29</v>
      </c>
      <c r="AP99" s="3">
        <f t="shared" si="94"/>
        <v>30</v>
      </c>
      <c r="AQ99" s="3">
        <f t="shared" si="94"/>
        <v>31</v>
      </c>
      <c r="AR99" s="3">
        <f t="shared" si="94"/>
        <v>32</v>
      </c>
      <c r="AS99" s="3">
        <f t="shared" si="94"/>
        <v>33</v>
      </c>
      <c r="AT99" s="3">
        <f t="shared" si="94"/>
        <v>34</v>
      </c>
      <c r="AU99" s="4"/>
      <c r="AV99" s="4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5"/>
      <c r="CT99" s="5"/>
      <c r="CU99" s="5"/>
      <c r="CV99" s="5"/>
    </row>
    <row r="100" spans="1:100" ht="15" customHeight="1" x14ac:dyDescent="0.25">
      <c r="B100" s="139">
        <v>17</v>
      </c>
      <c r="C100" s="139">
        <v>4</v>
      </c>
      <c r="D100" s="139" t="str">
        <f t="shared" si="84"/>
        <v>SUPPLY_WEST_J_2_22</v>
      </c>
      <c r="E100" s="139" t="s">
        <v>0</v>
      </c>
      <c r="F100" s="142" t="s">
        <v>0</v>
      </c>
      <c r="G100" s="140" t="s">
        <v>19</v>
      </c>
      <c r="H100" s="140" t="s">
        <v>11</v>
      </c>
      <c r="I100" s="140">
        <v>2</v>
      </c>
      <c r="J100" s="143"/>
      <c r="K100" s="184">
        <f>COUNT(AI100:BZ100)</f>
        <v>14</v>
      </c>
      <c r="L100" s="140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101"/>
      <c r="AC100" s="42"/>
      <c r="AD100" s="46"/>
      <c r="AE100" s="46"/>
      <c r="AF100" s="46"/>
      <c r="AG100" s="46"/>
      <c r="AH100" s="57"/>
      <c r="AI100" s="86">
        <v>1</v>
      </c>
      <c r="AJ100" s="86">
        <f>AI100+1</f>
        <v>2</v>
      </c>
      <c r="AK100" s="86">
        <f t="shared" si="94"/>
        <v>3</v>
      </c>
      <c r="AL100" s="86">
        <f t="shared" si="94"/>
        <v>4</v>
      </c>
      <c r="AM100" s="86">
        <f t="shared" si="94"/>
        <v>5</v>
      </c>
      <c r="AN100" s="86">
        <f t="shared" si="94"/>
        <v>6</v>
      </c>
      <c r="AO100" s="86">
        <f t="shared" si="94"/>
        <v>7</v>
      </c>
      <c r="AP100" s="86">
        <f t="shared" si="94"/>
        <v>8</v>
      </c>
      <c r="AQ100" s="86">
        <f t="shared" si="94"/>
        <v>9</v>
      </c>
      <c r="AR100" s="86">
        <f t="shared" si="94"/>
        <v>10</v>
      </c>
      <c r="AS100" s="86">
        <f t="shared" si="94"/>
        <v>11</v>
      </c>
      <c r="AT100" s="86">
        <f t="shared" si="94"/>
        <v>12</v>
      </c>
      <c r="AU100" s="86">
        <f t="shared" ref="AU100:BJ101" si="96">AT100+1</f>
        <v>13</v>
      </c>
      <c r="AV100" s="86">
        <f t="shared" si="96"/>
        <v>14</v>
      </c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97"/>
      <c r="BL100" s="4"/>
      <c r="BM100" s="4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5"/>
      <c r="CT100" s="5"/>
      <c r="CU100" s="5"/>
      <c r="CV100" s="5"/>
    </row>
    <row r="101" spans="1:100" ht="15" customHeight="1" x14ac:dyDescent="0.25">
      <c r="B101" s="139">
        <v>17</v>
      </c>
      <c r="C101" s="140">
        <v>5</v>
      </c>
      <c r="D101" s="139" t="str">
        <f t="shared" si="84"/>
        <v>EMPTY_WEST_J_2_22</v>
      </c>
      <c r="E101" s="140" t="s">
        <v>0</v>
      </c>
      <c r="F101" s="142" t="s">
        <v>32</v>
      </c>
      <c r="G101" s="140" t="s">
        <v>19</v>
      </c>
      <c r="H101" s="140" t="s">
        <v>11</v>
      </c>
      <c r="I101" s="140">
        <v>2</v>
      </c>
      <c r="J101" s="139"/>
      <c r="K101" s="184">
        <f>COUNT(AI101:BZ101)</f>
        <v>31</v>
      </c>
      <c r="L101" s="139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101"/>
      <c r="AC101" s="42"/>
      <c r="AD101" s="46"/>
      <c r="AE101" s="46"/>
      <c r="AF101" s="46"/>
      <c r="AG101" s="46"/>
      <c r="AH101" s="57"/>
      <c r="AI101" s="86">
        <v>1</v>
      </c>
      <c r="AJ101" s="86">
        <f>AI101+1</f>
        <v>2</v>
      </c>
      <c r="AK101" s="86">
        <f t="shared" si="94"/>
        <v>3</v>
      </c>
      <c r="AL101" s="86">
        <f t="shared" si="94"/>
        <v>4</v>
      </c>
      <c r="AM101" s="86">
        <f t="shared" si="94"/>
        <v>5</v>
      </c>
      <c r="AN101" s="86">
        <f t="shared" si="94"/>
        <v>6</v>
      </c>
      <c r="AO101" s="86">
        <f t="shared" si="94"/>
        <v>7</v>
      </c>
      <c r="AP101" s="86">
        <f t="shared" si="94"/>
        <v>8</v>
      </c>
      <c r="AQ101" s="86">
        <f t="shared" si="94"/>
        <v>9</v>
      </c>
      <c r="AR101" s="86">
        <f t="shared" si="94"/>
        <v>10</v>
      </c>
      <c r="AS101" s="86">
        <f t="shared" si="94"/>
        <v>11</v>
      </c>
      <c r="AT101" s="86">
        <f t="shared" si="94"/>
        <v>12</v>
      </c>
      <c r="AU101" s="86">
        <f t="shared" si="96"/>
        <v>13</v>
      </c>
      <c r="AV101" s="86">
        <f t="shared" si="96"/>
        <v>14</v>
      </c>
      <c r="AW101" s="86">
        <f t="shared" si="96"/>
        <v>15</v>
      </c>
      <c r="AX101" s="86">
        <f t="shared" si="96"/>
        <v>16</v>
      </c>
      <c r="AY101" s="86">
        <f t="shared" si="96"/>
        <v>17</v>
      </c>
      <c r="AZ101" s="86">
        <f t="shared" si="96"/>
        <v>18</v>
      </c>
      <c r="BA101" s="86">
        <f t="shared" si="96"/>
        <v>19</v>
      </c>
      <c r="BB101" s="86">
        <f t="shared" si="96"/>
        <v>20</v>
      </c>
      <c r="BC101" s="86">
        <f t="shared" si="96"/>
        <v>21</v>
      </c>
      <c r="BD101" s="86">
        <f t="shared" si="96"/>
        <v>22</v>
      </c>
      <c r="BE101" s="86">
        <f t="shared" si="96"/>
        <v>23</v>
      </c>
      <c r="BF101" s="86">
        <f t="shared" si="96"/>
        <v>24</v>
      </c>
      <c r="BG101" s="86">
        <f t="shared" si="96"/>
        <v>25</v>
      </c>
      <c r="BH101" s="86">
        <f t="shared" si="96"/>
        <v>26</v>
      </c>
      <c r="BI101" s="86">
        <f t="shared" si="96"/>
        <v>27</v>
      </c>
      <c r="BJ101" s="86">
        <f t="shared" si="96"/>
        <v>28</v>
      </c>
      <c r="BK101" s="86">
        <f t="shared" ref="BK101:BM101" si="97">BJ101+1</f>
        <v>29</v>
      </c>
      <c r="BL101" s="86">
        <f t="shared" si="97"/>
        <v>30</v>
      </c>
      <c r="BM101" s="86">
        <f t="shared" si="97"/>
        <v>31</v>
      </c>
      <c r="BN101" s="46"/>
      <c r="BO101" s="4"/>
      <c r="BP101" s="4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5"/>
      <c r="CT101" s="5"/>
      <c r="CU101" s="5"/>
      <c r="CV101" s="5"/>
    </row>
    <row r="102" spans="1:100" ht="15" customHeight="1" x14ac:dyDescent="0.25">
      <c r="B102" s="139">
        <v>17</v>
      </c>
      <c r="C102" s="140">
        <v>6</v>
      </c>
      <c r="D102" s="139" t="str">
        <f t="shared" si="84"/>
        <v>COUNTDOWN_WEST_J_2_22</v>
      </c>
      <c r="E102" s="140"/>
      <c r="F102" s="142" t="s">
        <v>33</v>
      </c>
      <c r="G102" s="140" t="s">
        <v>19</v>
      </c>
      <c r="H102" s="140" t="s">
        <v>11</v>
      </c>
      <c r="I102" s="140">
        <v>2</v>
      </c>
      <c r="J102" s="144"/>
      <c r="K102" s="144"/>
      <c r="L102" s="140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101"/>
      <c r="AC102" s="8"/>
      <c r="AD102" s="3"/>
      <c r="AE102" s="3"/>
      <c r="AF102" s="3"/>
      <c r="AG102" s="3"/>
      <c r="AH102" s="31"/>
      <c r="AI102" s="86"/>
      <c r="AJ102" s="86"/>
      <c r="AK102" s="3"/>
      <c r="AL102" s="3"/>
      <c r="AM102" s="3"/>
      <c r="AN102" s="3"/>
      <c r="AO102" s="3"/>
      <c r="AP102" s="6"/>
      <c r="AQ102" s="6"/>
      <c r="AR102" s="46"/>
      <c r="AS102" s="46"/>
      <c r="AT102" s="56"/>
      <c r="AU102" s="56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5"/>
      <c r="CT102" s="5"/>
      <c r="CU102" s="5"/>
      <c r="CV102" s="5"/>
    </row>
    <row r="103" spans="1:100" ht="15" customHeight="1" x14ac:dyDescent="0.25">
      <c r="B103" s="139">
        <v>18</v>
      </c>
      <c r="C103" s="139">
        <v>1</v>
      </c>
      <c r="D103" s="139" t="str">
        <f t="shared" si="84"/>
        <v>SORTING_WEST_Q_1_22</v>
      </c>
      <c r="E103" s="139" t="s">
        <v>35</v>
      </c>
      <c r="F103" s="138" t="s">
        <v>45</v>
      </c>
      <c r="G103" s="140" t="s">
        <v>19</v>
      </c>
      <c r="H103" s="140" t="s">
        <v>59</v>
      </c>
      <c r="I103" s="140">
        <v>1</v>
      </c>
      <c r="J103" s="143"/>
      <c r="K103" s="184">
        <f>COUNT(AC103:BD103)</f>
        <v>14</v>
      </c>
      <c r="L103" s="140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101"/>
      <c r="AC103" s="8">
        <v>1</v>
      </c>
      <c r="AD103" s="3">
        <f>AC103+1</f>
        <v>2</v>
      </c>
      <c r="AE103" s="3">
        <f t="shared" ref="AE103:AT107" si="98">AD103+1</f>
        <v>3</v>
      </c>
      <c r="AF103" s="3">
        <f t="shared" si="98"/>
        <v>4</v>
      </c>
      <c r="AG103" s="3">
        <f t="shared" si="98"/>
        <v>5</v>
      </c>
      <c r="AH103" s="3">
        <f t="shared" si="98"/>
        <v>6</v>
      </c>
      <c r="AI103" s="3">
        <f t="shared" si="98"/>
        <v>7</v>
      </c>
      <c r="AJ103" s="3">
        <f t="shared" si="98"/>
        <v>8</v>
      </c>
      <c r="AK103" s="3">
        <f t="shared" si="98"/>
        <v>9</v>
      </c>
      <c r="AL103" s="3">
        <f t="shared" si="98"/>
        <v>10</v>
      </c>
      <c r="AM103" s="3">
        <f t="shared" si="98"/>
        <v>11</v>
      </c>
      <c r="AN103" s="3">
        <f t="shared" si="98"/>
        <v>12</v>
      </c>
      <c r="AO103" s="3">
        <f t="shared" si="98"/>
        <v>13</v>
      </c>
      <c r="AP103" s="3">
        <f t="shared" si="98"/>
        <v>14</v>
      </c>
      <c r="AQ103" s="4"/>
      <c r="AR103" s="4"/>
      <c r="AS103" s="4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5"/>
      <c r="CT103" s="5"/>
      <c r="CU103" s="5"/>
      <c r="CV103" s="5"/>
    </row>
    <row r="104" spans="1:100" ht="15" customHeight="1" x14ac:dyDescent="0.25">
      <c r="B104" s="139">
        <v>18</v>
      </c>
      <c r="C104" s="139">
        <v>2</v>
      </c>
      <c r="D104" s="139" t="str">
        <f t="shared" si="84"/>
        <v>TRANSFER_WEST_Q_1_22</v>
      </c>
      <c r="E104" s="139" t="s">
        <v>21</v>
      </c>
      <c r="F104" s="138" t="s">
        <v>21</v>
      </c>
      <c r="G104" s="140" t="s">
        <v>19</v>
      </c>
      <c r="H104" s="140" t="s">
        <v>59</v>
      </c>
      <c r="I104" s="140">
        <v>1</v>
      </c>
      <c r="J104" s="143"/>
      <c r="K104" s="184">
        <f>COUNT(AC104:BD104)</f>
        <v>17</v>
      </c>
      <c r="L104" s="140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101"/>
      <c r="AC104" s="8">
        <v>1</v>
      </c>
      <c r="AD104" s="3">
        <f>AC104+1</f>
        <v>2</v>
      </c>
      <c r="AE104" s="3">
        <f t="shared" si="98"/>
        <v>3</v>
      </c>
      <c r="AF104" s="3">
        <f t="shared" si="98"/>
        <v>4</v>
      </c>
      <c r="AG104" s="3">
        <f t="shared" si="98"/>
        <v>5</v>
      </c>
      <c r="AH104" s="3">
        <f t="shared" si="98"/>
        <v>6</v>
      </c>
      <c r="AI104" s="3">
        <f t="shared" si="98"/>
        <v>7</v>
      </c>
      <c r="AJ104" s="3">
        <f t="shared" si="98"/>
        <v>8</v>
      </c>
      <c r="AK104" s="3">
        <f t="shared" si="98"/>
        <v>9</v>
      </c>
      <c r="AL104" s="3">
        <f t="shared" si="98"/>
        <v>10</v>
      </c>
      <c r="AM104" s="3">
        <f t="shared" si="98"/>
        <v>11</v>
      </c>
      <c r="AN104" s="3">
        <f t="shared" si="98"/>
        <v>12</v>
      </c>
      <c r="AO104" s="3">
        <f t="shared" si="98"/>
        <v>13</v>
      </c>
      <c r="AP104" s="3">
        <f t="shared" si="98"/>
        <v>14</v>
      </c>
      <c r="AQ104" s="3">
        <f t="shared" si="98"/>
        <v>15</v>
      </c>
      <c r="AR104" s="3">
        <f t="shared" si="98"/>
        <v>16</v>
      </c>
      <c r="AS104" s="3">
        <f t="shared" si="98"/>
        <v>17</v>
      </c>
      <c r="AT104" s="4"/>
      <c r="AU104" s="4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5"/>
      <c r="CT104" s="5"/>
      <c r="CU104" s="5"/>
      <c r="CV104" s="5"/>
    </row>
    <row r="105" spans="1:100" ht="15" customHeight="1" x14ac:dyDescent="0.25">
      <c r="B105" s="139">
        <v>18</v>
      </c>
      <c r="C105" s="139">
        <v>3</v>
      </c>
      <c r="D105" s="139" t="str">
        <f t="shared" si="84"/>
        <v>PREPARE_WEST_Q_1_22</v>
      </c>
      <c r="E105" s="139" t="s">
        <v>0</v>
      </c>
      <c r="F105" s="138" t="s">
        <v>46</v>
      </c>
      <c r="G105" s="140" t="s">
        <v>19</v>
      </c>
      <c r="H105" s="140" t="s">
        <v>59</v>
      </c>
      <c r="I105" s="140">
        <v>1</v>
      </c>
      <c r="J105" s="143"/>
      <c r="K105" s="184">
        <f>COUNT(M105:BD105)</f>
        <v>36</v>
      </c>
      <c r="L105" s="140"/>
      <c r="M105" s="3">
        <v>1</v>
      </c>
      <c r="N105" s="3">
        <f>M105+1</f>
        <v>2</v>
      </c>
      <c r="O105" s="3">
        <f t="shared" ref="O105:AD105" si="99">N105+1</f>
        <v>3</v>
      </c>
      <c r="P105" s="3">
        <f t="shared" si="99"/>
        <v>4</v>
      </c>
      <c r="Q105" s="3">
        <f t="shared" si="99"/>
        <v>5</v>
      </c>
      <c r="R105" s="3">
        <f t="shared" si="99"/>
        <v>6</v>
      </c>
      <c r="S105" s="3">
        <f t="shared" si="99"/>
        <v>7</v>
      </c>
      <c r="T105" s="3">
        <f t="shared" si="99"/>
        <v>8</v>
      </c>
      <c r="U105" s="3">
        <f t="shared" si="99"/>
        <v>9</v>
      </c>
      <c r="V105" s="3">
        <f t="shared" si="99"/>
        <v>10</v>
      </c>
      <c r="W105" s="3">
        <f t="shared" si="99"/>
        <v>11</v>
      </c>
      <c r="X105" s="3">
        <f t="shared" si="99"/>
        <v>12</v>
      </c>
      <c r="Y105" s="3">
        <f t="shared" si="99"/>
        <v>13</v>
      </c>
      <c r="Z105" s="3">
        <f t="shared" si="99"/>
        <v>14</v>
      </c>
      <c r="AA105" s="3">
        <f t="shared" si="99"/>
        <v>15</v>
      </c>
      <c r="AB105" s="3">
        <f t="shared" si="99"/>
        <v>16</v>
      </c>
      <c r="AC105" s="3">
        <f t="shared" si="99"/>
        <v>17</v>
      </c>
      <c r="AD105" s="3">
        <f t="shared" si="99"/>
        <v>18</v>
      </c>
      <c r="AE105" s="3">
        <f t="shared" si="98"/>
        <v>19</v>
      </c>
      <c r="AF105" s="3">
        <f t="shared" si="98"/>
        <v>20</v>
      </c>
      <c r="AG105" s="3">
        <f t="shared" si="98"/>
        <v>21</v>
      </c>
      <c r="AH105" s="3">
        <f t="shared" si="98"/>
        <v>22</v>
      </c>
      <c r="AI105" s="3">
        <f t="shared" si="98"/>
        <v>23</v>
      </c>
      <c r="AJ105" s="3">
        <f t="shared" si="98"/>
        <v>24</v>
      </c>
      <c r="AK105" s="3">
        <f t="shared" si="98"/>
        <v>25</v>
      </c>
      <c r="AL105" s="3">
        <f t="shared" si="98"/>
        <v>26</v>
      </c>
      <c r="AM105" s="3">
        <f t="shared" si="98"/>
        <v>27</v>
      </c>
      <c r="AN105" s="3">
        <f t="shared" si="98"/>
        <v>28</v>
      </c>
      <c r="AO105" s="3">
        <f t="shared" si="98"/>
        <v>29</v>
      </c>
      <c r="AP105" s="3">
        <f t="shared" si="98"/>
        <v>30</v>
      </c>
      <c r="AQ105" s="3">
        <f t="shared" si="98"/>
        <v>31</v>
      </c>
      <c r="AR105" s="3">
        <f t="shared" si="98"/>
        <v>32</v>
      </c>
      <c r="AS105" s="3">
        <f t="shared" si="98"/>
        <v>33</v>
      </c>
      <c r="AT105" s="3">
        <f t="shared" si="98"/>
        <v>34</v>
      </c>
      <c r="AU105" s="3">
        <f t="shared" ref="AU105:BJ107" si="100">AT105+1</f>
        <v>35</v>
      </c>
      <c r="AV105" s="3">
        <f t="shared" si="100"/>
        <v>36</v>
      </c>
      <c r="AW105" s="4"/>
      <c r="AX105" s="4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5"/>
      <c r="CT105" s="5"/>
      <c r="CU105" s="5"/>
      <c r="CV105" s="5"/>
    </row>
    <row r="106" spans="1:100" ht="15" customHeight="1" x14ac:dyDescent="0.25">
      <c r="B106" s="139">
        <v>18</v>
      </c>
      <c r="C106" s="139">
        <v>4</v>
      </c>
      <c r="D106" s="139" t="str">
        <f t="shared" si="84"/>
        <v>SUPPLY_WEST_Q_1_22</v>
      </c>
      <c r="E106" s="139" t="s">
        <v>0</v>
      </c>
      <c r="F106" s="142" t="s">
        <v>0</v>
      </c>
      <c r="G106" s="140" t="s">
        <v>19</v>
      </c>
      <c r="H106" s="140" t="s">
        <v>59</v>
      </c>
      <c r="I106" s="140">
        <v>1</v>
      </c>
      <c r="J106" s="143"/>
      <c r="K106" s="184">
        <f>COUNT(AI106:BZ106)</f>
        <v>16</v>
      </c>
      <c r="L106" s="140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101"/>
      <c r="AC106" s="42"/>
      <c r="AD106" s="46"/>
      <c r="AE106" s="46"/>
      <c r="AF106" s="46"/>
      <c r="AG106" s="46"/>
      <c r="AH106" s="101"/>
      <c r="AI106" s="86">
        <v>1</v>
      </c>
      <c r="AJ106" s="86">
        <f>AI106+1</f>
        <v>2</v>
      </c>
      <c r="AK106" s="86">
        <f t="shared" si="98"/>
        <v>3</v>
      </c>
      <c r="AL106" s="86">
        <f t="shared" si="98"/>
        <v>4</v>
      </c>
      <c r="AM106" s="86">
        <f t="shared" si="98"/>
        <v>5</v>
      </c>
      <c r="AN106" s="86">
        <f t="shared" si="98"/>
        <v>6</v>
      </c>
      <c r="AO106" s="86">
        <f t="shared" si="98"/>
        <v>7</v>
      </c>
      <c r="AP106" s="86">
        <f t="shared" si="98"/>
        <v>8</v>
      </c>
      <c r="AQ106" s="86">
        <f t="shared" si="98"/>
        <v>9</v>
      </c>
      <c r="AR106" s="86">
        <f t="shared" si="98"/>
        <v>10</v>
      </c>
      <c r="AS106" s="86">
        <f t="shared" si="98"/>
        <v>11</v>
      </c>
      <c r="AT106" s="86">
        <f t="shared" si="98"/>
        <v>12</v>
      </c>
      <c r="AU106" s="86">
        <f t="shared" si="100"/>
        <v>13</v>
      </c>
      <c r="AV106" s="86">
        <f t="shared" si="100"/>
        <v>14</v>
      </c>
      <c r="AW106" s="86">
        <f t="shared" si="100"/>
        <v>15</v>
      </c>
      <c r="AX106" s="86">
        <f t="shared" si="100"/>
        <v>16</v>
      </c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97"/>
      <c r="BN106" s="4"/>
      <c r="BO106" s="4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5"/>
      <c r="CT106" s="5"/>
      <c r="CU106" s="5"/>
      <c r="CV106" s="5"/>
    </row>
    <row r="107" spans="1:100" ht="15" customHeight="1" x14ac:dyDescent="0.25">
      <c r="B107" s="139">
        <v>18</v>
      </c>
      <c r="C107" s="140">
        <v>5</v>
      </c>
      <c r="D107" s="139" t="str">
        <f t="shared" si="84"/>
        <v>EMPTY_WEST_Q_1_22</v>
      </c>
      <c r="E107" s="140" t="s">
        <v>0</v>
      </c>
      <c r="F107" s="142" t="s">
        <v>32</v>
      </c>
      <c r="G107" s="140" t="s">
        <v>19</v>
      </c>
      <c r="H107" s="140" t="s">
        <v>59</v>
      </c>
      <c r="I107" s="140">
        <v>1</v>
      </c>
      <c r="J107" s="143"/>
      <c r="K107" s="184">
        <f>COUNT(AI107:BZ107)</f>
        <v>33</v>
      </c>
      <c r="L107" s="140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101"/>
      <c r="AC107" s="42"/>
      <c r="AD107" s="46"/>
      <c r="AE107" s="46"/>
      <c r="AF107" s="46"/>
      <c r="AG107" s="46"/>
      <c r="AH107" s="57"/>
      <c r="AI107" s="86">
        <v>1</v>
      </c>
      <c r="AJ107" s="86">
        <f>AI107+1</f>
        <v>2</v>
      </c>
      <c r="AK107" s="86">
        <f t="shared" si="98"/>
        <v>3</v>
      </c>
      <c r="AL107" s="86">
        <f t="shared" si="98"/>
        <v>4</v>
      </c>
      <c r="AM107" s="86">
        <f t="shared" si="98"/>
        <v>5</v>
      </c>
      <c r="AN107" s="86">
        <f t="shared" si="98"/>
        <v>6</v>
      </c>
      <c r="AO107" s="86">
        <f t="shared" si="98"/>
        <v>7</v>
      </c>
      <c r="AP107" s="86">
        <f t="shared" si="98"/>
        <v>8</v>
      </c>
      <c r="AQ107" s="86">
        <f t="shared" si="98"/>
        <v>9</v>
      </c>
      <c r="AR107" s="86">
        <f t="shared" si="98"/>
        <v>10</v>
      </c>
      <c r="AS107" s="86">
        <f t="shared" si="98"/>
        <v>11</v>
      </c>
      <c r="AT107" s="86">
        <f t="shared" si="98"/>
        <v>12</v>
      </c>
      <c r="AU107" s="86">
        <f t="shared" si="100"/>
        <v>13</v>
      </c>
      <c r="AV107" s="86">
        <f t="shared" si="100"/>
        <v>14</v>
      </c>
      <c r="AW107" s="86">
        <f t="shared" si="100"/>
        <v>15</v>
      </c>
      <c r="AX107" s="86">
        <f t="shared" si="100"/>
        <v>16</v>
      </c>
      <c r="AY107" s="86">
        <f t="shared" si="100"/>
        <v>17</v>
      </c>
      <c r="AZ107" s="86">
        <f t="shared" si="100"/>
        <v>18</v>
      </c>
      <c r="BA107" s="86">
        <f t="shared" si="100"/>
        <v>19</v>
      </c>
      <c r="BB107" s="86">
        <f t="shared" si="100"/>
        <v>20</v>
      </c>
      <c r="BC107" s="86">
        <f t="shared" si="100"/>
        <v>21</v>
      </c>
      <c r="BD107" s="86">
        <f t="shared" si="100"/>
        <v>22</v>
      </c>
      <c r="BE107" s="86">
        <f t="shared" si="100"/>
        <v>23</v>
      </c>
      <c r="BF107" s="86">
        <f t="shared" si="100"/>
        <v>24</v>
      </c>
      <c r="BG107" s="86">
        <f t="shared" si="100"/>
        <v>25</v>
      </c>
      <c r="BH107" s="86">
        <f t="shared" si="100"/>
        <v>26</v>
      </c>
      <c r="BI107" s="86">
        <f t="shared" si="100"/>
        <v>27</v>
      </c>
      <c r="BJ107" s="86">
        <f t="shared" si="100"/>
        <v>28</v>
      </c>
      <c r="BK107" s="86">
        <f t="shared" ref="BK107:BO107" si="101">BJ107+1</f>
        <v>29</v>
      </c>
      <c r="BL107" s="86">
        <f t="shared" si="101"/>
        <v>30</v>
      </c>
      <c r="BM107" s="86">
        <f t="shared" si="101"/>
        <v>31</v>
      </c>
      <c r="BN107" s="86">
        <f t="shared" si="101"/>
        <v>32</v>
      </c>
      <c r="BO107" s="86">
        <f t="shared" si="101"/>
        <v>33</v>
      </c>
      <c r="BP107" s="46"/>
      <c r="BQ107" s="4"/>
      <c r="BR107" s="4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5"/>
      <c r="CT107" s="5"/>
      <c r="CU107" s="5"/>
      <c r="CV107" s="5"/>
    </row>
    <row r="108" spans="1:100" ht="15" customHeight="1" x14ac:dyDescent="0.25">
      <c r="B108" s="139">
        <v>18</v>
      </c>
      <c r="C108" s="140">
        <v>6</v>
      </c>
      <c r="D108" s="139" t="str">
        <f t="shared" si="84"/>
        <v>COUNTDOWN_WEST_Q_1_22</v>
      </c>
      <c r="E108" s="140"/>
      <c r="F108" s="142" t="s">
        <v>33</v>
      </c>
      <c r="G108" s="140" t="s">
        <v>19</v>
      </c>
      <c r="H108" s="140" t="s">
        <v>59</v>
      </c>
      <c r="I108" s="140">
        <v>1</v>
      </c>
      <c r="J108" s="144"/>
      <c r="K108" s="144"/>
      <c r="L108" s="140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101"/>
      <c r="AC108" s="42"/>
      <c r="AD108" s="46"/>
      <c r="AE108" s="46"/>
      <c r="AF108" s="46"/>
      <c r="AG108" s="46"/>
      <c r="AH108" s="101"/>
      <c r="AI108" s="133"/>
      <c r="AJ108" s="133"/>
      <c r="AK108" s="46"/>
      <c r="AL108" s="46"/>
      <c r="AM108" s="46"/>
      <c r="AN108" s="46"/>
      <c r="AO108" s="46"/>
      <c r="AP108" s="46"/>
      <c r="AQ108" s="46"/>
      <c r="AR108" s="6"/>
      <c r="AS108" s="6"/>
      <c r="AT108" s="46"/>
      <c r="AU108" s="46"/>
      <c r="AV108" s="56"/>
      <c r="AW108" s="56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5"/>
      <c r="CT108" s="5"/>
      <c r="CU108" s="5"/>
      <c r="CV108" s="5"/>
    </row>
    <row r="109" spans="1:100" ht="15" customHeight="1" x14ac:dyDescent="0.25">
      <c r="A109" t="s">
        <v>7</v>
      </c>
      <c r="B109" s="139">
        <v>19</v>
      </c>
      <c r="C109" s="139">
        <v>1</v>
      </c>
      <c r="D109" s="139" t="str">
        <f t="shared" si="84"/>
        <v>SORTING_WEST_F_2_22</v>
      </c>
      <c r="E109" s="139" t="s">
        <v>35</v>
      </c>
      <c r="F109" s="138" t="s">
        <v>45</v>
      </c>
      <c r="G109" s="140" t="s">
        <v>19</v>
      </c>
      <c r="H109" s="140" t="s">
        <v>7</v>
      </c>
      <c r="I109" s="140">
        <v>2</v>
      </c>
      <c r="J109" s="139"/>
      <c r="K109" s="184">
        <f>COUNT(AC109:BD109)</f>
        <v>17</v>
      </c>
      <c r="L109" s="139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101"/>
      <c r="AC109" s="8">
        <v>1</v>
      </c>
      <c r="AD109" s="3">
        <f>AC109+1</f>
        <v>2</v>
      </c>
      <c r="AE109" s="3">
        <f t="shared" ref="AE109:AT113" si="102">AD109+1</f>
        <v>3</v>
      </c>
      <c r="AF109" s="3">
        <f t="shared" si="102"/>
        <v>4</v>
      </c>
      <c r="AG109" s="3">
        <f t="shared" si="102"/>
        <v>5</v>
      </c>
      <c r="AH109" s="3">
        <f t="shared" si="102"/>
        <v>6</v>
      </c>
      <c r="AI109" s="3">
        <f t="shared" si="102"/>
        <v>7</v>
      </c>
      <c r="AJ109" s="3">
        <f t="shared" si="102"/>
        <v>8</v>
      </c>
      <c r="AK109" s="3">
        <f t="shared" si="102"/>
        <v>9</v>
      </c>
      <c r="AL109" s="3">
        <f t="shared" si="102"/>
        <v>10</v>
      </c>
      <c r="AM109" s="3">
        <f t="shared" si="102"/>
        <v>11</v>
      </c>
      <c r="AN109" s="3">
        <f t="shared" si="102"/>
        <v>12</v>
      </c>
      <c r="AO109" s="3">
        <f t="shared" si="102"/>
        <v>13</v>
      </c>
      <c r="AP109" s="3">
        <f t="shared" si="102"/>
        <v>14</v>
      </c>
      <c r="AQ109" s="3">
        <f t="shared" si="102"/>
        <v>15</v>
      </c>
      <c r="AR109" s="3">
        <f t="shared" si="102"/>
        <v>16</v>
      </c>
      <c r="AS109" s="3">
        <f t="shared" si="102"/>
        <v>17</v>
      </c>
      <c r="AT109" s="4"/>
      <c r="AU109" s="4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5"/>
      <c r="CT109" s="5"/>
      <c r="CU109" s="5"/>
      <c r="CV109" s="5"/>
    </row>
    <row r="110" spans="1:100" ht="15" customHeight="1" x14ac:dyDescent="0.25">
      <c r="A110" t="s">
        <v>7</v>
      </c>
      <c r="B110" s="139">
        <v>19</v>
      </c>
      <c r="C110" s="139">
        <v>2</v>
      </c>
      <c r="D110" s="139" t="str">
        <f t="shared" si="84"/>
        <v>TRANSFER_WEST_F_2_22</v>
      </c>
      <c r="E110" s="139" t="s">
        <v>21</v>
      </c>
      <c r="F110" s="138" t="s">
        <v>21</v>
      </c>
      <c r="G110" s="140" t="s">
        <v>19</v>
      </c>
      <c r="H110" s="140" t="s">
        <v>7</v>
      </c>
      <c r="I110" s="140">
        <v>2</v>
      </c>
      <c r="J110" s="139"/>
      <c r="K110" s="184">
        <f>COUNT(AC110:BD110)</f>
        <v>19</v>
      </c>
      <c r="L110" s="139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101"/>
      <c r="AC110" s="8">
        <v>1</v>
      </c>
      <c r="AD110" s="3">
        <f>AC110+1</f>
        <v>2</v>
      </c>
      <c r="AE110" s="3">
        <f t="shared" si="102"/>
        <v>3</v>
      </c>
      <c r="AF110" s="3">
        <f t="shared" si="102"/>
        <v>4</v>
      </c>
      <c r="AG110" s="3">
        <f t="shared" si="102"/>
        <v>5</v>
      </c>
      <c r="AH110" s="3">
        <f t="shared" si="102"/>
        <v>6</v>
      </c>
      <c r="AI110" s="3">
        <f t="shared" si="102"/>
        <v>7</v>
      </c>
      <c r="AJ110" s="3">
        <f t="shared" si="102"/>
        <v>8</v>
      </c>
      <c r="AK110" s="3">
        <f t="shared" si="102"/>
        <v>9</v>
      </c>
      <c r="AL110" s="3">
        <f t="shared" si="102"/>
        <v>10</v>
      </c>
      <c r="AM110" s="3">
        <f t="shared" si="102"/>
        <v>11</v>
      </c>
      <c r="AN110" s="3">
        <f t="shared" si="102"/>
        <v>12</v>
      </c>
      <c r="AO110" s="3">
        <f t="shared" si="102"/>
        <v>13</v>
      </c>
      <c r="AP110" s="3">
        <f t="shared" si="102"/>
        <v>14</v>
      </c>
      <c r="AQ110" s="3">
        <f t="shared" si="102"/>
        <v>15</v>
      </c>
      <c r="AR110" s="3">
        <f t="shared" si="102"/>
        <v>16</v>
      </c>
      <c r="AS110" s="3">
        <f t="shared" si="102"/>
        <v>17</v>
      </c>
      <c r="AT110" s="3">
        <f t="shared" si="102"/>
        <v>18</v>
      </c>
      <c r="AU110" s="3">
        <f t="shared" ref="AE110:AU113" si="103">AT110+1</f>
        <v>19</v>
      </c>
      <c r="AV110" s="4"/>
      <c r="AW110" s="4"/>
      <c r="AX110" s="4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5"/>
      <c r="CT110" s="5"/>
      <c r="CU110" s="5"/>
      <c r="CV110" s="5"/>
    </row>
    <row r="111" spans="1:100" ht="15" customHeight="1" x14ac:dyDescent="0.25">
      <c r="A111" t="s">
        <v>7</v>
      </c>
      <c r="B111" s="139">
        <v>19</v>
      </c>
      <c r="C111" s="139">
        <v>3</v>
      </c>
      <c r="D111" s="139" t="str">
        <f t="shared" si="84"/>
        <v>PREPARE_WEST_F_2_22</v>
      </c>
      <c r="E111" s="139" t="s">
        <v>0</v>
      </c>
      <c r="F111" s="138" t="s">
        <v>46</v>
      </c>
      <c r="G111" s="140" t="s">
        <v>19</v>
      </c>
      <c r="H111" s="140" t="s">
        <v>7</v>
      </c>
      <c r="I111" s="140">
        <v>2</v>
      </c>
      <c r="J111" s="141"/>
      <c r="K111" s="184">
        <f>COUNT(M111:BD111)</f>
        <v>37</v>
      </c>
      <c r="L111" s="139"/>
      <c r="M111" s="3">
        <v>1</v>
      </c>
      <c r="N111" s="3">
        <f>M111+1</f>
        <v>2</v>
      </c>
      <c r="O111" s="3">
        <f t="shared" ref="O111:AD111" si="104">N111+1</f>
        <v>3</v>
      </c>
      <c r="P111" s="3">
        <f t="shared" si="104"/>
        <v>4</v>
      </c>
      <c r="Q111" s="3">
        <f t="shared" si="104"/>
        <v>5</v>
      </c>
      <c r="R111" s="3">
        <f t="shared" si="104"/>
        <v>6</v>
      </c>
      <c r="S111" s="3">
        <f t="shared" si="104"/>
        <v>7</v>
      </c>
      <c r="T111" s="3">
        <f t="shared" si="104"/>
        <v>8</v>
      </c>
      <c r="U111" s="3">
        <f t="shared" si="104"/>
        <v>9</v>
      </c>
      <c r="V111" s="3">
        <f t="shared" si="104"/>
        <v>10</v>
      </c>
      <c r="W111" s="3">
        <f t="shared" si="104"/>
        <v>11</v>
      </c>
      <c r="X111" s="3">
        <f t="shared" si="104"/>
        <v>12</v>
      </c>
      <c r="Y111" s="3">
        <f t="shared" si="104"/>
        <v>13</v>
      </c>
      <c r="Z111" s="3">
        <f t="shared" si="104"/>
        <v>14</v>
      </c>
      <c r="AA111" s="3">
        <f t="shared" si="104"/>
        <v>15</v>
      </c>
      <c r="AB111" s="3">
        <f t="shared" si="104"/>
        <v>16</v>
      </c>
      <c r="AC111" s="3">
        <f t="shared" si="104"/>
        <v>17</v>
      </c>
      <c r="AD111" s="3">
        <f t="shared" si="104"/>
        <v>18</v>
      </c>
      <c r="AE111" s="3">
        <f t="shared" si="103"/>
        <v>19</v>
      </c>
      <c r="AF111" s="3">
        <f t="shared" si="103"/>
        <v>20</v>
      </c>
      <c r="AG111" s="3">
        <f t="shared" si="103"/>
        <v>21</v>
      </c>
      <c r="AH111" s="3">
        <f t="shared" si="103"/>
        <v>22</v>
      </c>
      <c r="AI111" s="3">
        <f t="shared" si="103"/>
        <v>23</v>
      </c>
      <c r="AJ111" s="3">
        <f t="shared" si="102"/>
        <v>24</v>
      </c>
      <c r="AK111" s="3">
        <f t="shared" si="102"/>
        <v>25</v>
      </c>
      <c r="AL111" s="3">
        <f t="shared" si="103"/>
        <v>26</v>
      </c>
      <c r="AM111" s="3">
        <f t="shared" si="103"/>
        <v>27</v>
      </c>
      <c r="AN111" s="3">
        <f t="shared" si="103"/>
        <v>28</v>
      </c>
      <c r="AO111" s="3">
        <f t="shared" si="103"/>
        <v>29</v>
      </c>
      <c r="AP111" s="3">
        <f t="shared" si="103"/>
        <v>30</v>
      </c>
      <c r="AQ111" s="3">
        <f t="shared" si="103"/>
        <v>31</v>
      </c>
      <c r="AR111" s="3">
        <f t="shared" si="103"/>
        <v>32</v>
      </c>
      <c r="AS111" s="3">
        <f t="shared" si="103"/>
        <v>33</v>
      </c>
      <c r="AT111" s="3">
        <f t="shared" si="103"/>
        <v>34</v>
      </c>
      <c r="AU111" s="3">
        <f t="shared" si="103"/>
        <v>35</v>
      </c>
      <c r="AV111" s="3">
        <f t="shared" ref="AV111:BK113" si="105">AU111+1</f>
        <v>36</v>
      </c>
      <c r="AW111" s="3">
        <f t="shared" si="105"/>
        <v>37</v>
      </c>
      <c r="AX111" s="4"/>
      <c r="AY111" s="4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5"/>
      <c r="CT111" s="5"/>
      <c r="CU111" s="5"/>
      <c r="CV111" s="5"/>
    </row>
    <row r="112" spans="1:100" ht="15" customHeight="1" x14ac:dyDescent="0.25">
      <c r="A112" t="s">
        <v>7</v>
      </c>
      <c r="B112" s="139">
        <v>19</v>
      </c>
      <c r="C112" s="139">
        <v>4</v>
      </c>
      <c r="D112" s="139" t="str">
        <f t="shared" si="84"/>
        <v>SUPPLY_WEST_F_2_22</v>
      </c>
      <c r="E112" s="139" t="s">
        <v>0</v>
      </c>
      <c r="F112" s="142" t="s">
        <v>0</v>
      </c>
      <c r="G112" s="140" t="s">
        <v>19</v>
      </c>
      <c r="H112" s="140" t="s">
        <v>7</v>
      </c>
      <c r="I112" s="140">
        <v>2</v>
      </c>
      <c r="J112" s="143"/>
      <c r="K112" s="184">
        <f>COUNT(AI112:BZ112)</f>
        <v>17</v>
      </c>
      <c r="L112" s="140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101"/>
      <c r="AC112" s="42"/>
      <c r="AD112" s="46"/>
      <c r="AE112" s="46"/>
      <c r="AF112" s="46"/>
      <c r="AG112" s="46"/>
      <c r="AH112" s="57"/>
      <c r="AI112" s="86">
        <v>1</v>
      </c>
      <c r="AJ112" s="86">
        <f>AI112+1</f>
        <v>2</v>
      </c>
      <c r="AK112" s="86">
        <f t="shared" si="102"/>
        <v>3</v>
      </c>
      <c r="AL112" s="86">
        <f t="shared" si="103"/>
        <v>4</v>
      </c>
      <c r="AM112" s="86">
        <f t="shared" si="103"/>
        <v>5</v>
      </c>
      <c r="AN112" s="86">
        <f t="shared" si="103"/>
        <v>6</v>
      </c>
      <c r="AO112" s="86">
        <f t="shared" si="103"/>
        <v>7</v>
      </c>
      <c r="AP112" s="86">
        <f t="shared" si="103"/>
        <v>8</v>
      </c>
      <c r="AQ112" s="86">
        <f t="shared" si="103"/>
        <v>9</v>
      </c>
      <c r="AR112" s="86">
        <f t="shared" si="103"/>
        <v>10</v>
      </c>
      <c r="AS112" s="86">
        <f t="shared" si="103"/>
        <v>11</v>
      </c>
      <c r="AT112" s="86">
        <f t="shared" si="103"/>
        <v>12</v>
      </c>
      <c r="AU112" s="86">
        <f t="shared" si="103"/>
        <v>13</v>
      </c>
      <c r="AV112" s="86">
        <f t="shared" si="105"/>
        <v>14</v>
      </c>
      <c r="AW112" s="86">
        <f t="shared" si="105"/>
        <v>15</v>
      </c>
      <c r="AX112" s="86">
        <f t="shared" si="105"/>
        <v>16</v>
      </c>
      <c r="AY112" s="86">
        <f t="shared" si="105"/>
        <v>17</v>
      </c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97"/>
      <c r="BQ112" s="4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5"/>
      <c r="CT112" s="5"/>
      <c r="CU112" s="5"/>
      <c r="CV112" s="5"/>
    </row>
    <row r="113" spans="1:100" ht="15" customHeight="1" x14ac:dyDescent="0.25">
      <c r="A113" t="s">
        <v>7</v>
      </c>
      <c r="B113" s="139">
        <v>19</v>
      </c>
      <c r="C113" s="140">
        <v>5</v>
      </c>
      <c r="D113" s="139" t="str">
        <f t="shared" si="84"/>
        <v>EMPTY_WEST_F_2_22</v>
      </c>
      <c r="E113" s="140" t="s">
        <v>0</v>
      </c>
      <c r="F113" s="142" t="s">
        <v>32</v>
      </c>
      <c r="G113" s="140" t="s">
        <v>19</v>
      </c>
      <c r="H113" s="140" t="s">
        <v>7</v>
      </c>
      <c r="I113" s="140">
        <v>2</v>
      </c>
      <c r="J113" s="139"/>
      <c r="K113" s="184">
        <f>COUNT(AI113:BZ113)</f>
        <v>35</v>
      </c>
      <c r="L113" s="139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101"/>
      <c r="AC113" s="42"/>
      <c r="AD113" s="46"/>
      <c r="AE113" s="46"/>
      <c r="AF113" s="46"/>
      <c r="AG113" s="46"/>
      <c r="AH113" s="57"/>
      <c r="AI113" s="86">
        <v>1</v>
      </c>
      <c r="AJ113" s="86">
        <f>AI113+1</f>
        <v>2</v>
      </c>
      <c r="AK113" s="86">
        <f t="shared" si="102"/>
        <v>3</v>
      </c>
      <c r="AL113" s="86">
        <f t="shared" si="103"/>
        <v>4</v>
      </c>
      <c r="AM113" s="86">
        <f t="shared" si="103"/>
        <v>5</v>
      </c>
      <c r="AN113" s="86">
        <f t="shared" si="103"/>
        <v>6</v>
      </c>
      <c r="AO113" s="86">
        <f t="shared" si="103"/>
        <v>7</v>
      </c>
      <c r="AP113" s="86">
        <f t="shared" si="103"/>
        <v>8</v>
      </c>
      <c r="AQ113" s="86">
        <f t="shared" si="103"/>
        <v>9</v>
      </c>
      <c r="AR113" s="86">
        <f t="shared" si="103"/>
        <v>10</v>
      </c>
      <c r="AS113" s="86">
        <f t="shared" si="103"/>
        <v>11</v>
      </c>
      <c r="AT113" s="86">
        <f t="shared" si="103"/>
        <v>12</v>
      </c>
      <c r="AU113" s="86">
        <f t="shared" si="103"/>
        <v>13</v>
      </c>
      <c r="AV113" s="86">
        <f t="shared" si="105"/>
        <v>14</v>
      </c>
      <c r="AW113" s="86">
        <f t="shared" si="105"/>
        <v>15</v>
      </c>
      <c r="AX113" s="86">
        <f t="shared" si="105"/>
        <v>16</v>
      </c>
      <c r="AY113" s="86">
        <f t="shared" si="105"/>
        <v>17</v>
      </c>
      <c r="AZ113" s="86">
        <f t="shared" si="105"/>
        <v>18</v>
      </c>
      <c r="BA113" s="86">
        <f t="shared" si="105"/>
        <v>19</v>
      </c>
      <c r="BB113" s="86">
        <f t="shared" si="105"/>
        <v>20</v>
      </c>
      <c r="BC113" s="86">
        <f t="shared" si="105"/>
        <v>21</v>
      </c>
      <c r="BD113" s="86">
        <f t="shared" si="105"/>
        <v>22</v>
      </c>
      <c r="BE113" s="86">
        <f t="shared" si="105"/>
        <v>23</v>
      </c>
      <c r="BF113" s="86">
        <f t="shared" si="105"/>
        <v>24</v>
      </c>
      <c r="BG113" s="86">
        <f t="shared" si="105"/>
        <v>25</v>
      </c>
      <c r="BH113" s="86">
        <f t="shared" si="105"/>
        <v>26</v>
      </c>
      <c r="BI113" s="86">
        <f t="shared" si="105"/>
        <v>27</v>
      </c>
      <c r="BJ113" s="86">
        <f t="shared" si="105"/>
        <v>28</v>
      </c>
      <c r="BK113" s="86">
        <f t="shared" si="105"/>
        <v>29</v>
      </c>
      <c r="BL113" s="86">
        <f t="shared" ref="BL113:BQ113" si="106">BK113+1</f>
        <v>30</v>
      </c>
      <c r="BM113" s="86">
        <f t="shared" si="106"/>
        <v>31</v>
      </c>
      <c r="BN113" s="86">
        <f t="shared" si="106"/>
        <v>32</v>
      </c>
      <c r="BO113" s="86">
        <f t="shared" si="106"/>
        <v>33</v>
      </c>
      <c r="BP113" s="86">
        <f t="shared" si="106"/>
        <v>34</v>
      </c>
      <c r="BQ113" s="86">
        <f t="shared" si="106"/>
        <v>35</v>
      </c>
      <c r="BR113" s="46"/>
      <c r="BS113" s="4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5"/>
      <c r="CT113" s="5"/>
      <c r="CU113" s="5"/>
      <c r="CV113" s="5"/>
    </row>
    <row r="114" spans="1:100" ht="15" customHeight="1" x14ac:dyDescent="0.25">
      <c r="A114" t="s">
        <v>7</v>
      </c>
      <c r="B114" s="139">
        <v>19</v>
      </c>
      <c r="C114" s="140">
        <v>6</v>
      </c>
      <c r="D114" s="139" t="str">
        <f t="shared" si="84"/>
        <v>COUNTDOWN_WEST_F_2_22</v>
      </c>
      <c r="E114" s="140"/>
      <c r="F114" s="142" t="s">
        <v>33</v>
      </c>
      <c r="G114" s="140" t="s">
        <v>19</v>
      </c>
      <c r="H114" s="140" t="s">
        <v>7</v>
      </c>
      <c r="I114" s="140">
        <v>2</v>
      </c>
      <c r="J114" s="144"/>
      <c r="K114" s="144"/>
      <c r="L114" s="140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101"/>
      <c r="AC114" s="8"/>
      <c r="AD114" s="3"/>
      <c r="AE114" s="3"/>
      <c r="AF114" s="3"/>
      <c r="AG114" s="3"/>
      <c r="AH114" s="31"/>
      <c r="AI114" s="86"/>
      <c r="AJ114" s="86"/>
      <c r="AK114" s="3"/>
      <c r="AL114" s="3"/>
      <c r="AM114" s="3"/>
      <c r="AN114" s="3"/>
      <c r="AO114" s="3"/>
      <c r="AP114" s="3"/>
      <c r="AQ114" s="3"/>
      <c r="AR114" s="3"/>
      <c r="AS114" s="3"/>
      <c r="AT114" s="6"/>
      <c r="AU114" s="6"/>
      <c r="AV114" s="46"/>
      <c r="AW114" s="46"/>
      <c r="AX114" s="46"/>
      <c r="AY114" s="56"/>
      <c r="AZ114" s="56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5"/>
      <c r="CT114" s="5"/>
      <c r="CU114" s="5"/>
      <c r="CV114" s="5"/>
    </row>
    <row r="115" spans="1:100" ht="15" customHeight="1" x14ac:dyDescent="0.25">
      <c r="A115" t="s">
        <v>14</v>
      </c>
      <c r="B115" s="139">
        <v>20</v>
      </c>
      <c r="C115" s="139">
        <v>1</v>
      </c>
      <c r="D115" s="139" t="str">
        <f t="shared" si="84"/>
        <v>SORTING_WEST_M_1_22</v>
      </c>
      <c r="E115" s="139" t="s">
        <v>35</v>
      </c>
      <c r="F115" s="138" t="s">
        <v>45</v>
      </c>
      <c r="G115" s="140" t="s">
        <v>19</v>
      </c>
      <c r="H115" s="140" t="s">
        <v>14</v>
      </c>
      <c r="I115" s="140">
        <v>1</v>
      </c>
      <c r="J115" s="139"/>
      <c r="K115" s="184">
        <f>COUNT(AC115:BD115)</f>
        <v>19</v>
      </c>
      <c r="L115" s="139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101"/>
      <c r="AC115" s="8">
        <v>1</v>
      </c>
      <c r="AD115" s="3">
        <f>AC115+1</f>
        <v>2</v>
      </c>
      <c r="AE115" s="3">
        <f t="shared" ref="AE115:AU119" si="107">AD115+1</f>
        <v>3</v>
      </c>
      <c r="AF115" s="3">
        <f t="shared" si="107"/>
        <v>4</v>
      </c>
      <c r="AG115" s="3">
        <f t="shared" si="107"/>
        <v>5</v>
      </c>
      <c r="AH115" s="3">
        <f t="shared" si="107"/>
        <v>6</v>
      </c>
      <c r="AI115" s="3">
        <f t="shared" si="107"/>
        <v>7</v>
      </c>
      <c r="AJ115" s="3">
        <f t="shared" si="107"/>
        <v>8</v>
      </c>
      <c r="AK115" s="3">
        <f t="shared" si="107"/>
        <v>9</v>
      </c>
      <c r="AL115" s="3">
        <f t="shared" si="107"/>
        <v>10</v>
      </c>
      <c r="AM115" s="3">
        <f t="shared" si="107"/>
        <v>11</v>
      </c>
      <c r="AN115" s="3">
        <f t="shared" si="107"/>
        <v>12</v>
      </c>
      <c r="AO115" s="3">
        <f t="shared" si="107"/>
        <v>13</v>
      </c>
      <c r="AP115" s="3">
        <f t="shared" si="107"/>
        <v>14</v>
      </c>
      <c r="AQ115" s="3">
        <f t="shared" si="107"/>
        <v>15</v>
      </c>
      <c r="AR115" s="3">
        <f t="shared" si="107"/>
        <v>16</v>
      </c>
      <c r="AS115" s="3">
        <f t="shared" si="107"/>
        <v>17</v>
      </c>
      <c r="AT115" s="3">
        <f t="shared" si="107"/>
        <v>18</v>
      </c>
      <c r="AU115" s="3">
        <f t="shared" si="107"/>
        <v>19</v>
      </c>
      <c r="AV115" s="4"/>
      <c r="AW115" s="4"/>
      <c r="AX115" s="4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5"/>
      <c r="CT115" s="5"/>
      <c r="CU115" s="5"/>
      <c r="CV115" s="5"/>
    </row>
    <row r="116" spans="1:100" ht="15" customHeight="1" x14ac:dyDescent="0.25">
      <c r="A116" t="s">
        <v>14</v>
      </c>
      <c r="B116" s="139">
        <v>20</v>
      </c>
      <c r="C116" s="139">
        <v>2</v>
      </c>
      <c r="D116" s="139" t="str">
        <f t="shared" si="84"/>
        <v>TRANSFER_WEST_M_1_22</v>
      </c>
      <c r="E116" s="139" t="s">
        <v>21</v>
      </c>
      <c r="F116" s="138" t="s">
        <v>21</v>
      </c>
      <c r="G116" s="140" t="s">
        <v>19</v>
      </c>
      <c r="H116" s="140" t="s">
        <v>14</v>
      </c>
      <c r="I116" s="140">
        <v>1</v>
      </c>
      <c r="J116" s="139"/>
      <c r="K116" s="184">
        <f>COUNT(AC116:BD116)</f>
        <v>22</v>
      </c>
      <c r="L116" s="139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101"/>
      <c r="AC116" s="8">
        <v>1</v>
      </c>
      <c r="AD116" s="3">
        <f>AC116+1</f>
        <v>2</v>
      </c>
      <c r="AE116" s="3">
        <f t="shared" si="107"/>
        <v>3</v>
      </c>
      <c r="AF116" s="3">
        <f t="shared" si="107"/>
        <v>4</v>
      </c>
      <c r="AG116" s="3">
        <f t="shared" si="107"/>
        <v>5</v>
      </c>
      <c r="AH116" s="3">
        <f t="shared" si="107"/>
        <v>6</v>
      </c>
      <c r="AI116" s="3">
        <f t="shared" si="107"/>
        <v>7</v>
      </c>
      <c r="AJ116" s="3">
        <f t="shared" si="107"/>
        <v>8</v>
      </c>
      <c r="AK116" s="3">
        <f t="shared" si="107"/>
        <v>9</v>
      </c>
      <c r="AL116" s="3">
        <f t="shared" si="107"/>
        <v>10</v>
      </c>
      <c r="AM116" s="3">
        <f t="shared" si="107"/>
        <v>11</v>
      </c>
      <c r="AN116" s="3">
        <f t="shared" si="107"/>
        <v>12</v>
      </c>
      <c r="AO116" s="3">
        <f t="shared" si="107"/>
        <v>13</v>
      </c>
      <c r="AP116" s="3">
        <f t="shared" si="107"/>
        <v>14</v>
      </c>
      <c r="AQ116" s="3">
        <f t="shared" si="107"/>
        <v>15</v>
      </c>
      <c r="AR116" s="3">
        <f t="shared" si="107"/>
        <v>16</v>
      </c>
      <c r="AS116" s="3">
        <f t="shared" si="107"/>
        <v>17</v>
      </c>
      <c r="AT116" s="3">
        <f t="shared" si="107"/>
        <v>18</v>
      </c>
      <c r="AU116" s="3">
        <f t="shared" si="107"/>
        <v>19</v>
      </c>
      <c r="AV116" s="3">
        <f t="shared" ref="AV116:BK119" si="108">AU116+1</f>
        <v>20</v>
      </c>
      <c r="AW116" s="3">
        <f t="shared" si="108"/>
        <v>21</v>
      </c>
      <c r="AX116" s="3">
        <f t="shared" si="108"/>
        <v>22</v>
      </c>
      <c r="AY116" s="4"/>
      <c r="AZ116" s="4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5"/>
      <c r="CT116" s="5"/>
      <c r="CU116" s="5"/>
      <c r="CV116" s="5"/>
    </row>
    <row r="117" spans="1:100" ht="15" customHeight="1" x14ac:dyDescent="0.25">
      <c r="A117" t="s">
        <v>14</v>
      </c>
      <c r="B117" s="139">
        <v>20</v>
      </c>
      <c r="C117" s="139">
        <v>3</v>
      </c>
      <c r="D117" s="139" t="str">
        <f t="shared" si="84"/>
        <v>PREPARE_WEST_M_1_22</v>
      </c>
      <c r="E117" s="139" t="s">
        <v>0</v>
      </c>
      <c r="F117" s="138" t="s">
        <v>46</v>
      </c>
      <c r="G117" s="140" t="s">
        <v>19</v>
      </c>
      <c r="H117" s="140" t="s">
        <v>14</v>
      </c>
      <c r="I117" s="140">
        <v>1</v>
      </c>
      <c r="J117" s="141"/>
      <c r="K117" s="184">
        <f>COUNT(M117:BD117)</f>
        <v>40</v>
      </c>
      <c r="L117" s="139"/>
      <c r="M117" s="3">
        <v>1</v>
      </c>
      <c r="N117" s="3">
        <f>M117+1</f>
        <v>2</v>
      </c>
      <c r="O117" s="3">
        <f t="shared" ref="O117:AD117" si="109">N117+1</f>
        <v>3</v>
      </c>
      <c r="P117" s="3">
        <f t="shared" si="109"/>
        <v>4</v>
      </c>
      <c r="Q117" s="3">
        <f t="shared" si="109"/>
        <v>5</v>
      </c>
      <c r="R117" s="3">
        <f t="shared" si="109"/>
        <v>6</v>
      </c>
      <c r="S117" s="3">
        <f t="shared" si="109"/>
        <v>7</v>
      </c>
      <c r="T117" s="3">
        <f t="shared" si="109"/>
        <v>8</v>
      </c>
      <c r="U117" s="3">
        <f t="shared" si="109"/>
        <v>9</v>
      </c>
      <c r="V117" s="3">
        <f t="shared" si="109"/>
        <v>10</v>
      </c>
      <c r="W117" s="3">
        <f t="shared" si="109"/>
        <v>11</v>
      </c>
      <c r="X117" s="3">
        <f t="shared" si="109"/>
        <v>12</v>
      </c>
      <c r="Y117" s="3">
        <f t="shared" si="109"/>
        <v>13</v>
      </c>
      <c r="Z117" s="3">
        <f t="shared" si="109"/>
        <v>14</v>
      </c>
      <c r="AA117" s="3">
        <f t="shared" si="109"/>
        <v>15</v>
      </c>
      <c r="AB117" s="3">
        <f t="shared" si="109"/>
        <v>16</v>
      </c>
      <c r="AC117" s="3">
        <f t="shared" si="109"/>
        <v>17</v>
      </c>
      <c r="AD117" s="3">
        <f t="shared" si="109"/>
        <v>18</v>
      </c>
      <c r="AE117" s="3">
        <f t="shared" si="107"/>
        <v>19</v>
      </c>
      <c r="AF117" s="3">
        <f t="shared" si="107"/>
        <v>20</v>
      </c>
      <c r="AG117" s="3">
        <f t="shared" si="107"/>
        <v>21</v>
      </c>
      <c r="AH117" s="3">
        <f t="shared" si="107"/>
        <v>22</v>
      </c>
      <c r="AI117" s="3">
        <f t="shared" si="107"/>
        <v>23</v>
      </c>
      <c r="AJ117" s="3">
        <f t="shared" si="107"/>
        <v>24</v>
      </c>
      <c r="AK117" s="3">
        <f t="shared" si="107"/>
        <v>25</v>
      </c>
      <c r="AL117" s="3">
        <f t="shared" si="107"/>
        <v>26</v>
      </c>
      <c r="AM117" s="3">
        <f t="shared" si="107"/>
        <v>27</v>
      </c>
      <c r="AN117" s="3">
        <f t="shared" si="107"/>
        <v>28</v>
      </c>
      <c r="AO117" s="3">
        <f t="shared" si="107"/>
        <v>29</v>
      </c>
      <c r="AP117" s="3">
        <f t="shared" si="107"/>
        <v>30</v>
      </c>
      <c r="AQ117" s="3">
        <f t="shared" si="107"/>
        <v>31</v>
      </c>
      <c r="AR117" s="3">
        <f t="shared" si="107"/>
        <v>32</v>
      </c>
      <c r="AS117" s="3">
        <f t="shared" si="107"/>
        <v>33</v>
      </c>
      <c r="AT117" s="3">
        <f t="shared" si="107"/>
        <v>34</v>
      </c>
      <c r="AU117" s="3">
        <f t="shared" si="107"/>
        <v>35</v>
      </c>
      <c r="AV117" s="3">
        <f t="shared" si="108"/>
        <v>36</v>
      </c>
      <c r="AW117" s="3">
        <f t="shared" si="108"/>
        <v>37</v>
      </c>
      <c r="AX117" s="3">
        <f t="shared" si="108"/>
        <v>38</v>
      </c>
      <c r="AY117" s="3">
        <f t="shared" si="108"/>
        <v>39</v>
      </c>
      <c r="AZ117" s="3">
        <f t="shared" si="108"/>
        <v>40</v>
      </c>
      <c r="BA117" s="4"/>
      <c r="BB117" s="4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5"/>
      <c r="CT117" s="5"/>
      <c r="CU117" s="5"/>
      <c r="CV117" s="5"/>
    </row>
    <row r="118" spans="1:100" ht="15" customHeight="1" x14ac:dyDescent="0.25">
      <c r="A118" t="s">
        <v>14</v>
      </c>
      <c r="B118" s="139">
        <v>20</v>
      </c>
      <c r="C118" s="139">
        <v>4</v>
      </c>
      <c r="D118" s="139" t="str">
        <f t="shared" si="84"/>
        <v>SUPPLY_WEST_M_1_22</v>
      </c>
      <c r="E118" s="139" t="s">
        <v>0</v>
      </c>
      <c r="F118" s="142" t="s">
        <v>0</v>
      </c>
      <c r="G118" s="140" t="s">
        <v>19</v>
      </c>
      <c r="H118" s="140" t="s">
        <v>14</v>
      </c>
      <c r="I118" s="140">
        <v>1</v>
      </c>
      <c r="J118" s="143"/>
      <c r="K118" s="184">
        <f>COUNT(AI118:BZ118)</f>
        <v>20</v>
      </c>
      <c r="L118" s="140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101"/>
      <c r="AC118" s="42"/>
      <c r="AD118" s="46"/>
      <c r="AE118" s="46"/>
      <c r="AF118" s="46"/>
      <c r="AG118" s="46"/>
      <c r="AH118" s="57"/>
      <c r="AI118" s="86">
        <v>1</v>
      </c>
      <c r="AJ118" s="86">
        <f>AI118+1</f>
        <v>2</v>
      </c>
      <c r="AK118" s="86">
        <f t="shared" si="107"/>
        <v>3</v>
      </c>
      <c r="AL118" s="86">
        <f t="shared" si="107"/>
        <v>4</v>
      </c>
      <c r="AM118" s="86">
        <f t="shared" si="107"/>
        <v>5</v>
      </c>
      <c r="AN118" s="86">
        <f t="shared" si="107"/>
        <v>6</v>
      </c>
      <c r="AO118" s="86">
        <f t="shared" si="107"/>
        <v>7</v>
      </c>
      <c r="AP118" s="86">
        <f t="shared" si="107"/>
        <v>8</v>
      </c>
      <c r="AQ118" s="86">
        <f t="shared" si="107"/>
        <v>9</v>
      </c>
      <c r="AR118" s="86">
        <f t="shared" si="107"/>
        <v>10</v>
      </c>
      <c r="AS118" s="86">
        <f t="shared" si="107"/>
        <v>11</v>
      </c>
      <c r="AT118" s="86">
        <f t="shared" si="107"/>
        <v>12</v>
      </c>
      <c r="AU118" s="86">
        <f t="shared" si="107"/>
        <v>13</v>
      </c>
      <c r="AV118" s="86">
        <f t="shared" si="108"/>
        <v>14</v>
      </c>
      <c r="AW118" s="86">
        <f t="shared" si="108"/>
        <v>15</v>
      </c>
      <c r="AX118" s="86">
        <f t="shared" si="108"/>
        <v>16</v>
      </c>
      <c r="AY118" s="86">
        <f t="shared" si="108"/>
        <v>17</v>
      </c>
      <c r="AZ118" s="86">
        <f t="shared" si="108"/>
        <v>18</v>
      </c>
      <c r="BA118" s="86">
        <f t="shared" si="108"/>
        <v>19</v>
      </c>
      <c r="BB118" s="86">
        <f t="shared" si="108"/>
        <v>20</v>
      </c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97"/>
      <c r="BS118" s="4"/>
      <c r="BT118" s="4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5"/>
      <c r="CT118" s="5"/>
      <c r="CU118" s="5"/>
      <c r="CV118" s="5"/>
    </row>
    <row r="119" spans="1:100" ht="15" customHeight="1" x14ac:dyDescent="0.25">
      <c r="A119" t="s">
        <v>14</v>
      </c>
      <c r="B119" s="139">
        <v>20</v>
      </c>
      <c r="C119" s="140">
        <v>5</v>
      </c>
      <c r="D119" s="139" t="str">
        <f t="shared" si="84"/>
        <v>EMPTY_WEST_M_1_22</v>
      </c>
      <c r="E119" s="140" t="s">
        <v>0</v>
      </c>
      <c r="F119" s="142" t="s">
        <v>32</v>
      </c>
      <c r="G119" s="140" t="s">
        <v>19</v>
      </c>
      <c r="H119" s="140" t="s">
        <v>14</v>
      </c>
      <c r="I119" s="140">
        <v>1</v>
      </c>
      <c r="J119" s="139"/>
      <c r="K119" s="184">
        <f>COUNT(AI119:BZ119)</f>
        <v>38</v>
      </c>
      <c r="L119" s="139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101"/>
      <c r="AC119" s="42"/>
      <c r="AD119" s="46"/>
      <c r="AE119" s="46"/>
      <c r="AF119" s="46"/>
      <c r="AG119" s="46"/>
      <c r="AH119" s="57"/>
      <c r="AI119" s="86">
        <v>1</v>
      </c>
      <c r="AJ119" s="86">
        <f>AI119+1</f>
        <v>2</v>
      </c>
      <c r="AK119" s="86">
        <f t="shared" si="107"/>
        <v>3</v>
      </c>
      <c r="AL119" s="86">
        <f t="shared" si="107"/>
        <v>4</v>
      </c>
      <c r="AM119" s="86">
        <f t="shared" si="107"/>
        <v>5</v>
      </c>
      <c r="AN119" s="86">
        <f t="shared" si="107"/>
        <v>6</v>
      </c>
      <c r="AO119" s="86">
        <f t="shared" si="107"/>
        <v>7</v>
      </c>
      <c r="AP119" s="86">
        <f t="shared" si="107"/>
        <v>8</v>
      </c>
      <c r="AQ119" s="86">
        <f t="shared" si="107"/>
        <v>9</v>
      </c>
      <c r="AR119" s="86">
        <f t="shared" si="107"/>
        <v>10</v>
      </c>
      <c r="AS119" s="86">
        <f t="shared" si="107"/>
        <v>11</v>
      </c>
      <c r="AT119" s="86">
        <f t="shared" si="107"/>
        <v>12</v>
      </c>
      <c r="AU119" s="86">
        <f t="shared" si="107"/>
        <v>13</v>
      </c>
      <c r="AV119" s="86">
        <f t="shared" si="108"/>
        <v>14</v>
      </c>
      <c r="AW119" s="86">
        <f t="shared" si="108"/>
        <v>15</v>
      </c>
      <c r="AX119" s="86">
        <f t="shared" si="108"/>
        <v>16</v>
      </c>
      <c r="AY119" s="86">
        <f t="shared" si="108"/>
        <v>17</v>
      </c>
      <c r="AZ119" s="86">
        <f t="shared" si="108"/>
        <v>18</v>
      </c>
      <c r="BA119" s="86">
        <f t="shared" si="108"/>
        <v>19</v>
      </c>
      <c r="BB119" s="86">
        <f t="shared" si="108"/>
        <v>20</v>
      </c>
      <c r="BC119" s="86">
        <f t="shared" si="108"/>
        <v>21</v>
      </c>
      <c r="BD119" s="86">
        <f t="shared" si="108"/>
        <v>22</v>
      </c>
      <c r="BE119" s="86">
        <f t="shared" si="108"/>
        <v>23</v>
      </c>
      <c r="BF119" s="86">
        <f t="shared" si="108"/>
        <v>24</v>
      </c>
      <c r="BG119" s="86">
        <f t="shared" si="108"/>
        <v>25</v>
      </c>
      <c r="BH119" s="86">
        <f t="shared" si="108"/>
        <v>26</v>
      </c>
      <c r="BI119" s="86">
        <f t="shared" si="108"/>
        <v>27</v>
      </c>
      <c r="BJ119" s="86">
        <f t="shared" si="108"/>
        <v>28</v>
      </c>
      <c r="BK119" s="86">
        <f t="shared" si="108"/>
        <v>29</v>
      </c>
      <c r="BL119" s="86">
        <f t="shared" ref="BL119:BT119" si="110">BK119+1</f>
        <v>30</v>
      </c>
      <c r="BM119" s="86">
        <f t="shared" si="110"/>
        <v>31</v>
      </c>
      <c r="BN119" s="86">
        <f t="shared" si="110"/>
        <v>32</v>
      </c>
      <c r="BO119" s="86">
        <f t="shared" si="110"/>
        <v>33</v>
      </c>
      <c r="BP119" s="86">
        <f t="shared" si="110"/>
        <v>34</v>
      </c>
      <c r="BQ119" s="86">
        <f t="shared" si="110"/>
        <v>35</v>
      </c>
      <c r="BR119" s="86">
        <f t="shared" si="110"/>
        <v>36</v>
      </c>
      <c r="BS119" s="86">
        <f t="shared" si="110"/>
        <v>37</v>
      </c>
      <c r="BT119" s="86">
        <f t="shared" si="110"/>
        <v>38</v>
      </c>
      <c r="BU119" s="46"/>
      <c r="BV119" s="4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5"/>
      <c r="CT119" s="5"/>
      <c r="CU119" s="5"/>
      <c r="CV119" s="5"/>
    </row>
    <row r="120" spans="1:100" ht="15.75" customHeight="1" thickBot="1" x14ac:dyDescent="0.3">
      <c r="A120" t="s">
        <v>14</v>
      </c>
      <c r="B120" s="139">
        <v>20</v>
      </c>
      <c r="C120" s="140">
        <v>6</v>
      </c>
      <c r="D120" s="139" t="str">
        <f t="shared" si="84"/>
        <v>COUNTDOWN_WEST_M_1_22</v>
      </c>
      <c r="E120" s="140"/>
      <c r="F120" s="142" t="s">
        <v>33</v>
      </c>
      <c r="G120" s="140" t="s">
        <v>19</v>
      </c>
      <c r="H120" s="140" t="s">
        <v>14</v>
      </c>
      <c r="I120" s="140">
        <v>1</v>
      </c>
      <c r="J120" s="144"/>
      <c r="K120" s="144"/>
      <c r="L120" s="140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101"/>
      <c r="AC120" s="221"/>
      <c r="AD120" s="83"/>
      <c r="AE120" s="83"/>
      <c r="AF120" s="83"/>
      <c r="AG120" s="83"/>
      <c r="AH120" s="222"/>
      <c r="AI120" s="133"/>
      <c r="AJ120" s="133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6"/>
      <c r="AW120" s="6"/>
      <c r="AX120" s="6"/>
      <c r="AY120" s="46"/>
      <c r="AZ120" s="46"/>
      <c r="BA120" s="56"/>
      <c r="BB120" s="56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5"/>
      <c r="CT120" s="5"/>
      <c r="CU120" s="5"/>
      <c r="CV120" s="5"/>
    </row>
  </sheetData>
  <mergeCells count="2">
    <mergeCell ref="AA2:AD2"/>
    <mergeCell ref="AG2:AK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Z120"/>
  <sheetViews>
    <sheetView topLeftCell="D1" zoomScale="70" zoomScaleNormal="70" workbookViewId="0">
      <pane xSplit="9" topLeftCell="M1" activePane="topRight" state="frozen"/>
      <selection activeCell="D1" sqref="D1"/>
      <selection pane="topRight" activeCell="K8" sqref="K8"/>
    </sheetView>
  </sheetViews>
  <sheetFormatPr defaultRowHeight="15" x14ac:dyDescent="0.25"/>
  <cols>
    <col min="1" max="1" width="3" customWidth="1"/>
    <col min="2" max="2" width="6.85546875" bestFit="1" customWidth="1"/>
    <col min="3" max="3" width="14.42578125" customWidth="1"/>
    <col min="4" max="4" width="32.5703125" bestFit="1" customWidth="1"/>
    <col min="5" max="5" width="17.28515625" bestFit="1" customWidth="1"/>
    <col min="6" max="6" width="14.85546875" bestFit="1" customWidth="1"/>
    <col min="7" max="7" width="6.7109375" bestFit="1" customWidth="1"/>
    <col min="9" max="9" width="4.7109375" bestFit="1" customWidth="1"/>
    <col min="10" max="11" width="8.140625" customWidth="1"/>
    <col min="13" max="104" width="3.7109375" customWidth="1"/>
  </cols>
  <sheetData>
    <row r="1" spans="2:104" ht="21" x14ac:dyDescent="0.25">
      <c r="B1" s="44" t="s">
        <v>60</v>
      </c>
      <c r="D1" s="335">
        <v>23</v>
      </c>
      <c r="E1" s="334" t="s">
        <v>66</v>
      </c>
    </row>
    <row r="2" spans="2:104" x14ac:dyDescent="0.25">
      <c r="AB2" s="360" t="s">
        <v>43</v>
      </c>
      <c r="AC2" s="361"/>
      <c r="AD2" s="361"/>
      <c r="AE2" s="362"/>
      <c r="AH2" s="360" t="s">
        <v>44</v>
      </c>
      <c r="AI2" s="361"/>
      <c r="AJ2" s="361"/>
      <c r="AK2" s="361"/>
      <c r="AL2" s="361"/>
      <c r="AM2" s="362"/>
    </row>
    <row r="3" spans="2:104" x14ac:dyDescent="0.25">
      <c r="AC3" s="172"/>
      <c r="AI3" s="174"/>
      <c r="AJ3" s="2"/>
      <c r="AK3" s="2"/>
      <c r="AL3" s="2"/>
    </row>
    <row r="4" spans="2:104" ht="18.75" customHeight="1" thickBot="1" x14ac:dyDescent="0.3">
      <c r="B4" s="135" t="s">
        <v>26</v>
      </c>
      <c r="C4" s="135" t="s">
        <v>25</v>
      </c>
      <c r="D4" s="135"/>
      <c r="E4" s="135" t="s">
        <v>34</v>
      </c>
      <c r="F4" s="135" t="s">
        <v>29</v>
      </c>
      <c r="G4" s="135" t="s">
        <v>17</v>
      </c>
      <c r="H4" s="135" t="s">
        <v>1</v>
      </c>
      <c r="I4" s="135" t="s">
        <v>20</v>
      </c>
      <c r="J4" s="135" t="s">
        <v>30</v>
      </c>
      <c r="K4" s="135" t="s">
        <v>31</v>
      </c>
      <c r="L4" s="135" t="s">
        <v>27</v>
      </c>
      <c r="AC4" s="173"/>
      <c r="AI4" s="175"/>
    </row>
    <row r="5" spans="2:104" ht="18.75" customHeight="1" x14ac:dyDescent="0.25">
      <c r="B5" s="136"/>
      <c r="C5" s="136"/>
      <c r="D5" s="136"/>
      <c r="E5" s="136"/>
      <c r="F5" s="136"/>
      <c r="G5" s="136"/>
      <c r="H5" s="136"/>
      <c r="I5" s="145"/>
      <c r="J5" s="136"/>
      <c r="K5" s="136">
        <v>17</v>
      </c>
      <c r="L5" s="137" t="s">
        <v>37</v>
      </c>
      <c r="M5" s="4">
        <v>23</v>
      </c>
      <c r="N5" s="4">
        <v>22</v>
      </c>
      <c r="O5" s="4">
        <v>21</v>
      </c>
      <c r="P5" s="4">
        <v>20</v>
      </c>
      <c r="Q5" s="4">
        <v>19</v>
      </c>
      <c r="R5" s="4">
        <v>18</v>
      </c>
      <c r="S5" s="4">
        <v>17</v>
      </c>
      <c r="T5" s="4">
        <v>16</v>
      </c>
      <c r="U5" s="4">
        <v>15</v>
      </c>
      <c r="V5" s="4">
        <v>14</v>
      </c>
      <c r="W5" s="4">
        <v>13</v>
      </c>
      <c r="X5" s="4">
        <v>12</v>
      </c>
      <c r="Y5" s="4">
        <v>11</v>
      </c>
      <c r="Z5" s="4">
        <v>10</v>
      </c>
      <c r="AA5" s="4">
        <v>9</v>
      </c>
      <c r="AB5" s="97">
        <v>8</v>
      </c>
      <c r="AC5" s="21">
        <v>7</v>
      </c>
      <c r="AD5" s="170">
        <v>6</v>
      </c>
      <c r="AE5" s="12">
        <v>5</v>
      </c>
      <c r="AF5" s="12">
        <v>4</v>
      </c>
      <c r="AG5" s="12">
        <v>3</v>
      </c>
      <c r="AH5" s="12">
        <v>2</v>
      </c>
      <c r="AI5" s="18">
        <v>1</v>
      </c>
      <c r="AJ5" s="95">
        <v>23</v>
      </c>
      <c r="AK5" s="95">
        <v>22</v>
      </c>
      <c r="AL5" s="95">
        <v>21</v>
      </c>
      <c r="AM5" s="40">
        <v>20</v>
      </c>
      <c r="AN5" s="40">
        <v>19</v>
      </c>
      <c r="AO5" s="40">
        <v>18</v>
      </c>
      <c r="AP5" s="40">
        <v>17</v>
      </c>
      <c r="AQ5" s="40">
        <v>16</v>
      </c>
      <c r="AR5" s="40">
        <v>15</v>
      </c>
      <c r="AS5" s="40">
        <v>14</v>
      </c>
      <c r="AT5" s="40">
        <v>13</v>
      </c>
      <c r="AU5" s="40">
        <v>12</v>
      </c>
      <c r="AV5" s="40">
        <v>11</v>
      </c>
      <c r="AW5" s="40">
        <v>10</v>
      </c>
      <c r="AX5" s="40">
        <v>9</v>
      </c>
      <c r="AY5" s="40">
        <v>8</v>
      </c>
      <c r="AZ5" s="40">
        <v>7</v>
      </c>
      <c r="BA5" s="40">
        <v>6</v>
      </c>
      <c r="BB5" s="40">
        <v>5</v>
      </c>
      <c r="BC5" s="40">
        <v>4</v>
      </c>
      <c r="BD5" s="40">
        <v>3</v>
      </c>
      <c r="BE5" s="40">
        <v>2</v>
      </c>
      <c r="BF5" s="40">
        <v>1</v>
      </c>
      <c r="BG5" s="37">
        <v>23</v>
      </c>
      <c r="BH5" s="37">
        <v>22</v>
      </c>
      <c r="BI5" s="37">
        <v>21</v>
      </c>
      <c r="BJ5" s="37">
        <v>20</v>
      </c>
      <c r="BK5" s="37">
        <v>19</v>
      </c>
      <c r="BL5" s="37">
        <v>18</v>
      </c>
      <c r="BM5" s="37">
        <v>17</v>
      </c>
      <c r="BN5" s="37">
        <v>16</v>
      </c>
      <c r="BO5" s="37">
        <v>15</v>
      </c>
      <c r="BP5" s="37">
        <v>14</v>
      </c>
      <c r="BQ5" s="37">
        <v>13</v>
      </c>
      <c r="BR5" s="37">
        <v>12</v>
      </c>
      <c r="BS5" s="37">
        <v>11</v>
      </c>
      <c r="BT5" s="37">
        <v>10</v>
      </c>
      <c r="BU5" s="37">
        <v>9</v>
      </c>
      <c r="BV5" s="37">
        <v>8</v>
      </c>
      <c r="BW5" s="37">
        <v>7</v>
      </c>
      <c r="BX5" s="37">
        <v>6</v>
      </c>
      <c r="BY5" s="37">
        <v>5</v>
      </c>
      <c r="BZ5" s="37">
        <v>4</v>
      </c>
      <c r="CA5" s="37">
        <v>3</v>
      </c>
      <c r="CB5" s="37">
        <v>2</v>
      </c>
      <c r="CC5" s="37">
        <v>1</v>
      </c>
      <c r="CD5" s="88">
        <v>23</v>
      </c>
      <c r="CE5" s="88">
        <v>22</v>
      </c>
      <c r="CF5" s="88">
        <v>21</v>
      </c>
      <c r="CG5" s="88">
        <v>20</v>
      </c>
      <c r="CH5" s="88">
        <v>19</v>
      </c>
      <c r="CI5" s="88">
        <v>18</v>
      </c>
      <c r="CJ5" s="88">
        <v>17</v>
      </c>
      <c r="CK5" s="88">
        <v>16</v>
      </c>
      <c r="CL5" s="88">
        <v>15</v>
      </c>
      <c r="CM5" s="88">
        <v>14</v>
      </c>
      <c r="CN5" s="88">
        <v>13</v>
      </c>
      <c r="CO5" s="88">
        <v>12</v>
      </c>
      <c r="CP5" s="88">
        <v>11</v>
      </c>
      <c r="CQ5" s="88">
        <v>10</v>
      </c>
      <c r="CR5" s="88">
        <v>9</v>
      </c>
      <c r="CS5" s="88">
        <v>8</v>
      </c>
      <c r="CT5" s="88">
        <v>7</v>
      </c>
      <c r="CU5" s="88">
        <v>6</v>
      </c>
      <c r="CV5" s="88">
        <v>5</v>
      </c>
      <c r="CW5" s="88">
        <v>4</v>
      </c>
      <c r="CX5" s="88">
        <v>3</v>
      </c>
      <c r="CY5" s="88">
        <v>2</v>
      </c>
      <c r="CZ5" s="88">
        <v>1</v>
      </c>
    </row>
    <row r="6" spans="2:104" ht="18.75" customHeight="1" x14ac:dyDescent="0.25">
      <c r="B6" s="146">
        <v>0</v>
      </c>
      <c r="C6" s="146">
        <v>0</v>
      </c>
      <c r="D6" s="146"/>
      <c r="E6" s="146"/>
      <c r="F6" s="147" t="s">
        <v>23</v>
      </c>
      <c r="G6" s="146"/>
      <c r="H6" s="149"/>
      <c r="I6" s="148"/>
      <c r="J6" s="149"/>
      <c r="K6" s="150"/>
      <c r="L6" s="150"/>
      <c r="M6" s="4">
        <v>17</v>
      </c>
      <c r="N6" s="4">
        <v>16</v>
      </c>
      <c r="O6" s="4">
        <v>15</v>
      </c>
      <c r="P6" s="4">
        <v>14</v>
      </c>
      <c r="Q6" s="4">
        <v>13</v>
      </c>
      <c r="R6" s="4">
        <v>12</v>
      </c>
      <c r="S6" s="4">
        <v>11</v>
      </c>
      <c r="T6" s="4">
        <v>10</v>
      </c>
      <c r="U6" s="4">
        <v>9</v>
      </c>
      <c r="V6" s="4">
        <v>8</v>
      </c>
      <c r="W6" s="4">
        <v>7</v>
      </c>
      <c r="X6" s="4">
        <v>6</v>
      </c>
      <c r="Y6" s="4">
        <v>5</v>
      </c>
      <c r="Z6" s="4">
        <v>4</v>
      </c>
      <c r="AA6" s="4">
        <v>3</v>
      </c>
      <c r="AB6" s="97">
        <v>2</v>
      </c>
      <c r="AC6" s="21">
        <v>1</v>
      </c>
      <c r="AD6" s="95">
        <v>23</v>
      </c>
      <c r="AE6" s="40">
        <v>22</v>
      </c>
      <c r="AF6" s="40">
        <v>21</v>
      </c>
      <c r="AG6" s="95">
        <v>20</v>
      </c>
      <c r="AH6" s="40">
        <v>19</v>
      </c>
      <c r="AI6" s="40">
        <v>18</v>
      </c>
      <c r="AJ6" s="95">
        <v>17</v>
      </c>
      <c r="AK6" s="95">
        <v>16</v>
      </c>
      <c r="AL6" s="40">
        <v>15</v>
      </c>
      <c r="AM6" s="40">
        <v>14</v>
      </c>
      <c r="AN6" s="95">
        <v>13</v>
      </c>
      <c r="AO6" s="40">
        <v>12</v>
      </c>
      <c r="AP6" s="40">
        <v>11</v>
      </c>
      <c r="AQ6" s="95">
        <v>10</v>
      </c>
      <c r="AR6" s="40">
        <v>9</v>
      </c>
      <c r="AS6" s="40">
        <v>8</v>
      </c>
      <c r="AT6" s="95">
        <v>7</v>
      </c>
      <c r="AU6" s="40">
        <v>6</v>
      </c>
      <c r="AV6" s="40">
        <v>5</v>
      </c>
      <c r="AW6" s="95">
        <v>4</v>
      </c>
      <c r="AX6" s="40">
        <v>3</v>
      </c>
      <c r="AY6" s="40">
        <v>2</v>
      </c>
      <c r="AZ6" s="95">
        <v>1</v>
      </c>
      <c r="BA6" s="37">
        <v>23</v>
      </c>
      <c r="BB6" s="37">
        <v>22</v>
      </c>
      <c r="BC6" s="37">
        <v>21</v>
      </c>
      <c r="BD6" s="37">
        <v>20</v>
      </c>
      <c r="BE6" s="37">
        <v>19</v>
      </c>
      <c r="BF6" s="37">
        <v>18</v>
      </c>
      <c r="BG6" s="37">
        <v>17</v>
      </c>
      <c r="BH6" s="37">
        <v>16</v>
      </c>
      <c r="BI6" s="37">
        <v>15</v>
      </c>
      <c r="BJ6" s="37">
        <v>14</v>
      </c>
      <c r="BK6" s="37">
        <v>13</v>
      </c>
      <c r="BL6" s="37">
        <v>12</v>
      </c>
      <c r="BM6" s="37">
        <v>11</v>
      </c>
      <c r="BN6" s="37">
        <v>10</v>
      </c>
      <c r="BO6" s="37">
        <v>9</v>
      </c>
      <c r="BP6" s="37">
        <v>8</v>
      </c>
      <c r="BQ6" s="37">
        <v>7</v>
      </c>
      <c r="BR6" s="37">
        <v>6</v>
      </c>
      <c r="BS6" s="37">
        <v>5</v>
      </c>
      <c r="BT6" s="37">
        <v>4</v>
      </c>
      <c r="BU6" s="37">
        <v>3</v>
      </c>
      <c r="BV6" s="37">
        <v>2</v>
      </c>
      <c r="BW6" s="37">
        <v>1</v>
      </c>
      <c r="BX6" s="88">
        <v>23</v>
      </c>
      <c r="BY6" s="88">
        <v>22</v>
      </c>
      <c r="BZ6" s="88">
        <v>21</v>
      </c>
      <c r="CA6" s="88">
        <v>20</v>
      </c>
      <c r="CB6" s="88">
        <v>19</v>
      </c>
      <c r="CC6" s="88">
        <v>18</v>
      </c>
      <c r="CD6" s="88">
        <v>17</v>
      </c>
      <c r="CE6" s="88">
        <v>16</v>
      </c>
      <c r="CF6" s="88">
        <v>15</v>
      </c>
      <c r="CG6" s="88">
        <v>14</v>
      </c>
      <c r="CH6" s="88">
        <v>13</v>
      </c>
      <c r="CI6" s="88">
        <v>12</v>
      </c>
      <c r="CJ6" s="88">
        <v>11</v>
      </c>
      <c r="CK6" s="88">
        <v>10</v>
      </c>
      <c r="CL6" s="88">
        <v>9</v>
      </c>
      <c r="CM6" s="88">
        <v>8</v>
      </c>
      <c r="CN6" s="88">
        <v>7</v>
      </c>
      <c r="CO6" s="88">
        <v>6</v>
      </c>
      <c r="CP6" s="88">
        <v>5</v>
      </c>
      <c r="CQ6" s="88">
        <v>4</v>
      </c>
      <c r="CR6" s="88">
        <v>3</v>
      </c>
      <c r="CS6" s="88">
        <v>2</v>
      </c>
      <c r="CT6" s="88">
        <v>1</v>
      </c>
      <c r="CU6" s="5">
        <v>23</v>
      </c>
      <c r="CV6" s="5">
        <v>22</v>
      </c>
      <c r="CW6" s="5">
        <v>21</v>
      </c>
      <c r="CX6" s="5">
        <v>20</v>
      </c>
      <c r="CY6" s="5">
        <v>19</v>
      </c>
      <c r="CZ6" s="5">
        <v>18</v>
      </c>
    </row>
    <row r="7" spans="2:104" ht="15" customHeight="1" x14ac:dyDescent="0.25">
      <c r="B7" s="139">
        <v>1</v>
      </c>
      <c r="C7" s="139">
        <v>1</v>
      </c>
      <c r="D7" s="139" t="str">
        <f>F7&amp;"_"&amp;G7&amp;"_"&amp;H7&amp;"_"&amp;I7&amp;"_"&amp;$D$1</f>
        <v>SORTING_EAST_UNP_1_23</v>
      </c>
      <c r="E7" s="139" t="s">
        <v>35</v>
      </c>
      <c r="F7" s="138" t="s">
        <v>45</v>
      </c>
      <c r="G7" s="140" t="s">
        <v>18</v>
      </c>
      <c r="H7" s="140" t="s">
        <v>42</v>
      </c>
      <c r="I7" s="140">
        <v>1</v>
      </c>
      <c r="J7" s="139"/>
      <c r="K7" s="184">
        <f>COUNT(AD7:BF7)</f>
        <v>0</v>
      </c>
      <c r="L7" s="139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101"/>
      <c r="AC7" s="57"/>
      <c r="AD7" s="93"/>
      <c r="AE7" s="4"/>
      <c r="AF7" s="3"/>
      <c r="AG7" s="3"/>
      <c r="AH7" s="3"/>
      <c r="AI7" s="31"/>
      <c r="AJ7" s="86"/>
      <c r="AK7" s="86"/>
      <c r="AL7" s="86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5"/>
      <c r="CX7" s="5"/>
      <c r="CY7" s="5"/>
      <c r="CZ7" s="5"/>
    </row>
    <row r="8" spans="2:104" ht="15" customHeight="1" x14ac:dyDescent="0.25">
      <c r="B8" s="139">
        <v>1</v>
      </c>
      <c r="C8" s="139">
        <v>2</v>
      </c>
      <c r="D8" s="139" t="str">
        <f t="shared" ref="D8:D77" si="0">F8&amp;"_"&amp;G8&amp;"_"&amp;H8&amp;"_"&amp;I8&amp;"_"&amp;$D$1</f>
        <v>TRANSFER_EAST_UNP_1_23</v>
      </c>
      <c r="E8" s="139" t="s">
        <v>21</v>
      </c>
      <c r="F8" s="138" t="s">
        <v>21</v>
      </c>
      <c r="G8" s="140" t="s">
        <v>18</v>
      </c>
      <c r="H8" s="140" t="s">
        <v>42</v>
      </c>
      <c r="I8" s="140">
        <v>1</v>
      </c>
      <c r="J8" s="139"/>
      <c r="K8" s="184">
        <f>COUNT(AD8:BF8)</f>
        <v>2</v>
      </c>
      <c r="L8" s="139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101"/>
      <c r="AC8" s="57"/>
      <c r="AD8" s="86">
        <v>1</v>
      </c>
      <c r="AE8" s="3">
        <f>AD8+1</f>
        <v>2</v>
      </c>
      <c r="AF8" s="4"/>
      <c r="AG8" s="4"/>
      <c r="AH8" s="3"/>
      <c r="AI8" s="31"/>
      <c r="AJ8" s="86"/>
      <c r="AK8" s="86"/>
      <c r="AL8" s="86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5"/>
      <c r="CX8" s="5"/>
      <c r="CY8" s="5"/>
      <c r="CZ8" s="5"/>
    </row>
    <row r="9" spans="2:104" ht="15" customHeight="1" x14ac:dyDescent="0.25">
      <c r="B9" s="139">
        <v>1</v>
      </c>
      <c r="C9" s="139">
        <v>3</v>
      </c>
      <c r="D9" s="139" t="str">
        <f t="shared" si="0"/>
        <v>PREPARE_EAST_UNP_1_23</v>
      </c>
      <c r="E9" s="139" t="s">
        <v>0</v>
      </c>
      <c r="F9" s="138" t="s">
        <v>46</v>
      </c>
      <c r="G9" s="140" t="s">
        <v>18</v>
      </c>
      <c r="H9" s="140" t="s">
        <v>42</v>
      </c>
      <c r="I9" s="140">
        <v>1</v>
      </c>
      <c r="J9" s="141"/>
      <c r="K9" s="184">
        <f>COUNT(M9:BF9)</f>
        <v>21</v>
      </c>
      <c r="L9" s="139"/>
      <c r="M9" s="3">
        <v>1</v>
      </c>
      <c r="N9" s="3">
        <f>M9+1</f>
        <v>2</v>
      </c>
      <c r="O9" s="3">
        <f t="shared" ref="O9:AG9" si="1">N9+1</f>
        <v>3</v>
      </c>
      <c r="P9" s="3">
        <f t="shared" si="1"/>
        <v>4</v>
      </c>
      <c r="Q9" s="3">
        <f t="shared" si="1"/>
        <v>5</v>
      </c>
      <c r="R9" s="3">
        <f t="shared" si="1"/>
        <v>6</v>
      </c>
      <c r="S9" s="3">
        <f t="shared" si="1"/>
        <v>7</v>
      </c>
      <c r="T9" s="3">
        <f t="shared" si="1"/>
        <v>8</v>
      </c>
      <c r="U9" s="3">
        <f t="shared" si="1"/>
        <v>9</v>
      </c>
      <c r="V9" s="3">
        <f t="shared" si="1"/>
        <v>10</v>
      </c>
      <c r="W9" s="3">
        <f t="shared" si="1"/>
        <v>11</v>
      </c>
      <c r="X9" s="3">
        <f t="shared" si="1"/>
        <v>12</v>
      </c>
      <c r="Y9" s="3">
        <f t="shared" si="1"/>
        <v>13</v>
      </c>
      <c r="Z9" s="3">
        <f t="shared" si="1"/>
        <v>14</v>
      </c>
      <c r="AA9" s="3">
        <f t="shared" si="1"/>
        <v>15</v>
      </c>
      <c r="AB9" s="3">
        <f t="shared" si="1"/>
        <v>16</v>
      </c>
      <c r="AC9" s="3">
        <f t="shared" si="1"/>
        <v>17</v>
      </c>
      <c r="AD9" s="3">
        <f t="shared" si="1"/>
        <v>18</v>
      </c>
      <c r="AE9" s="3">
        <f t="shared" si="1"/>
        <v>19</v>
      </c>
      <c r="AF9" s="3">
        <f t="shared" si="1"/>
        <v>20</v>
      </c>
      <c r="AG9" s="3">
        <f t="shared" si="1"/>
        <v>21</v>
      </c>
      <c r="AH9" s="4"/>
      <c r="AI9" s="21"/>
      <c r="AJ9" s="86"/>
      <c r="AK9" s="86"/>
      <c r="AL9" s="86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5"/>
      <c r="CX9" s="5"/>
      <c r="CY9" s="5"/>
      <c r="CZ9" s="5"/>
    </row>
    <row r="10" spans="2:104" ht="15" customHeight="1" x14ac:dyDescent="0.25">
      <c r="B10" s="139">
        <v>1</v>
      </c>
      <c r="C10" s="139">
        <v>4</v>
      </c>
      <c r="D10" s="139" t="str">
        <f t="shared" si="0"/>
        <v>SUPPLY_EAST_UNP_1_23</v>
      </c>
      <c r="E10" s="139" t="s">
        <v>0</v>
      </c>
      <c r="F10" s="142" t="s">
        <v>0</v>
      </c>
      <c r="G10" s="140" t="s">
        <v>18</v>
      </c>
      <c r="H10" s="140" t="s">
        <v>42</v>
      </c>
      <c r="I10" s="140">
        <v>1</v>
      </c>
      <c r="J10" s="143"/>
      <c r="K10" s="184">
        <f>COUNT(AJ10:CC10)</f>
        <v>0</v>
      </c>
      <c r="L10" s="140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101"/>
      <c r="AC10" s="57"/>
      <c r="AD10" s="133"/>
      <c r="AE10" s="46"/>
      <c r="AF10" s="46"/>
      <c r="AG10" s="46"/>
      <c r="AH10" s="46"/>
      <c r="AI10" s="57"/>
      <c r="AJ10" s="93"/>
      <c r="AK10" s="93"/>
      <c r="AL10" s="93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97"/>
      <c r="BA10" s="4"/>
      <c r="BB10" s="4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5"/>
      <c r="CX10" s="5"/>
      <c r="CY10" s="5"/>
      <c r="CZ10" s="5"/>
    </row>
    <row r="11" spans="2:104" ht="15" customHeight="1" x14ac:dyDescent="0.25">
      <c r="B11" s="139">
        <v>1</v>
      </c>
      <c r="C11" s="140">
        <v>5</v>
      </c>
      <c r="D11" s="139" t="str">
        <f t="shared" si="0"/>
        <v>EMPTY_EAST_UNP_1_23</v>
      </c>
      <c r="E11" s="140" t="s">
        <v>0</v>
      </c>
      <c r="F11" s="142" t="s">
        <v>32</v>
      </c>
      <c r="G11" s="140" t="s">
        <v>18</v>
      </c>
      <c r="H11" s="140" t="s">
        <v>42</v>
      </c>
      <c r="I11" s="140">
        <v>1</v>
      </c>
      <c r="J11" s="139"/>
      <c r="K11" s="184">
        <f>COUNT(AJ11:CC11)</f>
        <v>19</v>
      </c>
      <c r="L11" s="139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101"/>
      <c r="AC11" s="57"/>
      <c r="AD11" s="133"/>
      <c r="AE11" s="46"/>
      <c r="AF11" s="46"/>
      <c r="AG11" s="46"/>
      <c r="AH11" s="46"/>
      <c r="AI11" s="57"/>
      <c r="AJ11" s="86">
        <v>1</v>
      </c>
      <c r="AK11" s="86">
        <f>AJ11+1</f>
        <v>2</v>
      </c>
      <c r="AL11" s="86">
        <f t="shared" ref="AL11:BB11" si="2">AK11+1</f>
        <v>3</v>
      </c>
      <c r="AM11" s="86">
        <f t="shared" si="2"/>
        <v>4</v>
      </c>
      <c r="AN11" s="86">
        <f t="shared" si="2"/>
        <v>5</v>
      </c>
      <c r="AO11" s="86">
        <f t="shared" si="2"/>
        <v>6</v>
      </c>
      <c r="AP11" s="86">
        <f t="shared" si="2"/>
        <v>7</v>
      </c>
      <c r="AQ11" s="86">
        <f t="shared" si="2"/>
        <v>8</v>
      </c>
      <c r="AR11" s="86">
        <f t="shared" si="2"/>
        <v>9</v>
      </c>
      <c r="AS11" s="86">
        <f t="shared" si="2"/>
        <v>10</v>
      </c>
      <c r="AT11" s="86">
        <f t="shared" si="2"/>
        <v>11</v>
      </c>
      <c r="AU11" s="86">
        <f t="shared" si="2"/>
        <v>12</v>
      </c>
      <c r="AV11" s="86">
        <f t="shared" si="2"/>
        <v>13</v>
      </c>
      <c r="AW11" s="86">
        <f t="shared" si="2"/>
        <v>14</v>
      </c>
      <c r="AX11" s="86">
        <f t="shared" si="2"/>
        <v>15</v>
      </c>
      <c r="AY11" s="86">
        <f t="shared" si="2"/>
        <v>16</v>
      </c>
      <c r="AZ11" s="86">
        <f t="shared" si="2"/>
        <v>17</v>
      </c>
      <c r="BA11" s="86">
        <f t="shared" si="2"/>
        <v>18</v>
      </c>
      <c r="BB11" s="86">
        <f t="shared" si="2"/>
        <v>19</v>
      </c>
      <c r="BC11" s="46"/>
      <c r="BD11" s="4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5"/>
      <c r="CX11" s="5"/>
      <c r="CY11" s="5"/>
      <c r="CZ11" s="5"/>
    </row>
    <row r="12" spans="2:104" ht="15" customHeight="1" x14ac:dyDescent="0.25">
      <c r="B12" s="139">
        <v>1</v>
      </c>
      <c r="C12" s="140">
        <v>6</v>
      </c>
      <c r="D12" s="139" t="str">
        <f t="shared" si="0"/>
        <v>COUNTDOWN_EAST_UNP_1_23</v>
      </c>
      <c r="E12" s="140"/>
      <c r="F12" s="142" t="s">
        <v>33</v>
      </c>
      <c r="G12" s="140" t="s">
        <v>18</v>
      </c>
      <c r="H12" s="140" t="s">
        <v>42</v>
      </c>
      <c r="I12" s="140">
        <v>1</v>
      </c>
      <c r="J12" s="144"/>
      <c r="K12" s="144"/>
      <c r="L12" s="140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101"/>
      <c r="AC12" s="57"/>
      <c r="AD12" s="132"/>
      <c r="AE12" s="6"/>
      <c r="AF12" s="46"/>
      <c r="AG12" s="46"/>
      <c r="AH12" s="56"/>
      <c r="AI12" s="59"/>
      <c r="AJ12" s="86"/>
      <c r="AK12" s="86"/>
      <c r="AL12" s="86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5"/>
      <c r="CX12" s="5"/>
      <c r="CY12" s="5"/>
      <c r="CZ12" s="5"/>
    </row>
    <row r="13" spans="2:104" ht="15" customHeight="1" x14ac:dyDescent="0.25">
      <c r="B13" s="139">
        <v>2</v>
      </c>
      <c r="C13" s="139">
        <v>1</v>
      </c>
      <c r="D13" s="139" t="str">
        <f t="shared" si="0"/>
        <v>SORTING_EAST_A_2_23</v>
      </c>
      <c r="E13" s="139" t="s">
        <v>35</v>
      </c>
      <c r="F13" s="138" t="s">
        <v>45</v>
      </c>
      <c r="G13" s="140" t="s">
        <v>18</v>
      </c>
      <c r="H13" s="140" t="s">
        <v>2</v>
      </c>
      <c r="I13" s="140">
        <v>2</v>
      </c>
      <c r="J13" s="139"/>
      <c r="K13" s="184">
        <f>COUNT(AD13:BF13)</f>
        <v>2</v>
      </c>
      <c r="L13" s="139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101"/>
      <c r="AC13" s="57"/>
      <c r="AD13" s="86">
        <v>1</v>
      </c>
      <c r="AE13" s="3">
        <f>AD13+1</f>
        <v>2</v>
      </c>
      <c r="AF13" s="4"/>
      <c r="AG13" s="4"/>
      <c r="AH13" s="3"/>
      <c r="AI13" s="31"/>
      <c r="AJ13" s="86"/>
      <c r="AK13" s="86"/>
      <c r="AL13" s="86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5"/>
      <c r="CX13" s="5"/>
      <c r="CY13" s="5"/>
      <c r="CZ13" s="5"/>
    </row>
    <row r="14" spans="2:104" ht="15" customHeight="1" x14ac:dyDescent="0.25">
      <c r="B14" s="139">
        <v>2</v>
      </c>
      <c r="C14" s="139">
        <v>2</v>
      </c>
      <c r="D14" s="139" t="str">
        <f t="shared" si="0"/>
        <v>TRANSFER_EAST_A_2_23</v>
      </c>
      <c r="E14" s="139" t="s">
        <v>21</v>
      </c>
      <c r="F14" s="138" t="s">
        <v>21</v>
      </c>
      <c r="G14" s="140" t="s">
        <v>18</v>
      </c>
      <c r="H14" s="140" t="s">
        <v>2</v>
      </c>
      <c r="I14" s="140">
        <v>2</v>
      </c>
      <c r="J14" s="139"/>
      <c r="K14" s="184">
        <f>COUNT(AD14:BF14)</f>
        <v>4</v>
      </c>
      <c r="L14" s="139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101"/>
      <c r="AC14" s="57"/>
      <c r="AD14" s="86">
        <v>1</v>
      </c>
      <c r="AE14" s="3">
        <f t="shared" ref="AE14:AJ15" si="3">AD14+1</f>
        <v>2</v>
      </c>
      <c r="AF14" s="3">
        <f t="shared" si="3"/>
        <v>3</v>
      </c>
      <c r="AG14" s="3">
        <f t="shared" si="3"/>
        <v>4</v>
      </c>
      <c r="AH14" s="21"/>
      <c r="AI14" s="31"/>
      <c r="AJ14" s="86"/>
      <c r="AK14" s="86"/>
      <c r="AL14" s="86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5"/>
      <c r="CX14" s="5"/>
      <c r="CY14" s="5"/>
      <c r="CZ14" s="5"/>
    </row>
    <row r="15" spans="2:104" ht="15" customHeight="1" x14ac:dyDescent="0.25">
      <c r="B15" s="139">
        <v>2</v>
      </c>
      <c r="C15" s="139">
        <v>3</v>
      </c>
      <c r="D15" s="139" t="str">
        <f t="shared" si="0"/>
        <v>PREPARE_EAST_A_2_23</v>
      </c>
      <c r="E15" s="139" t="s">
        <v>0</v>
      </c>
      <c r="F15" s="138" t="s">
        <v>46</v>
      </c>
      <c r="G15" s="140" t="s">
        <v>18</v>
      </c>
      <c r="H15" s="140" t="s">
        <v>2</v>
      </c>
      <c r="I15" s="140">
        <v>2</v>
      </c>
      <c r="J15" s="141"/>
      <c r="K15" s="184">
        <f>COUNT(M15:BF15)</f>
        <v>24</v>
      </c>
      <c r="L15" s="139"/>
      <c r="M15" s="3">
        <v>1</v>
      </c>
      <c r="N15" s="3">
        <f>M15+1</f>
        <v>2</v>
      </c>
      <c r="O15" s="3">
        <f t="shared" ref="O15:AD15" si="4">N15+1</f>
        <v>3</v>
      </c>
      <c r="P15" s="3">
        <f t="shared" si="4"/>
        <v>4</v>
      </c>
      <c r="Q15" s="3">
        <f t="shared" si="4"/>
        <v>5</v>
      </c>
      <c r="R15" s="3">
        <f t="shared" si="4"/>
        <v>6</v>
      </c>
      <c r="S15" s="3">
        <f t="shared" si="4"/>
        <v>7</v>
      </c>
      <c r="T15" s="3">
        <f t="shared" si="4"/>
        <v>8</v>
      </c>
      <c r="U15" s="3">
        <f t="shared" si="4"/>
        <v>9</v>
      </c>
      <c r="V15" s="3">
        <f t="shared" si="4"/>
        <v>10</v>
      </c>
      <c r="W15" s="3">
        <f t="shared" si="4"/>
        <v>11</v>
      </c>
      <c r="X15" s="3">
        <f t="shared" si="4"/>
        <v>12</v>
      </c>
      <c r="Y15" s="3">
        <f t="shared" si="4"/>
        <v>13</v>
      </c>
      <c r="Z15" s="3">
        <f t="shared" si="4"/>
        <v>14</v>
      </c>
      <c r="AA15" s="3">
        <f t="shared" si="4"/>
        <v>15</v>
      </c>
      <c r="AB15" s="3">
        <f t="shared" si="4"/>
        <v>16</v>
      </c>
      <c r="AC15" s="3">
        <f t="shared" si="4"/>
        <v>17</v>
      </c>
      <c r="AD15" s="3">
        <f t="shared" si="4"/>
        <v>18</v>
      </c>
      <c r="AE15" s="3">
        <f t="shared" si="3"/>
        <v>19</v>
      </c>
      <c r="AF15" s="3">
        <f t="shared" si="3"/>
        <v>20</v>
      </c>
      <c r="AG15" s="3">
        <f t="shared" si="3"/>
        <v>21</v>
      </c>
      <c r="AH15" s="3">
        <f t="shared" si="3"/>
        <v>22</v>
      </c>
      <c r="AI15" s="3">
        <f t="shared" si="3"/>
        <v>23</v>
      </c>
      <c r="AJ15" s="3">
        <f t="shared" si="3"/>
        <v>24</v>
      </c>
      <c r="AK15" s="93"/>
      <c r="AL15" s="93"/>
      <c r="AM15" s="4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5"/>
      <c r="CX15" s="5"/>
      <c r="CY15" s="5"/>
      <c r="CZ15" s="5"/>
    </row>
    <row r="16" spans="2:104" ht="15" customHeight="1" x14ac:dyDescent="0.25">
      <c r="B16" s="139">
        <v>2</v>
      </c>
      <c r="C16" s="139">
        <v>4</v>
      </c>
      <c r="D16" s="139" t="str">
        <f t="shared" si="0"/>
        <v>SUPPLY_EAST_A_2_23</v>
      </c>
      <c r="E16" s="139" t="s">
        <v>0</v>
      </c>
      <c r="F16" s="142" t="s">
        <v>0</v>
      </c>
      <c r="G16" s="140" t="s">
        <v>18</v>
      </c>
      <c r="H16" s="140" t="s">
        <v>2</v>
      </c>
      <c r="I16" s="140">
        <v>2</v>
      </c>
      <c r="J16" s="143"/>
      <c r="K16" s="184">
        <f>COUNT(AJ16:CC16)</f>
        <v>4</v>
      </c>
      <c r="L16" s="140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101"/>
      <c r="AC16" s="57"/>
      <c r="AD16" s="133"/>
      <c r="AE16" s="46"/>
      <c r="AF16" s="46"/>
      <c r="AG16" s="46"/>
      <c r="AH16" s="46"/>
      <c r="AI16" s="57"/>
      <c r="AJ16" s="86">
        <v>1</v>
      </c>
      <c r="AK16" s="86">
        <f>AJ16+1</f>
        <v>2</v>
      </c>
      <c r="AL16" s="86">
        <f t="shared" ref="AL16:BA17" si="5">AK16+1</f>
        <v>3</v>
      </c>
      <c r="AM16" s="86">
        <f t="shared" si="5"/>
        <v>4</v>
      </c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97"/>
      <c r="BC16" s="4"/>
      <c r="BD16" s="4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5"/>
      <c r="CX16" s="5"/>
      <c r="CY16" s="5"/>
      <c r="CZ16" s="5"/>
    </row>
    <row r="17" spans="1:104" ht="15" customHeight="1" x14ac:dyDescent="0.25">
      <c r="B17" s="139">
        <v>2</v>
      </c>
      <c r="C17" s="140">
        <v>5</v>
      </c>
      <c r="D17" s="139" t="str">
        <f t="shared" si="0"/>
        <v>EMPTY_EAST_A_2_23</v>
      </c>
      <c r="E17" s="140" t="s">
        <v>0</v>
      </c>
      <c r="F17" s="142" t="s">
        <v>32</v>
      </c>
      <c r="G17" s="140" t="s">
        <v>18</v>
      </c>
      <c r="H17" s="140" t="s">
        <v>2</v>
      </c>
      <c r="I17" s="140">
        <v>2</v>
      </c>
      <c r="J17" s="139"/>
      <c r="K17" s="184">
        <f>COUNT(AJ17:CC17)</f>
        <v>21</v>
      </c>
      <c r="L17" s="139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101"/>
      <c r="AC17" s="57"/>
      <c r="AD17" s="133"/>
      <c r="AE17" s="46"/>
      <c r="AF17" s="46"/>
      <c r="AG17" s="46"/>
      <c r="AH17" s="46"/>
      <c r="AI17" s="57"/>
      <c r="AJ17" s="86">
        <v>1</v>
      </c>
      <c r="AK17" s="86">
        <f>AJ17+1</f>
        <v>2</v>
      </c>
      <c r="AL17" s="86">
        <f t="shared" si="5"/>
        <v>3</v>
      </c>
      <c r="AM17" s="86">
        <f t="shared" si="5"/>
        <v>4</v>
      </c>
      <c r="AN17" s="86">
        <f t="shared" si="5"/>
        <v>5</v>
      </c>
      <c r="AO17" s="86">
        <f t="shared" si="5"/>
        <v>6</v>
      </c>
      <c r="AP17" s="86">
        <f t="shared" si="5"/>
        <v>7</v>
      </c>
      <c r="AQ17" s="86">
        <f t="shared" si="5"/>
        <v>8</v>
      </c>
      <c r="AR17" s="86">
        <f t="shared" si="5"/>
        <v>9</v>
      </c>
      <c r="AS17" s="86">
        <f t="shared" si="5"/>
        <v>10</v>
      </c>
      <c r="AT17" s="86">
        <f t="shared" si="5"/>
        <v>11</v>
      </c>
      <c r="AU17" s="86">
        <f t="shared" si="5"/>
        <v>12</v>
      </c>
      <c r="AV17" s="86">
        <f t="shared" si="5"/>
        <v>13</v>
      </c>
      <c r="AW17" s="86">
        <f t="shared" si="5"/>
        <v>14</v>
      </c>
      <c r="AX17" s="86">
        <f t="shared" si="5"/>
        <v>15</v>
      </c>
      <c r="AY17" s="86">
        <f t="shared" si="5"/>
        <v>16</v>
      </c>
      <c r="AZ17" s="86">
        <f t="shared" si="5"/>
        <v>17</v>
      </c>
      <c r="BA17" s="86">
        <f t="shared" si="5"/>
        <v>18</v>
      </c>
      <c r="BB17" s="86">
        <f t="shared" ref="BB17:BD17" si="6">BA17+1</f>
        <v>19</v>
      </c>
      <c r="BC17" s="86">
        <f t="shared" si="6"/>
        <v>20</v>
      </c>
      <c r="BD17" s="86">
        <f t="shared" si="6"/>
        <v>21</v>
      </c>
      <c r="BE17" s="46"/>
      <c r="BF17" s="4"/>
      <c r="BG17" s="4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5"/>
      <c r="CX17" s="5"/>
      <c r="CY17" s="5"/>
      <c r="CZ17" s="5"/>
    </row>
    <row r="18" spans="1:104" ht="15" customHeight="1" x14ac:dyDescent="0.25">
      <c r="B18" s="139">
        <v>2</v>
      </c>
      <c r="C18" s="140">
        <v>6</v>
      </c>
      <c r="D18" s="139" t="str">
        <f t="shared" si="0"/>
        <v>COUNTDOWN_EAST_A_2_23</v>
      </c>
      <c r="E18" s="140"/>
      <c r="F18" s="142" t="s">
        <v>33</v>
      </c>
      <c r="G18" s="140" t="s">
        <v>18</v>
      </c>
      <c r="H18" s="140" t="s">
        <v>2</v>
      </c>
      <c r="I18" s="140">
        <v>2</v>
      </c>
      <c r="J18" s="144"/>
      <c r="K18" s="144"/>
      <c r="L18" s="140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101"/>
      <c r="AC18" s="57"/>
      <c r="AD18" s="86"/>
      <c r="AE18" s="3"/>
      <c r="AF18" s="6"/>
      <c r="AG18" s="6"/>
      <c r="AH18" s="46"/>
      <c r="AI18" s="57"/>
      <c r="AJ18" s="134"/>
      <c r="AK18" s="134"/>
      <c r="AL18" s="134"/>
      <c r="AM18" s="56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5"/>
      <c r="CX18" s="5"/>
      <c r="CY18" s="5"/>
      <c r="CZ18" s="5"/>
    </row>
    <row r="19" spans="1:104" ht="15" customHeight="1" x14ac:dyDescent="0.25">
      <c r="B19" s="139"/>
      <c r="C19" s="140"/>
      <c r="D19" s="139" t="str">
        <f t="shared" ref="D19:D24" si="7">F19&amp;"_"&amp;G19&amp;"_"&amp;H19&amp;"_"&amp;I19&amp;"_"&amp;$D$1</f>
        <v>SORTING_EAST_C/U_1_23</v>
      </c>
      <c r="E19" s="139" t="s">
        <v>35</v>
      </c>
      <c r="F19" s="138" t="s">
        <v>45</v>
      </c>
      <c r="G19" s="140" t="s">
        <v>18</v>
      </c>
      <c r="H19" s="140" t="s">
        <v>67</v>
      </c>
      <c r="I19" s="140">
        <v>1</v>
      </c>
      <c r="J19" s="139"/>
      <c r="K19" s="184">
        <f>COUNT(AD19:BF19)</f>
        <v>4</v>
      </c>
      <c r="L19" s="140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101"/>
      <c r="AC19" s="57"/>
      <c r="AD19" s="86">
        <v>1</v>
      </c>
      <c r="AE19" s="3">
        <f>AD19+1</f>
        <v>2</v>
      </c>
      <c r="AF19" s="3">
        <f t="shared" ref="AF19:AG19" si="8">AE19+1</f>
        <v>3</v>
      </c>
      <c r="AG19" s="3">
        <f t="shared" si="8"/>
        <v>4</v>
      </c>
      <c r="AH19" s="4"/>
      <c r="AI19" s="31"/>
      <c r="AJ19" s="86"/>
      <c r="AK19" s="86"/>
      <c r="AL19" s="86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5"/>
      <c r="CX19" s="5"/>
      <c r="CY19" s="5"/>
      <c r="CZ19" s="5"/>
    </row>
    <row r="20" spans="1:104" ht="15" customHeight="1" x14ac:dyDescent="0.25">
      <c r="B20" s="139"/>
      <c r="C20" s="140"/>
      <c r="D20" s="139" t="str">
        <f t="shared" si="7"/>
        <v>TRANSFER_EAST_C/U_1_23</v>
      </c>
      <c r="E20" s="139" t="s">
        <v>21</v>
      </c>
      <c r="F20" s="138" t="s">
        <v>21</v>
      </c>
      <c r="G20" s="140" t="s">
        <v>18</v>
      </c>
      <c r="H20" s="140" t="s">
        <v>67</v>
      </c>
      <c r="I20" s="140">
        <v>1</v>
      </c>
      <c r="J20" s="139"/>
      <c r="K20" s="184">
        <f>COUNT(AD20:BF20)</f>
        <v>5</v>
      </c>
      <c r="L20" s="140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101"/>
      <c r="AC20" s="57"/>
      <c r="AD20" s="86">
        <v>1</v>
      </c>
      <c r="AE20" s="3">
        <f t="shared" ref="AE20:AE21" si="9">AD20+1</f>
        <v>2</v>
      </c>
      <c r="AF20" s="3">
        <f t="shared" ref="AF20:AF21" si="10">AE20+1</f>
        <v>3</v>
      </c>
      <c r="AG20" s="3">
        <f t="shared" ref="AG20:AG21" si="11">AF20+1</f>
        <v>4</v>
      </c>
      <c r="AH20" s="3">
        <f t="shared" ref="AH20:AH21" si="12">AG20+1</f>
        <v>5</v>
      </c>
      <c r="AI20" s="21"/>
      <c r="AJ20" s="93"/>
      <c r="AK20" s="93"/>
      <c r="AL20" s="9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5"/>
      <c r="CX20" s="5"/>
      <c r="CY20" s="5"/>
      <c r="CZ20" s="5"/>
    </row>
    <row r="21" spans="1:104" ht="15" customHeight="1" x14ac:dyDescent="0.25">
      <c r="B21" s="139"/>
      <c r="C21" s="140"/>
      <c r="D21" s="139" t="str">
        <f t="shared" si="7"/>
        <v>PREPARE_EAST_C/U_1_23</v>
      </c>
      <c r="E21" s="139" t="s">
        <v>0</v>
      </c>
      <c r="F21" s="138" t="s">
        <v>46</v>
      </c>
      <c r="G21" s="140" t="s">
        <v>18</v>
      </c>
      <c r="H21" s="140" t="s">
        <v>67</v>
      </c>
      <c r="I21" s="140">
        <v>1</v>
      </c>
      <c r="J21" s="141"/>
      <c r="K21" s="184">
        <f>COUNT(M21:BF21)</f>
        <v>24</v>
      </c>
      <c r="L21" s="140"/>
      <c r="M21" s="3">
        <v>1</v>
      </c>
      <c r="N21" s="3">
        <f>M21+1</f>
        <v>2</v>
      </c>
      <c r="O21" s="3">
        <f t="shared" ref="O21" si="13">N21+1</f>
        <v>3</v>
      </c>
      <c r="P21" s="3">
        <f t="shared" ref="P21" si="14">O21+1</f>
        <v>4</v>
      </c>
      <c r="Q21" s="3">
        <f t="shared" ref="Q21" si="15">P21+1</f>
        <v>5</v>
      </c>
      <c r="R21" s="3">
        <f t="shared" ref="R21" si="16">Q21+1</f>
        <v>6</v>
      </c>
      <c r="S21" s="3">
        <f t="shared" ref="S21" si="17">R21+1</f>
        <v>7</v>
      </c>
      <c r="T21" s="3">
        <f t="shared" ref="T21" si="18">S21+1</f>
        <v>8</v>
      </c>
      <c r="U21" s="3">
        <f t="shared" ref="U21" si="19">T21+1</f>
        <v>9</v>
      </c>
      <c r="V21" s="3">
        <f t="shared" ref="V21" si="20">U21+1</f>
        <v>10</v>
      </c>
      <c r="W21" s="3">
        <f t="shared" ref="W21" si="21">V21+1</f>
        <v>11</v>
      </c>
      <c r="X21" s="3">
        <f t="shared" ref="X21" si="22">W21+1</f>
        <v>12</v>
      </c>
      <c r="Y21" s="3">
        <f t="shared" ref="Y21" si="23">X21+1</f>
        <v>13</v>
      </c>
      <c r="Z21" s="3">
        <f t="shared" ref="Z21" si="24">Y21+1</f>
        <v>14</v>
      </c>
      <c r="AA21" s="3">
        <f t="shared" ref="AA21" si="25">Z21+1</f>
        <v>15</v>
      </c>
      <c r="AB21" s="3">
        <f t="shared" ref="AB21" si="26">AA21+1</f>
        <v>16</v>
      </c>
      <c r="AC21" s="3">
        <f t="shared" ref="AC21" si="27">AB21+1</f>
        <v>17</v>
      </c>
      <c r="AD21" s="3">
        <f t="shared" ref="AD21" si="28">AC21+1</f>
        <v>18</v>
      </c>
      <c r="AE21" s="3">
        <f t="shared" si="9"/>
        <v>19</v>
      </c>
      <c r="AF21" s="3">
        <f t="shared" si="10"/>
        <v>20</v>
      </c>
      <c r="AG21" s="3">
        <f t="shared" si="11"/>
        <v>21</v>
      </c>
      <c r="AH21" s="3">
        <f t="shared" si="12"/>
        <v>22</v>
      </c>
      <c r="AI21" s="3">
        <f t="shared" ref="AI21" si="29">AH21+1</f>
        <v>23</v>
      </c>
      <c r="AJ21" s="3">
        <f t="shared" ref="AJ21" si="30">AI21+1</f>
        <v>24</v>
      </c>
      <c r="AK21" s="93"/>
      <c r="AL21" s="93"/>
      <c r="AM21" s="4"/>
      <c r="AN21" s="4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5"/>
      <c r="CX21" s="5"/>
      <c r="CY21" s="5"/>
      <c r="CZ21" s="5"/>
    </row>
    <row r="22" spans="1:104" ht="15" customHeight="1" x14ac:dyDescent="0.25">
      <c r="B22" s="139"/>
      <c r="C22" s="140"/>
      <c r="D22" s="139" t="str">
        <f t="shared" si="7"/>
        <v>SUPPLY_EAST_C/U_1_23</v>
      </c>
      <c r="E22" s="139" t="s">
        <v>0</v>
      </c>
      <c r="F22" s="142" t="s">
        <v>0</v>
      </c>
      <c r="G22" s="140" t="s">
        <v>18</v>
      </c>
      <c r="H22" s="140" t="s">
        <v>67</v>
      </c>
      <c r="I22" s="140">
        <v>1</v>
      </c>
      <c r="J22" s="143"/>
      <c r="K22" s="184">
        <f>COUNT(AJ22:CC22)</f>
        <v>5</v>
      </c>
      <c r="L22" s="140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101"/>
      <c r="AC22" s="57"/>
      <c r="AD22" s="133"/>
      <c r="AE22" s="46"/>
      <c r="AF22" s="46"/>
      <c r="AG22" s="46"/>
      <c r="AH22" s="46"/>
      <c r="AI22" s="57"/>
      <c r="AJ22" s="86">
        <v>1</v>
      </c>
      <c r="AK22" s="86">
        <f>AJ22+1</f>
        <v>2</v>
      </c>
      <c r="AL22" s="86">
        <f t="shared" ref="AL22:AL23" si="31">AK22+1</f>
        <v>3</v>
      </c>
      <c r="AM22" s="86">
        <f t="shared" ref="AM22:AN23" si="32">AL22+1</f>
        <v>4</v>
      </c>
      <c r="AN22" s="86">
        <f t="shared" si="32"/>
        <v>5</v>
      </c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97"/>
      <c r="BC22" s="4"/>
      <c r="BD22" s="4"/>
      <c r="BE22" s="4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5"/>
      <c r="CX22" s="5"/>
      <c r="CY22" s="5"/>
      <c r="CZ22" s="5"/>
    </row>
    <row r="23" spans="1:104" ht="15" customHeight="1" x14ac:dyDescent="0.25">
      <c r="B23" s="139"/>
      <c r="C23" s="140"/>
      <c r="D23" s="139" t="str">
        <f t="shared" si="7"/>
        <v>EMPTY_EAST_C/U_1_23</v>
      </c>
      <c r="E23" s="140" t="s">
        <v>0</v>
      </c>
      <c r="F23" s="142" t="s">
        <v>32</v>
      </c>
      <c r="G23" s="140" t="s">
        <v>18</v>
      </c>
      <c r="H23" s="140" t="s">
        <v>67</v>
      </c>
      <c r="I23" s="140">
        <v>1</v>
      </c>
      <c r="J23" s="139"/>
      <c r="K23" s="184">
        <f>COUNT(AJ23:CC23)</f>
        <v>22</v>
      </c>
      <c r="L23" s="140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101"/>
      <c r="AC23" s="57"/>
      <c r="AD23" s="133"/>
      <c r="AE23" s="46"/>
      <c r="AF23" s="46"/>
      <c r="AG23" s="46"/>
      <c r="AH23" s="46"/>
      <c r="AI23" s="57"/>
      <c r="AJ23" s="86">
        <v>1</v>
      </c>
      <c r="AK23" s="86">
        <f>AJ23+1</f>
        <v>2</v>
      </c>
      <c r="AL23" s="86">
        <f t="shared" si="31"/>
        <v>3</v>
      </c>
      <c r="AM23" s="86">
        <f t="shared" si="32"/>
        <v>4</v>
      </c>
      <c r="AN23" s="86">
        <f t="shared" ref="AN23" si="33">AM23+1</f>
        <v>5</v>
      </c>
      <c r="AO23" s="86">
        <f t="shared" ref="AO23" si="34">AN23+1</f>
        <v>6</v>
      </c>
      <c r="AP23" s="86">
        <f t="shared" ref="AP23" si="35">AO23+1</f>
        <v>7</v>
      </c>
      <c r="AQ23" s="86">
        <f t="shared" ref="AQ23" si="36">AP23+1</f>
        <v>8</v>
      </c>
      <c r="AR23" s="86">
        <f t="shared" ref="AR23" si="37">AQ23+1</f>
        <v>9</v>
      </c>
      <c r="AS23" s="86">
        <f t="shared" ref="AS23" si="38">AR23+1</f>
        <v>10</v>
      </c>
      <c r="AT23" s="86">
        <f t="shared" ref="AT23" si="39">AS23+1</f>
        <v>11</v>
      </c>
      <c r="AU23" s="86">
        <f t="shared" ref="AU23" si="40">AT23+1</f>
        <v>12</v>
      </c>
      <c r="AV23" s="86">
        <f t="shared" ref="AV23" si="41">AU23+1</f>
        <v>13</v>
      </c>
      <c r="AW23" s="86">
        <f t="shared" ref="AW23" si="42">AV23+1</f>
        <v>14</v>
      </c>
      <c r="AX23" s="86">
        <f t="shared" ref="AX23" si="43">AW23+1</f>
        <v>15</v>
      </c>
      <c r="AY23" s="86">
        <f t="shared" ref="AY23" si="44">AX23+1</f>
        <v>16</v>
      </c>
      <c r="AZ23" s="86">
        <f t="shared" ref="AZ23" si="45">AY23+1</f>
        <v>17</v>
      </c>
      <c r="BA23" s="86">
        <f t="shared" ref="BA23" si="46">AZ23+1</f>
        <v>18</v>
      </c>
      <c r="BB23" s="86">
        <f t="shared" ref="BB23" si="47">BA23+1</f>
        <v>19</v>
      </c>
      <c r="BC23" s="86">
        <f t="shared" ref="BC23" si="48">BB23+1</f>
        <v>20</v>
      </c>
      <c r="BD23" s="86">
        <f t="shared" ref="BD23:BE23" si="49">BC23+1</f>
        <v>21</v>
      </c>
      <c r="BE23" s="86">
        <f t="shared" si="49"/>
        <v>22</v>
      </c>
      <c r="BF23" s="46"/>
      <c r="BG23" s="4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5"/>
      <c r="CX23" s="5"/>
      <c r="CY23" s="5"/>
      <c r="CZ23" s="5"/>
    </row>
    <row r="24" spans="1:104" ht="15" customHeight="1" x14ac:dyDescent="0.25">
      <c r="B24" s="139"/>
      <c r="C24" s="140"/>
      <c r="D24" s="139" t="str">
        <f t="shared" si="7"/>
        <v>COUNTDOWN_EAST_C/U_1_23</v>
      </c>
      <c r="E24" s="140"/>
      <c r="F24" s="142" t="s">
        <v>33</v>
      </c>
      <c r="G24" s="140" t="s">
        <v>18</v>
      </c>
      <c r="H24" s="140" t="s">
        <v>67</v>
      </c>
      <c r="I24" s="140">
        <v>1</v>
      </c>
      <c r="J24" s="144"/>
      <c r="K24" s="144"/>
      <c r="L24" s="140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101"/>
      <c r="AC24" s="57"/>
      <c r="AD24" s="86"/>
      <c r="AE24" s="3"/>
      <c r="AF24" s="6"/>
      <c r="AG24" s="6"/>
      <c r="AH24" s="46"/>
      <c r="AI24" s="57"/>
      <c r="AJ24" s="134"/>
      <c r="AK24" s="134"/>
      <c r="AL24" s="134"/>
      <c r="AM24" s="56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5"/>
      <c r="CX24" s="5"/>
      <c r="CY24" s="5"/>
      <c r="CZ24" s="5"/>
    </row>
    <row r="25" spans="1:104" ht="15" customHeight="1" x14ac:dyDescent="0.25">
      <c r="A25" t="s">
        <v>6</v>
      </c>
      <c r="B25" s="139">
        <v>3</v>
      </c>
      <c r="C25" s="139">
        <v>1</v>
      </c>
      <c r="D25" s="139" t="str">
        <f t="shared" si="0"/>
        <v>SORTING_EAST_C_2_23</v>
      </c>
      <c r="E25" s="139" t="s">
        <v>35</v>
      </c>
      <c r="F25" s="138" t="s">
        <v>45</v>
      </c>
      <c r="G25" s="140" t="s">
        <v>18</v>
      </c>
      <c r="H25" s="140" t="s">
        <v>4</v>
      </c>
      <c r="I25" s="140">
        <v>2</v>
      </c>
      <c r="J25" s="139"/>
      <c r="K25" s="184">
        <f>COUNT(AD25:BF25)</f>
        <v>5</v>
      </c>
      <c r="L25" s="139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101"/>
      <c r="AC25" s="57"/>
      <c r="AD25" s="86">
        <v>1</v>
      </c>
      <c r="AE25" s="3">
        <f t="shared" ref="AE25:AT29" si="50">AD25+1</f>
        <v>2</v>
      </c>
      <c r="AF25" s="3">
        <f t="shared" si="50"/>
        <v>3</v>
      </c>
      <c r="AG25" s="3">
        <f t="shared" si="50"/>
        <v>4</v>
      </c>
      <c r="AH25" s="3">
        <f t="shared" si="50"/>
        <v>5</v>
      </c>
      <c r="AI25" s="21"/>
      <c r="AJ25" s="93"/>
      <c r="AK25" s="93"/>
      <c r="AL25" s="9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5"/>
      <c r="CX25" s="5"/>
      <c r="CY25" s="5"/>
      <c r="CZ25" s="5"/>
    </row>
    <row r="26" spans="1:104" ht="15" customHeight="1" x14ac:dyDescent="0.25">
      <c r="A26" t="s">
        <v>6</v>
      </c>
      <c r="B26" s="139">
        <v>3</v>
      </c>
      <c r="C26" s="139">
        <v>2</v>
      </c>
      <c r="D26" s="139" t="str">
        <f t="shared" si="0"/>
        <v>TRANSFER_EAST_C_2_23</v>
      </c>
      <c r="E26" s="139" t="s">
        <v>21</v>
      </c>
      <c r="F26" s="138" t="s">
        <v>21</v>
      </c>
      <c r="G26" s="140" t="s">
        <v>18</v>
      </c>
      <c r="H26" s="140" t="s">
        <v>4</v>
      </c>
      <c r="I26" s="140">
        <v>2</v>
      </c>
      <c r="J26" s="139"/>
      <c r="K26" s="184">
        <f>COUNT(AD26:BF26)</f>
        <v>9</v>
      </c>
      <c r="L26" s="139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101"/>
      <c r="AC26" s="57"/>
      <c r="AD26" s="86">
        <v>1</v>
      </c>
      <c r="AE26" s="3">
        <f>AD26+1</f>
        <v>2</v>
      </c>
      <c r="AF26" s="3">
        <f t="shared" si="50"/>
        <v>3</v>
      </c>
      <c r="AG26" s="3">
        <f t="shared" si="50"/>
        <v>4</v>
      </c>
      <c r="AH26" s="3">
        <f t="shared" si="50"/>
        <v>5</v>
      </c>
      <c r="AI26" s="3">
        <f t="shared" si="50"/>
        <v>6</v>
      </c>
      <c r="AJ26" s="3">
        <f t="shared" si="50"/>
        <v>7</v>
      </c>
      <c r="AK26" s="3">
        <f t="shared" si="50"/>
        <v>8</v>
      </c>
      <c r="AL26" s="3">
        <f t="shared" si="50"/>
        <v>9</v>
      </c>
      <c r="AM26" s="4"/>
      <c r="AN26" s="4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5"/>
      <c r="CX26" s="5"/>
      <c r="CY26" s="5"/>
      <c r="CZ26" s="5"/>
    </row>
    <row r="27" spans="1:104" ht="15" customHeight="1" x14ac:dyDescent="0.25">
      <c r="A27" t="s">
        <v>6</v>
      </c>
      <c r="B27" s="139">
        <v>3</v>
      </c>
      <c r="C27" s="139">
        <v>3</v>
      </c>
      <c r="D27" s="139" t="str">
        <f t="shared" si="0"/>
        <v>PREPARE_EAST_C_2_23</v>
      </c>
      <c r="E27" s="139" t="s">
        <v>0</v>
      </c>
      <c r="F27" s="138" t="s">
        <v>46</v>
      </c>
      <c r="G27" s="140" t="s">
        <v>18</v>
      </c>
      <c r="H27" s="140" t="s">
        <v>4</v>
      </c>
      <c r="I27" s="140">
        <v>2</v>
      </c>
      <c r="J27" s="141"/>
      <c r="K27" s="184">
        <f>COUNT(M27:BF27)</f>
        <v>27</v>
      </c>
      <c r="L27" s="139"/>
      <c r="M27" s="3">
        <v>1</v>
      </c>
      <c r="N27" s="3">
        <f>M27+1</f>
        <v>2</v>
      </c>
      <c r="O27" s="3">
        <f t="shared" ref="O27:AD27" si="51">N27+1</f>
        <v>3</v>
      </c>
      <c r="P27" s="3">
        <f t="shared" si="51"/>
        <v>4</v>
      </c>
      <c r="Q27" s="3">
        <f t="shared" si="51"/>
        <v>5</v>
      </c>
      <c r="R27" s="3">
        <f t="shared" si="51"/>
        <v>6</v>
      </c>
      <c r="S27" s="3">
        <f t="shared" si="51"/>
        <v>7</v>
      </c>
      <c r="T27" s="3">
        <f t="shared" si="51"/>
        <v>8</v>
      </c>
      <c r="U27" s="3">
        <f t="shared" si="51"/>
        <v>9</v>
      </c>
      <c r="V27" s="3">
        <f t="shared" si="51"/>
        <v>10</v>
      </c>
      <c r="W27" s="3">
        <f t="shared" si="51"/>
        <v>11</v>
      </c>
      <c r="X27" s="3">
        <f t="shared" si="51"/>
        <v>12</v>
      </c>
      <c r="Y27" s="3">
        <f t="shared" si="51"/>
        <v>13</v>
      </c>
      <c r="Z27" s="3">
        <f t="shared" si="51"/>
        <v>14</v>
      </c>
      <c r="AA27" s="3">
        <f t="shared" si="51"/>
        <v>15</v>
      </c>
      <c r="AB27" s="3">
        <f t="shared" si="51"/>
        <v>16</v>
      </c>
      <c r="AC27" s="3">
        <f t="shared" si="51"/>
        <v>17</v>
      </c>
      <c r="AD27" s="3">
        <f t="shared" si="51"/>
        <v>18</v>
      </c>
      <c r="AE27" s="3">
        <f t="shared" si="50"/>
        <v>19</v>
      </c>
      <c r="AF27" s="3">
        <f t="shared" si="50"/>
        <v>20</v>
      </c>
      <c r="AG27" s="3">
        <f t="shared" si="50"/>
        <v>21</v>
      </c>
      <c r="AH27" s="3">
        <f t="shared" si="50"/>
        <v>22</v>
      </c>
      <c r="AI27" s="3">
        <f t="shared" si="50"/>
        <v>23</v>
      </c>
      <c r="AJ27" s="3">
        <f t="shared" si="50"/>
        <v>24</v>
      </c>
      <c r="AK27" s="3">
        <f t="shared" si="50"/>
        <v>25</v>
      </c>
      <c r="AL27" s="3">
        <f t="shared" si="50"/>
        <v>26</v>
      </c>
      <c r="AM27" s="3">
        <f t="shared" si="50"/>
        <v>27</v>
      </c>
      <c r="AN27" s="4"/>
      <c r="AO27" s="4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5"/>
      <c r="CX27" s="5"/>
      <c r="CY27" s="5"/>
      <c r="CZ27" s="5"/>
    </row>
    <row r="28" spans="1:104" ht="15" customHeight="1" x14ac:dyDescent="0.25">
      <c r="A28" t="s">
        <v>6</v>
      </c>
      <c r="B28" s="139">
        <v>3</v>
      </c>
      <c r="C28" s="139">
        <v>4</v>
      </c>
      <c r="D28" s="139" t="str">
        <f t="shared" si="0"/>
        <v>SUPPLY_EAST_C_2_23</v>
      </c>
      <c r="E28" s="139" t="s">
        <v>0</v>
      </c>
      <c r="F28" s="142" t="s">
        <v>0</v>
      </c>
      <c r="G28" s="140" t="s">
        <v>18</v>
      </c>
      <c r="H28" s="140" t="s">
        <v>4</v>
      </c>
      <c r="I28" s="140">
        <v>2</v>
      </c>
      <c r="J28" s="143"/>
      <c r="K28" s="184">
        <f>COUNT(AJ28:CC28)</f>
        <v>6</v>
      </c>
      <c r="L28" s="140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101"/>
      <c r="AC28" s="57"/>
      <c r="AD28" s="133"/>
      <c r="AE28" s="46"/>
      <c r="AF28" s="46"/>
      <c r="AG28" s="46"/>
      <c r="AH28" s="46"/>
      <c r="AI28" s="57"/>
      <c r="AJ28" s="86">
        <v>1</v>
      </c>
      <c r="AK28" s="86">
        <f>AJ28+1</f>
        <v>2</v>
      </c>
      <c r="AL28" s="86">
        <f t="shared" si="50"/>
        <v>3</v>
      </c>
      <c r="AM28" s="86">
        <f t="shared" si="50"/>
        <v>4</v>
      </c>
      <c r="AN28" s="86">
        <f t="shared" si="50"/>
        <v>5</v>
      </c>
      <c r="AO28" s="86">
        <f t="shared" si="50"/>
        <v>6</v>
      </c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97"/>
      <c r="BE28" s="4"/>
      <c r="BF28" s="4"/>
      <c r="BG28" s="4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5"/>
      <c r="CX28" s="5"/>
      <c r="CY28" s="5"/>
      <c r="CZ28" s="5"/>
    </row>
    <row r="29" spans="1:104" ht="15" customHeight="1" x14ac:dyDescent="0.25">
      <c r="A29" t="s">
        <v>6</v>
      </c>
      <c r="B29" s="139">
        <v>3</v>
      </c>
      <c r="C29" s="140">
        <v>5</v>
      </c>
      <c r="D29" s="139" t="str">
        <f t="shared" si="0"/>
        <v>EMPTY_EAST_C_2_23</v>
      </c>
      <c r="E29" s="140" t="s">
        <v>0</v>
      </c>
      <c r="F29" s="142" t="s">
        <v>32</v>
      </c>
      <c r="G29" s="140" t="s">
        <v>18</v>
      </c>
      <c r="H29" s="140" t="s">
        <v>4</v>
      </c>
      <c r="I29" s="140">
        <v>2</v>
      </c>
      <c r="J29" s="139"/>
      <c r="K29" s="184">
        <f>COUNT(AJ29:CC29)</f>
        <v>24</v>
      </c>
      <c r="L29" s="139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101"/>
      <c r="AC29" s="57"/>
      <c r="AD29" s="133"/>
      <c r="AE29" s="46"/>
      <c r="AF29" s="46"/>
      <c r="AG29" s="46"/>
      <c r="AH29" s="46"/>
      <c r="AI29" s="57"/>
      <c r="AJ29" s="86">
        <v>1</v>
      </c>
      <c r="AK29" s="86">
        <f>AJ29+1</f>
        <v>2</v>
      </c>
      <c r="AL29" s="86">
        <f t="shared" si="50"/>
        <v>3</v>
      </c>
      <c r="AM29" s="86">
        <f t="shared" si="50"/>
        <v>4</v>
      </c>
      <c r="AN29" s="86">
        <f t="shared" si="50"/>
        <v>5</v>
      </c>
      <c r="AO29" s="86">
        <f t="shared" si="50"/>
        <v>6</v>
      </c>
      <c r="AP29" s="86">
        <f t="shared" si="50"/>
        <v>7</v>
      </c>
      <c r="AQ29" s="86">
        <f t="shared" si="50"/>
        <v>8</v>
      </c>
      <c r="AR29" s="86">
        <f t="shared" si="50"/>
        <v>9</v>
      </c>
      <c r="AS29" s="86">
        <f t="shared" si="50"/>
        <v>10</v>
      </c>
      <c r="AT29" s="86">
        <f t="shared" si="50"/>
        <v>11</v>
      </c>
      <c r="AU29" s="86">
        <f t="shared" ref="AU29:BG29" si="52">AT29+1</f>
        <v>12</v>
      </c>
      <c r="AV29" s="86">
        <f t="shared" si="52"/>
        <v>13</v>
      </c>
      <c r="AW29" s="86">
        <f t="shared" si="52"/>
        <v>14</v>
      </c>
      <c r="AX29" s="86">
        <f t="shared" si="52"/>
        <v>15</v>
      </c>
      <c r="AY29" s="86">
        <f t="shared" si="52"/>
        <v>16</v>
      </c>
      <c r="AZ29" s="86">
        <f t="shared" si="52"/>
        <v>17</v>
      </c>
      <c r="BA29" s="86">
        <f t="shared" si="52"/>
        <v>18</v>
      </c>
      <c r="BB29" s="86">
        <f t="shared" si="52"/>
        <v>19</v>
      </c>
      <c r="BC29" s="86">
        <f t="shared" si="52"/>
        <v>20</v>
      </c>
      <c r="BD29" s="86">
        <f t="shared" si="52"/>
        <v>21</v>
      </c>
      <c r="BE29" s="86">
        <f t="shared" si="52"/>
        <v>22</v>
      </c>
      <c r="BF29" s="86">
        <f t="shared" si="52"/>
        <v>23</v>
      </c>
      <c r="BG29" s="86">
        <f t="shared" si="52"/>
        <v>24</v>
      </c>
      <c r="BH29" s="46"/>
      <c r="BI29" s="4"/>
      <c r="BJ29" s="4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5"/>
      <c r="CX29" s="5"/>
      <c r="CY29" s="5"/>
      <c r="CZ29" s="5"/>
    </row>
    <row r="30" spans="1:104" ht="15" customHeight="1" x14ac:dyDescent="0.25">
      <c r="A30" t="s">
        <v>6</v>
      </c>
      <c r="B30" s="139">
        <v>3</v>
      </c>
      <c r="C30" s="140">
        <v>6</v>
      </c>
      <c r="D30" s="139" t="str">
        <f t="shared" si="0"/>
        <v>COUNTDOWN_EAST_C_2_23</v>
      </c>
      <c r="E30" s="140"/>
      <c r="F30" s="142" t="s">
        <v>33</v>
      </c>
      <c r="G30" s="140" t="s">
        <v>18</v>
      </c>
      <c r="H30" s="140" t="s">
        <v>4</v>
      </c>
      <c r="I30" s="140">
        <v>2</v>
      </c>
      <c r="J30" s="144"/>
      <c r="K30" s="144"/>
      <c r="L30" s="140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101"/>
      <c r="AC30" s="57"/>
      <c r="AD30" s="86"/>
      <c r="AE30" s="3"/>
      <c r="AF30" s="3"/>
      <c r="AG30" s="3"/>
      <c r="AH30" s="6"/>
      <c r="AI30" s="28"/>
      <c r="AJ30" s="133"/>
      <c r="AK30" s="133"/>
      <c r="AL30" s="133"/>
      <c r="AM30" s="46"/>
      <c r="AN30" s="56"/>
      <c r="AO30" s="56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5"/>
      <c r="CX30" s="5"/>
      <c r="CY30" s="5"/>
      <c r="CZ30" s="5"/>
    </row>
    <row r="31" spans="1:104" ht="15" customHeight="1" x14ac:dyDescent="0.25">
      <c r="B31" s="139">
        <v>4</v>
      </c>
      <c r="C31" s="139">
        <v>1</v>
      </c>
      <c r="D31" s="139" t="str">
        <f t="shared" si="0"/>
        <v>SORTING_EAST_I_1_23</v>
      </c>
      <c r="E31" s="139" t="s">
        <v>35</v>
      </c>
      <c r="F31" s="138" t="s">
        <v>45</v>
      </c>
      <c r="G31" s="140" t="s">
        <v>18</v>
      </c>
      <c r="H31" s="140" t="s">
        <v>10</v>
      </c>
      <c r="I31" s="140">
        <v>1</v>
      </c>
      <c r="J31" s="139"/>
      <c r="K31" s="184">
        <f>COUNT(AD31:BF31)</f>
        <v>9</v>
      </c>
      <c r="L31" s="139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101"/>
      <c r="AC31" s="57"/>
      <c r="AD31" s="86">
        <v>1</v>
      </c>
      <c r="AE31" s="3">
        <f t="shared" ref="AE31:AT35" si="53">AD31+1</f>
        <v>2</v>
      </c>
      <c r="AF31" s="3">
        <f t="shared" si="53"/>
        <v>3</v>
      </c>
      <c r="AG31" s="3">
        <f t="shared" si="53"/>
        <v>4</v>
      </c>
      <c r="AH31" s="3">
        <f t="shared" si="53"/>
        <v>5</v>
      </c>
      <c r="AI31" s="3">
        <f t="shared" si="53"/>
        <v>6</v>
      </c>
      <c r="AJ31" s="3">
        <f t="shared" si="53"/>
        <v>7</v>
      </c>
      <c r="AK31" s="3">
        <f t="shared" si="53"/>
        <v>8</v>
      </c>
      <c r="AL31" s="3">
        <f t="shared" si="53"/>
        <v>9</v>
      </c>
      <c r="AM31" s="4"/>
      <c r="AN31" s="4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5"/>
      <c r="CX31" s="5"/>
      <c r="CY31" s="5"/>
      <c r="CZ31" s="5"/>
    </row>
    <row r="32" spans="1:104" ht="15" customHeight="1" x14ac:dyDescent="0.25">
      <c r="B32" s="139">
        <v>4</v>
      </c>
      <c r="C32" s="139">
        <v>2</v>
      </c>
      <c r="D32" s="139" t="str">
        <f t="shared" si="0"/>
        <v>TRANSFER_EAST_I_1_23</v>
      </c>
      <c r="E32" s="139" t="s">
        <v>21</v>
      </c>
      <c r="F32" s="138" t="s">
        <v>21</v>
      </c>
      <c r="G32" s="140" t="s">
        <v>18</v>
      </c>
      <c r="H32" s="140" t="s">
        <v>10</v>
      </c>
      <c r="I32" s="140">
        <v>1</v>
      </c>
      <c r="J32" s="139"/>
      <c r="K32" s="184">
        <f>COUNT(AD32:BF32)</f>
        <v>11</v>
      </c>
      <c r="L32" s="139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101"/>
      <c r="AC32" s="57"/>
      <c r="AD32" s="86">
        <v>1</v>
      </c>
      <c r="AE32" s="3">
        <f t="shared" si="53"/>
        <v>2</v>
      </c>
      <c r="AF32" s="3">
        <f t="shared" si="53"/>
        <v>3</v>
      </c>
      <c r="AG32" s="3">
        <f t="shared" si="53"/>
        <v>4</v>
      </c>
      <c r="AH32" s="3">
        <f t="shared" si="53"/>
        <v>5</v>
      </c>
      <c r="AI32" s="3">
        <f t="shared" si="53"/>
        <v>6</v>
      </c>
      <c r="AJ32" s="3">
        <f t="shared" si="53"/>
        <v>7</v>
      </c>
      <c r="AK32" s="3">
        <f t="shared" si="53"/>
        <v>8</v>
      </c>
      <c r="AL32" s="3">
        <f t="shared" si="53"/>
        <v>9</v>
      </c>
      <c r="AM32" s="3">
        <f t="shared" si="53"/>
        <v>10</v>
      </c>
      <c r="AN32" s="3">
        <f t="shared" si="53"/>
        <v>11</v>
      </c>
      <c r="AO32" s="4"/>
      <c r="AP32" s="4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5"/>
      <c r="CX32" s="5"/>
      <c r="CY32" s="5"/>
      <c r="CZ32" s="5"/>
    </row>
    <row r="33" spans="1:104" ht="15" customHeight="1" x14ac:dyDescent="0.25">
      <c r="B33" s="139">
        <v>4</v>
      </c>
      <c r="C33" s="139">
        <v>3</v>
      </c>
      <c r="D33" s="139" t="str">
        <f t="shared" si="0"/>
        <v>PREPARE_EAST_I_1_23</v>
      </c>
      <c r="E33" s="139" t="s">
        <v>0</v>
      </c>
      <c r="F33" s="138" t="s">
        <v>46</v>
      </c>
      <c r="G33" s="140" t="s">
        <v>18</v>
      </c>
      <c r="H33" s="140" t="s">
        <v>10</v>
      </c>
      <c r="I33" s="140">
        <v>1</v>
      </c>
      <c r="J33" s="141"/>
      <c r="K33" s="184">
        <f>COUNT(M33:BF33)</f>
        <v>29</v>
      </c>
      <c r="L33" s="139"/>
      <c r="M33" s="3">
        <v>1</v>
      </c>
      <c r="N33" s="3">
        <f>M33+1</f>
        <v>2</v>
      </c>
      <c r="O33" s="3">
        <f t="shared" ref="O33:AD33" si="54">N33+1</f>
        <v>3</v>
      </c>
      <c r="P33" s="3">
        <f t="shared" si="54"/>
        <v>4</v>
      </c>
      <c r="Q33" s="3">
        <f t="shared" si="54"/>
        <v>5</v>
      </c>
      <c r="R33" s="3">
        <f t="shared" si="54"/>
        <v>6</v>
      </c>
      <c r="S33" s="3">
        <f t="shared" si="54"/>
        <v>7</v>
      </c>
      <c r="T33" s="3">
        <f t="shared" si="54"/>
        <v>8</v>
      </c>
      <c r="U33" s="3">
        <f t="shared" si="54"/>
        <v>9</v>
      </c>
      <c r="V33" s="3">
        <f t="shared" si="54"/>
        <v>10</v>
      </c>
      <c r="W33" s="3">
        <f t="shared" si="54"/>
        <v>11</v>
      </c>
      <c r="X33" s="3">
        <f t="shared" si="54"/>
        <v>12</v>
      </c>
      <c r="Y33" s="3">
        <f t="shared" si="54"/>
        <v>13</v>
      </c>
      <c r="Z33" s="3">
        <f t="shared" si="54"/>
        <v>14</v>
      </c>
      <c r="AA33" s="3">
        <f t="shared" si="54"/>
        <v>15</v>
      </c>
      <c r="AB33" s="3">
        <f t="shared" si="54"/>
        <v>16</v>
      </c>
      <c r="AC33" s="3">
        <f t="shared" si="54"/>
        <v>17</v>
      </c>
      <c r="AD33" s="3">
        <f t="shared" si="54"/>
        <v>18</v>
      </c>
      <c r="AE33" s="3">
        <f t="shared" si="53"/>
        <v>19</v>
      </c>
      <c r="AF33" s="3">
        <f t="shared" si="53"/>
        <v>20</v>
      </c>
      <c r="AG33" s="3">
        <f t="shared" si="53"/>
        <v>21</v>
      </c>
      <c r="AH33" s="3">
        <f t="shared" si="53"/>
        <v>22</v>
      </c>
      <c r="AI33" s="3">
        <f t="shared" si="53"/>
        <v>23</v>
      </c>
      <c r="AJ33" s="3">
        <f t="shared" si="53"/>
        <v>24</v>
      </c>
      <c r="AK33" s="3">
        <f t="shared" si="53"/>
        <v>25</v>
      </c>
      <c r="AL33" s="3">
        <f t="shared" si="53"/>
        <v>26</v>
      </c>
      <c r="AM33" s="3">
        <f t="shared" si="53"/>
        <v>27</v>
      </c>
      <c r="AN33" s="3">
        <f t="shared" si="53"/>
        <v>28</v>
      </c>
      <c r="AO33" s="3">
        <f t="shared" si="53"/>
        <v>29</v>
      </c>
      <c r="AP33" s="4"/>
      <c r="AQ33" s="4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5"/>
      <c r="CX33" s="5"/>
      <c r="CY33" s="5"/>
      <c r="CZ33" s="5"/>
    </row>
    <row r="34" spans="1:104" ht="15" customHeight="1" x14ac:dyDescent="0.25">
      <c r="B34" s="139">
        <v>4</v>
      </c>
      <c r="C34" s="139">
        <v>4</v>
      </c>
      <c r="D34" s="139" t="str">
        <f t="shared" si="0"/>
        <v>SUPPLY_EAST_I_1_23</v>
      </c>
      <c r="E34" s="139" t="s">
        <v>0</v>
      </c>
      <c r="F34" s="142" t="s">
        <v>0</v>
      </c>
      <c r="G34" s="140" t="s">
        <v>18</v>
      </c>
      <c r="H34" s="140" t="s">
        <v>10</v>
      </c>
      <c r="I34" s="140">
        <v>1</v>
      </c>
      <c r="J34" s="143"/>
      <c r="K34" s="184">
        <f>COUNT(AJ34:CC34)</f>
        <v>8</v>
      </c>
      <c r="L34" s="140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101"/>
      <c r="AC34" s="57"/>
      <c r="AD34" s="133"/>
      <c r="AE34" s="46"/>
      <c r="AF34" s="46"/>
      <c r="AG34" s="46"/>
      <c r="AH34" s="46"/>
      <c r="AI34" s="57"/>
      <c r="AJ34" s="86">
        <v>1</v>
      </c>
      <c r="AK34" s="86">
        <f>AJ34+1</f>
        <v>2</v>
      </c>
      <c r="AL34" s="86">
        <f t="shared" si="53"/>
        <v>3</v>
      </c>
      <c r="AM34" s="86">
        <f t="shared" si="53"/>
        <v>4</v>
      </c>
      <c r="AN34" s="86">
        <f t="shared" si="53"/>
        <v>5</v>
      </c>
      <c r="AO34" s="86">
        <f t="shared" si="53"/>
        <v>6</v>
      </c>
      <c r="AP34" s="86">
        <f t="shared" si="53"/>
        <v>7</v>
      </c>
      <c r="AQ34" s="86">
        <f t="shared" si="53"/>
        <v>8</v>
      </c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97"/>
      <c r="BG34" s="4"/>
      <c r="BH34" s="4"/>
      <c r="BI34" s="4"/>
      <c r="BJ34" s="4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5"/>
      <c r="CX34" s="5"/>
      <c r="CY34" s="5"/>
      <c r="CZ34" s="5"/>
    </row>
    <row r="35" spans="1:104" ht="15" customHeight="1" x14ac:dyDescent="0.25">
      <c r="B35" s="139">
        <v>4</v>
      </c>
      <c r="C35" s="140">
        <v>5</v>
      </c>
      <c r="D35" s="139" t="str">
        <f t="shared" si="0"/>
        <v>EMPTY_EAST_I_1_23</v>
      </c>
      <c r="E35" s="140" t="s">
        <v>0</v>
      </c>
      <c r="F35" s="142" t="s">
        <v>32</v>
      </c>
      <c r="G35" s="140" t="s">
        <v>18</v>
      </c>
      <c r="H35" s="140" t="s">
        <v>10</v>
      </c>
      <c r="I35" s="140">
        <v>1</v>
      </c>
      <c r="J35" s="139"/>
      <c r="K35" s="184">
        <f>COUNT(AJ35:CC35)</f>
        <v>27</v>
      </c>
      <c r="L35" s="139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101"/>
      <c r="AC35" s="57"/>
      <c r="AD35" s="133"/>
      <c r="AE35" s="46"/>
      <c r="AF35" s="46"/>
      <c r="AG35" s="46"/>
      <c r="AH35" s="46"/>
      <c r="AI35" s="57"/>
      <c r="AJ35" s="86">
        <v>1</v>
      </c>
      <c r="AK35" s="86">
        <f>AJ35+1</f>
        <v>2</v>
      </c>
      <c r="AL35" s="86">
        <f t="shared" si="53"/>
        <v>3</v>
      </c>
      <c r="AM35" s="86">
        <f t="shared" si="53"/>
        <v>4</v>
      </c>
      <c r="AN35" s="86">
        <f t="shared" si="53"/>
        <v>5</v>
      </c>
      <c r="AO35" s="86">
        <f t="shared" si="53"/>
        <v>6</v>
      </c>
      <c r="AP35" s="86">
        <f t="shared" si="53"/>
        <v>7</v>
      </c>
      <c r="AQ35" s="86">
        <f t="shared" si="53"/>
        <v>8</v>
      </c>
      <c r="AR35" s="86">
        <f t="shared" si="53"/>
        <v>9</v>
      </c>
      <c r="AS35" s="86">
        <f t="shared" si="53"/>
        <v>10</v>
      </c>
      <c r="AT35" s="86">
        <f t="shared" si="53"/>
        <v>11</v>
      </c>
      <c r="AU35" s="86">
        <f t="shared" ref="AU35:BJ35" si="55">AT35+1</f>
        <v>12</v>
      </c>
      <c r="AV35" s="86">
        <f t="shared" si="55"/>
        <v>13</v>
      </c>
      <c r="AW35" s="86">
        <f t="shared" si="55"/>
        <v>14</v>
      </c>
      <c r="AX35" s="86">
        <f t="shared" si="55"/>
        <v>15</v>
      </c>
      <c r="AY35" s="86">
        <f t="shared" si="55"/>
        <v>16</v>
      </c>
      <c r="AZ35" s="86">
        <f t="shared" si="55"/>
        <v>17</v>
      </c>
      <c r="BA35" s="86">
        <f t="shared" si="55"/>
        <v>18</v>
      </c>
      <c r="BB35" s="86">
        <f t="shared" si="55"/>
        <v>19</v>
      </c>
      <c r="BC35" s="86">
        <f t="shared" si="55"/>
        <v>20</v>
      </c>
      <c r="BD35" s="86">
        <f t="shared" si="55"/>
        <v>21</v>
      </c>
      <c r="BE35" s="86">
        <f t="shared" si="55"/>
        <v>22</v>
      </c>
      <c r="BF35" s="86">
        <f t="shared" si="55"/>
        <v>23</v>
      </c>
      <c r="BG35" s="86">
        <f t="shared" si="55"/>
        <v>24</v>
      </c>
      <c r="BH35" s="86">
        <f t="shared" si="55"/>
        <v>25</v>
      </c>
      <c r="BI35" s="86">
        <f t="shared" si="55"/>
        <v>26</v>
      </c>
      <c r="BJ35" s="86">
        <f t="shared" si="55"/>
        <v>27</v>
      </c>
      <c r="BK35" s="46"/>
      <c r="BL35" s="4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5"/>
      <c r="CX35" s="5"/>
      <c r="CY35" s="5"/>
      <c r="CZ35" s="5"/>
    </row>
    <row r="36" spans="1:104" ht="15" customHeight="1" x14ac:dyDescent="0.25">
      <c r="B36" s="139">
        <v>4</v>
      </c>
      <c r="C36" s="140">
        <v>6</v>
      </c>
      <c r="D36" s="139" t="str">
        <f t="shared" si="0"/>
        <v>COUNTDOWN_EAST_I_1_23</v>
      </c>
      <c r="E36" s="140"/>
      <c r="F36" s="142" t="s">
        <v>33</v>
      </c>
      <c r="G36" s="140" t="s">
        <v>18</v>
      </c>
      <c r="H36" s="140" t="s">
        <v>10</v>
      </c>
      <c r="I36" s="140">
        <v>1</v>
      </c>
      <c r="J36" s="144"/>
      <c r="K36" s="144"/>
      <c r="L36" s="140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101"/>
      <c r="AC36" s="57"/>
      <c r="AD36" s="86"/>
      <c r="AE36" s="3"/>
      <c r="AF36" s="3"/>
      <c r="AG36" s="3"/>
      <c r="AH36" s="3"/>
      <c r="AI36" s="31"/>
      <c r="AJ36" s="132"/>
      <c r="AK36" s="132"/>
      <c r="AL36" s="132"/>
      <c r="AM36" s="6"/>
      <c r="AN36" s="46"/>
      <c r="AO36" s="46"/>
      <c r="AP36" s="56"/>
      <c r="AQ36" s="56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5"/>
      <c r="CX36" s="5"/>
      <c r="CY36" s="5"/>
      <c r="CZ36" s="5"/>
    </row>
    <row r="37" spans="1:104" ht="15" customHeight="1" x14ac:dyDescent="0.25">
      <c r="A37" t="s">
        <v>15</v>
      </c>
      <c r="B37" s="139">
        <v>5</v>
      </c>
      <c r="C37" s="139">
        <v>1</v>
      </c>
      <c r="D37" s="139" t="str">
        <f t="shared" si="0"/>
        <v>SORTING_EAST_G_2_23</v>
      </c>
      <c r="E37" s="139" t="s">
        <v>35</v>
      </c>
      <c r="F37" s="138" t="s">
        <v>45</v>
      </c>
      <c r="G37" s="140" t="s">
        <v>18</v>
      </c>
      <c r="H37" s="140" t="s">
        <v>8</v>
      </c>
      <c r="I37" s="140">
        <v>2</v>
      </c>
      <c r="J37" s="139"/>
      <c r="K37" s="184">
        <f>COUNT(AD37:BF37)</f>
        <v>11</v>
      </c>
      <c r="L37" s="139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101"/>
      <c r="AC37" s="57"/>
      <c r="AD37" s="86">
        <v>1</v>
      </c>
      <c r="AE37" s="3">
        <f t="shared" ref="AE37:AT41" si="56">AD37+1</f>
        <v>2</v>
      </c>
      <c r="AF37" s="3">
        <f t="shared" si="56"/>
        <v>3</v>
      </c>
      <c r="AG37" s="3">
        <f t="shared" si="56"/>
        <v>4</v>
      </c>
      <c r="AH37" s="3">
        <f t="shared" si="56"/>
        <v>5</v>
      </c>
      <c r="AI37" s="3">
        <f t="shared" si="56"/>
        <v>6</v>
      </c>
      <c r="AJ37" s="3">
        <f t="shared" si="56"/>
        <v>7</v>
      </c>
      <c r="AK37" s="3">
        <f t="shared" si="56"/>
        <v>8</v>
      </c>
      <c r="AL37" s="3">
        <f t="shared" si="56"/>
        <v>9</v>
      </c>
      <c r="AM37" s="3">
        <f t="shared" si="56"/>
        <v>10</v>
      </c>
      <c r="AN37" s="3">
        <f t="shared" si="56"/>
        <v>11</v>
      </c>
      <c r="AO37" s="4"/>
      <c r="AP37" s="4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5"/>
      <c r="CX37" s="5"/>
      <c r="CY37" s="5"/>
      <c r="CZ37" s="5"/>
    </row>
    <row r="38" spans="1:104" ht="15" customHeight="1" x14ac:dyDescent="0.25">
      <c r="A38" t="s">
        <v>15</v>
      </c>
      <c r="B38" s="139">
        <v>5</v>
      </c>
      <c r="C38" s="139">
        <v>2</v>
      </c>
      <c r="D38" s="139" t="str">
        <f t="shared" si="0"/>
        <v>TRANSFER_EAST_G_2_23</v>
      </c>
      <c r="E38" s="139" t="s">
        <v>21</v>
      </c>
      <c r="F38" s="138" t="s">
        <v>21</v>
      </c>
      <c r="G38" s="140" t="s">
        <v>18</v>
      </c>
      <c r="H38" s="140" t="s">
        <v>8</v>
      </c>
      <c r="I38" s="140">
        <v>2</v>
      </c>
      <c r="J38" s="139"/>
      <c r="K38" s="184">
        <f>COUNT(AD38:BF38)</f>
        <v>13</v>
      </c>
      <c r="L38" s="139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101"/>
      <c r="AC38" s="57"/>
      <c r="AD38" s="86">
        <v>1</v>
      </c>
      <c r="AE38" s="3">
        <f t="shared" si="56"/>
        <v>2</v>
      </c>
      <c r="AF38" s="3">
        <f t="shared" si="56"/>
        <v>3</v>
      </c>
      <c r="AG38" s="3">
        <f t="shared" si="56"/>
        <v>4</v>
      </c>
      <c r="AH38" s="3">
        <f t="shared" si="56"/>
        <v>5</v>
      </c>
      <c r="AI38" s="3">
        <f t="shared" si="56"/>
        <v>6</v>
      </c>
      <c r="AJ38" s="3">
        <f t="shared" si="56"/>
        <v>7</v>
      </c>
      <c r="AK38" s="3">
        <f t="shared" si="56"/>
        <v>8</v>
      </c>
      <c r="AL38" s="3">
        <f t="shared" si="56"/>
        <v>9</v>
      </c>
      <c r="AM38" s="3">
        <f t="shared" si="56"/>
        <v>10</v>
      </c>
      <c r="AN38" s="3">
        <f t="shared" si="56"/>
        <v>11</v>
      </c>
      <c r="AO38" s="3">
        <f t="shared" si="56"/>
        <v>12</v>
      </c>
      <c r="AP38" s="3">
        <f t="shared" si="56"/>
        <v>13</v>
      </c>
      <c r="AQ38" s="4"/>
      <c r="AR38" s="4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5"/>
      <c r="CX38" s="5"/>
      <c r="CY38" s="5"/>
      <c r="CZ38" s="5"/>
    </row>
    <row r="39" spans="1:104" ht="15" customHeight="1" x14ac:dyDescent="0.25">
      <c r="A39" t="s">
        <v>15</v>
      </c>
      <c r="B39" s="139">
        <v>5</v>
      </c>
      <c r="C39" s="139">
        <v>3</v>
      </c>
      <c r="D39" s="139" t="str">
        <f t="shared" si="0"/>
        <v>PREPARE_EAST_G_2_23</v>
      </c>
      <c r="E39" s="139" t="s">
        <v>0</v>
      </c>
      <c r="F39" s="138" t="s">
        <v>46</v>
      </c>
      <c r="G39" s="140" t="s">
        <v>18</v>
      </c>
      <c r="H39" s="140" t="s">
        <v>8</v>
      </c>
      <c r="I39" s="140">
        <v>2</v>
      </c>
      <c r="J39" s="141"/>
      <c r="K39" s="184">
        <f>COUNT(M39:BF39)</f>
        <v>31</v>
      </c>
      <c r="L39" s="139"/>
      <c r="M39" s="3">
        <v>1</v>
      </c>
      <c r="N39" s="3">
        <f>M39+1</f>
        <v>2</v>
      </c>
      <c r="O39" s="3">
        <f t="shared" ref="O39:AD39" si="57">N39+1</f>
        <v>3</v>
      </c>
      <c r="P39" s="3">
        <f t="shared" si="57"/>
        <v>4</v>
      </c>
      <c r="Q39" s="3">
        <f t="shared" si="57"/>
        <v>5</v>
      </c>
      <c r="R39" s="3">
        <f t="shared" si="57"/>
        <v>6</v>
      </c>
      <c r="S39" s="3">
        <f t="shared" si="57"/>
        <v>7</v>
      </c>
      <c r="T39" s="3">
        <f t="shared" si="57"/>
        <v>8</v>
      </c>
      <c r="U39" s="3">
        <f t="shared" si="57"/>
        <v>9</v>
      </c>
      <c r="V39" s="3">
        <f t="shared" si="57"/>
        <v>10</v>
      </c>
      <c r="W39" s="3">
        <f t="shared" si="57"/>
        <v>11</v>
      </c>
      <c r="X39" s="3">
        <f t="shared" si="57"/>
        <v>12</v>
      </c>
      <c r="Y39" s="3">
        <f t="shared" si="57"/>
        <v>13</v>
      </c>
      <c r="Z39" s="3">
        <f t="shared" si="57"/>
        <v>14</v>
      </c>
      <c r="AA39" s="3">
        <f t="shared" si="57"/>
        <v>15</v>
      </c>
      <c r="AB39" s="3">
        <f t="shared" si="57"/>
        <v>16</v>
      </c>
      <c r="AC39" s="3">
        <f t="shared" si="57"/>
        <v>17</v>
      </c>
      <c r="AD39" s="3">
        <f t="shared" si="57"/>
        <v>18</v>
      </c>
      <c r="AE39" s="3">
        <f t="shared" si="56"/>
        <v>19</v>
      </c>
      <c r="AF39" s="3">
        <f t="shared" si="56"/>
        <v>20</v>
      </c>
      <c r="AG39" s="3">
        <f t="shared" si="56"/>
        <v>21</v>
      </c>
      <c r="AH39" s="3">
        <f t="shared" si="56"/>
        <v>22</v>
      </c>
      <c r="AI39" s="3">
        <f t="shared" si="56"/>
        <v>23</v>
      </c>
      <c r="AJ39" s="3">
        <f t="shared" si="56"/>
        <v>24</v>
      </c>
      <c r="AK39" s="3">
        <f t="shared" si="56"/>
        <v>25</v>
      </c>
      <c r="AL39" s="3">
        <f t="shared" si="56"/>
        <v>26</v>
      </c>
      <c r="AM39" s="3">
        <f t="shared" si="56"/>
        <v>27</v>
      </c>
      <c r="AN39" s="3">
        <f t="shared" si="56"/>
        <v>28</v>
      </c>
      <c r="AO39" s="3">
        <f t="shared" si="56"/>
        <v>29</v>
      </c>
      <c r="AP39" s="3">
        <f t="shared" si="56"/>
        <v>30</v>
      </c>
      <c r="AQ39" s="3">
        <f t="shared" si="56"/>
        <v>31</v>
      </c>
      <c r="AR39" s="4"/>
      <c r="AS39" s="4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5"/>
      <c r="CX39" s="5"/>
      <c r="CY39" s="5"/>
      <c r="CZ39" s="5"/>
    </row>
    <row r="40" spans="1:104" ht="15" customHeight="1" x14ac:dyDescent="0.25">
      <c r="A40" t="s">
        <v>15</v>
      </c>
      <c r="B40" s="139">
        <v>5</v>
      </c>
      <c r="C40" s="139">
        <v>4</v>
      </c>
      <c r="D40" s="139" t="str">
        <f t="shared" si="0"/>
        <v>SUPPLY_EAST_G_2_23</v>
      </c>
      <c r="E40" s="139" t="s">
        <v>0</v>
      </c>
      <c r="F40" s="142" t="s">
        <v>0</v>
      </c>
      <c r="G40" s="140" t="s">
        <v>18</v>
      </c>
      <c r="H40" s="140" t="s">
        <v>8</v>
      </c>
      <c r="I40" s="140">
        <v>2</v>
      </c>
      <c r="J40" s="143"/>
      <c r="K40" s="184">
        <f>COUNT(AJ40:CC40)</f>
        <v>10</v>
      </c>
      <c r="L40" s="140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101"/>
      <c r="AC40" s="57"/>
      <c r="AD40" s="133"/>
      <c r="AE40" s="46"/>
      <c r="AF40" s="46"/>
      <c r="AG40" s="46"/>
      <c r="AH40" s="46"/>
      <c r="AI40" s="57"/>
      <c r="AJ40" s="86">
        <v>1</v>
      </c>
      <c r="AK40" s="86">
        <f>AJ40+1</f>
        <v>2</v>
      </c>
      <c r="AL40" s="86">
        <f t="shared" si="56"/>
        <v>3</v>
      </c>
      <c r="AM40" s="86">
        <f t="shared" si="56"/>
        <v>4</v>
      </c>
      <c r="AN40" s="86">
        <f t="shared" si="56"/>
        <v>5</v>
      </c>
      <c r="AO40" s="86">
        <f t="shared" si="56"/>
        <v>6</v>
      </c>
      <c r="AP40" s="86">
        <f t="shared" si="56"/>
        <v>7</v>
      </c>
      <c r="AQ40" s="86">
        <f t="shared" si="56"/>
        <v>8</v>
      </c>
      <c r="AR40" s="86">
        <f t="shared" si="56"/>
        <v>9</v>
      </c>
      <c r="AS40" s="86">
        <f t="shared" si="56"/>
        <v>10</v>
      </c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97"/>
      <c r="BI40" s="97"/>
      <c r="BJ40" s="97"/>
      <c r="BK40" s="4"/>
      <c r="BL40" s="4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5"/>
      <c r="CX40" s="5"/>
      <c r="CY40" s="5"/>
      <c r="CZ40" s="5"/>
    </row>
    <row r="41" spans="1:104" ht="15" customHeight="1" x14ac:dyDescent="0.25">
      <c r="A41" t="s">
        <v>15</v>
      </c>
      <c r="B41" s="139">
        <v>5</v>
      </c>
      <c r="C41" s="140">
        <v>5</v>
      </c>
      <c r="D41" s="139" t="str">
        <f t="shared" si="0"/>
        <v>EMPTY_EAST_G_2_23</v>
      </c>
      <c r="E41" s="140" t="s">
        <v>0</v>
      </c>
      <c r="F41" s="142" t="s">
        <v>32</v>
      </c>
      <c r="G41" s="140" t="s">
        <v>18</v>
      </c>
      <c r="H41" s="140" t="s">
        <v>8</v>
      </c>
      <c r="I41" s="140">
        <v>2</v>
      </c>
      <c r="J41" s="139"/>
      <c r="K41" s="184">
        <f>COUNT(AJ41:CC41)</f>
        <v>29</v>
      </c>
      <c r="L41" s="139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101"/>
      <c r="AC41" s="57"/>
      <c r="AD41" s="133"/>
      <c r="AE41" s="46"/>
      <c r="AF41" s="46"/>
      <c r="AG41" s="46"/>
      <c r="AH41" s="46"/>
      <c r="AI41" s="57"/>
      <c r="AJ41" s="86">
        <v>1</v>
      </c>
      <c r="AK41" s="86">
        <f>AJ41+1</f>
        <v>2</v>
      </c>
      <c r="AL41" s="86">
        <f t="shared" si="56"/>
        <v>3</v>
      </c>
      <c r="AM41" s="86">
        <f t="shared" si="56"/>
        <v>4</v>
      </c>
      <c r="AN41" s="86">
        <f t="shared" si="56"/>
        <v>5</v>
      </c>
      <c r="AO41" s="86">
        <f t="shared" si="56"/>
        <v>6</v>
      </c>
      <c r="AP41" s="86">
        <f t="shared" si="56"/>
        <v>7</v>
      </c>
      <c r="AQ41" s="86">
        <f t="shared" si="56"/>
        <v>8</v>
      </c>
      <c r="AR41" s="86">
        <f t="shared" si="56"/>
        <v>9</v>
      </c>
      <c r="AS41" s="86">
        <f t="shared" si="56"/>
        <v>10</v>
      </c>
      <c r="AT41" s="86">
        <f t="shared" si="56"/>
        <v>11</v>
      </c>
      <c r="AU41" s="86">
        <f t="shared" ref="AU41:BL41" si="58">AT41+1</f>
        <v>12</v>
      </c>
      <c r="AV41" s="86">
        <f t="shared" si="58"/>
        <v>13</v>
      </c>
      <c r="AW41" s="86">
        <f t="shared" si="58"/>
        <v>14</v>
      </c>
      <c r="AX41" s="86">
        <f t="shared" si="58"/>
        <v>15</v>
      </c>
      <c r="AY41" s="86">
        <f t="shared" si="58"/>
        <v>16</v>
      </c>
      <c r="AZ41" s="86">
        <f t="shared" si="58"/>
        <v>17</v>
      </c>
      <c r="BA41" s="86">
        <f t="shared" si="58"/>
        <v>18</v>
      </c>
      <c r="BB41" s="86">
        <f t="shared" si="58"/>
        <v>19</v>
      </c>
      <c r="BC41" s="86">
        <f t="shared" si="58"/>
        <v>20</v>
      </c>
      <c r="BD41" s="86">
        <f t="shared" si="58"/>
        <v>21</v>
      </c>
      <c r="BE41" s="86">
        <f t="shared" si="58"/>
        <v>22</v>
      </c>
      <c r="BF41" s="86">
        <f t="shared" si="58"/>
        <v>23</v>
      </c>
      <c r="BG41" s="86">
        <f t="shared" si="58"/>
        <v>24</v>
      </c>
      <c r="BH41" s="86">
        <f t="shared" si="58"/>
        <v>25</v>
      </c>
      <c r="BI41" s="86">
        <f t="shared" si="58"/>
        <v>26</v>
      </c>
      <c r="BJ41" s="86">
        <f t="shared" si="58"/>
        <v>27</v>
      </c>
      <c r="BK41" s="86">
        <f t="shared" si="58"/>
        <v>28</v>
      </c>
      <c r="BL41" s="86">
        <f t="shared" si="58"/>
        <v>29</v>
      </c>
      <c r="BM41" s="46"/>
      <c r="BN41" s="4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5"/>
      <c r="CX41" s="5"/>
      <c r="CY41" s="5"/>
      <c r="CZ41" s="5"/>
    </row>
    <row r="42" spans="1:104" ht="15" customHeight="1" x14ac:dyDescent="0.25">
      <c r="A42" t="s">
        <v>15</v>
      </c>
      <c r="B42" s="139">
        <v>5</v>
      </c>
      <c r="C42" s="140">
        <v>6</v>
      </c>
      <c r="D42" s="139" t="str">
        <f t="shared" si="0"/>
        <v>COUNTDOWN_EAST_G_2_23</v>
      </c>
      <c r="E42" s="140"/>
      <c r="F42" s="142" t="s">
        <v>33</v>
      </c>
      <c r="G42" s="140" t="s">
        <v>18</v>
      </c>
      <c r="H42" s="140" t="s">
        <v>8</v>
      </c>
      <c r="I42" s="140">
        <v>2</v>
      </c>
      <c r="J42" s="144"/>
      <c r="K42" s="144"/>
      <c r="L42" s="140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101"/>
      <c r="AC42" s="57"/>
      <c r="AD42" s="86"/>
      <c r="AE42" s="3"/>
      <c r="AF42" s="3"/>
      <c r="AG42" s="3"/>
      <c r="AH42" s="3"/>
      <c r="AI42" s="31"/>
      <c r="AJ42" s="86"/>
      <c r="AK42" s="86"/>
      <c r="AL42" s="86"/>
      <c r="AM42" s="3"/>
      <c r="AN42" s="6"/>
      <c r="AO42" s="6"/>
      <c r="AP42" s="46"/>
      <c r="AQ42" s="46"/>
      <c r="AR42" s="56"/>
      <c r="AS42" s="56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5"/>
      <c r="CX42" s="5"/>
      <c r="CY42" s="5"/>
      <c r="CZ42" s="5"/>
    </row>
    <row r="43" spans="1:104" ht="15" customHeight="1" x14ac:dyDescent="0.25">
      <c r="B43" s="139">
        <v>6</v>
      </c>
      <c r="C43" s="139">
        <v>1</v>
      </c>
      <c r="D43" s="139" t="str">
        <f t="shared" si="0"/>
        <v>SORTING_EAST_B_1_23</v>
      </c>
      <c r="E43" s="139" t="s">
        <v>35</v>
      </c>
      <c r="F43" s="138" t="s">
        <v>45</v>
      </c>
      <c r="G43" s="140" t="s">
        <v>18</v>
      </c>
      <c r="H43" s="140" t="s">
        <v>3</v>
      </c>
      <c r="I43" s="140">
        <v>1</v>
      </c>
      <c r="J43" s="139"/>
      <c r="K43" s="184">
        <f>COUNT(AD43:BF43)</f>
        <v>13</v>
      </c>
      <c r="L43" s="139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101"/>
      <c r="AC43" s="57"/>
      <c r="AD43" s="86">
        <v>1</v>
      </c>
      <c r="AE43" s="3">
        <f t="shared" ref="AE43:AT47" si="59">AD43+1</f>
        <v>2</v>
      </c>
      <c r="AF43" s="3">
        <f t="shared" si="59"/>
        <v>3</v>
      </c>
      <c r="AG43" s="3">
        <f t="shared" si="59"/>
        <v>4</v>
      </c>
      <c r="AH43" s="3">
        <f t="shared" si="59"/>
        <v>5</v>
      </c>
      <c r="AI43" s="3">
        <f t="shared" si="59"/>
        <v>6</v>
      </c>
      <c r="AJ43" s="3">
        <f t="shared" si="59"/>
        <v>7</v>
      </c>
      <c r="AK43" s="3">
        <f t="shared" si="59"/>
        <v>8</v>
      </c>
      <c r="AL43" s="3">
        <f t="shared" si="59"/>
        <v>9</v>
      </c>
      <c r="AM43" s="3">
        <f t="shared" si="59"/>
        <v>10</v>
      </c>
      <c r="AN43" s="3">
        <f t="shared" si="59"/>
        <v>11</v>
      </c>
      <c r="AO43" s="3">
        <f t="shared" si="59"/>
        <v>12</v>
      </c>
      <c r="AP43" s="3">
        <f t="shared" si="59"/>
        <v>13</v>
      </c>
      <c r="AQ43" s="4"/>
      <c r="AR43" s="4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5"/>
      <c r="CX43" s="5"/>
      <c r="CY43" s="5"/>
      <c r="CZ43" s="5"/>
    </row>
    <row r="44" spans="1:104" ht="15" customHeight="1" x14ac:dyDescent="0.25">
      <c r="B44" s="139">
        <v>6</v>
      </c>
      <c r="C44" s="139">
        <v>2</v>
      </c>
      <c r="D44" s="139" t="str">
        <f t="shared" si="0"/>
        <v>TRANSFER_EAST_B_1_23</v>
      </c>
      <c r="E44" s="139" t="s">
        <v>21</v>
      </c>
      <c r="F44" s="138" t="s">
        <v>21</v>
      </c>
      <c r="G44" s="140" t="s">
        <v>18</v>
      </c>
      <c r="H44" s="140" t="s">
        <v>3</v>
      </c>
      <c r="I44" s="140">
        <v>1</v>
      </c>
      <c r="J44" s="139"/>
      <c r="K44" s="184">
        <f>COUNT(AD44:BF44)</f>
        <v>15</v>
      </c>
      <c r="L44" s="139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101"/>
      <c r="AC44" s="57"/>
      <c r="AD44" s="86">
        <v>1</v>
      </c>
      <c r="AE44" s="3">
        <f t="shared" si="59"/>
        <v>2</v>
      </c>
      <c r="AF44" s="3">
        <f t="shared" si="59"/>
        <v>3</v>
      </c>
      <c r="AG44" s="3">
        <f t="shared" si="59"/>
        <v>4</v>
      </c>
      <c r="AH44" s="3">
        <f t="shared" si="59"/>
        <v>5</v>
      </c>
      <c r="AI44" s="3">
        <f t="shared" si="59"/>
        <v>6</v>
      </c>
      <c r="AJ44" s="3">
        <f t="shared" si="59"/>
        <v>7</v>
      </c>
      <c r="AK44" s="3">
        <f t="shared" si="59"/>
        <v>8</v>
      </c>
      <c r="AL44" s="3">
        <f t="shared" si="59"/>
        <v>9</v>
      </c>
      <c r="AM44" s="3">
        <f t="shared" si="59"/>
        <v>10</v>
      </c>
      <c r="AN44" s="3">
        <f t="shared" si="59"/>
        <v>11</v>
      </c>
      <c r="AO44" s="3">
        <f t="shared" si="59"/>
        <v>12</v>
      </c>
      <c r="AP44" s="3">
        <f t="shared" si="59"/>
        <v>13</v>
      </c>
      <c r="AQ44" s="3">
        <f t="shared" si="59"/>
        <v>14</v>
      </c>
      <c r="AR44" s="3">
        <f t="shared" si="59"/>
        <v>15</v>
      </c>
      <c r="AS44" s="4"/>
      <c r="AT44" s="4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5"/>
      <c r="CX44" s="5"/>
      <c r="CY44" s="5"/>
      <c r="CZ44" s="5"/>
    </row>
    <row r="45" spans="1:104" ht="15" customHeight="1" x14ac:dyDescent="0.25">
      <c r="B45" s="139">
        <v>6</v>
      </c>
      <c r="C45" s="139">
        <v>3</v>
      </c>
      <c r="D45" s="139" t="str">
        <f t="shared" si="0"/>
        <v>PREPARE_EAST_B_1_23</v>
      </c>
      <c r="E45" s="139" t="s">
        <v>0</v>
      </c>
      <c r="F45" s="138" t="s">
        <v>46</v>
      </c>
      <c r="G45" s="140" t="s">
        <v>18</v>
      </c>
      <c r="H45" s="140" t="s">
        <v>3</v>
      </c>
      <c r="I45" s="140">
        <v>1</v>
      </c>
      <c r="J45" s="141"/>
      <c r="K45" s="184">
        <f>COUNT(M45:BF45)</f>
        <v>34</v>
      </c>
      <c r="L45" s="139"/>
      <c r="M45" s="3">
        <v>1</v>
      </c>
      <c r="N45" s="3">
        <f>M45+1</f>
        <v>2</v>
      </c>
      <c r="O45" s="3">
        <f t="shared" ref="O45:AD45" si="60">N45+1</f>
        <v>3</v>
      </c>
      <c r="P45" s="3">
        <f t="shared" si="60"/>
        <v>4</v>
      </c>
      <c r="Q45" s="3">
        <f t="shared" si="60"/>
        <v>5</v>
      </c>
      <c r="R45" s="3">
        <f t="shared" si="60"/>
        <v>6</v>
      </c>
      <c r="S45" s="3">
        <f t="shared" si="60"/>
        <v>7</v>
      </c>
      <c r="T45" s="3">
        <f t="shared" si="60"/>
        <v>8</v>
      </c>
      <c r="U45" s="3">
        <f t="shared" si="60"/>
        <v>9</v>
      </c>
      <c r="V45" s="3">
        <f t="shared" si="60"/>
        <v>10</v>
      </c>
      <c r="W45" s="3">
        <f t="shared" si="60"/>
        <v>11</v>
      </c>
      <c r="X45" s="3">
        <f t="shared" si="60"/>
        <v>12</v>
      </c>
      <c r="Y45" s="3">
        <f t="shared" si="60"/>
        <v>13</v>
      </c>
      <c r="Z45" s="3">
        <f t="shared" si="60"/>
        <v>14</v>
      </c>
      <c r="AA45" s="3">
        <f t="shared" si="60"/>
        <v>15</v>
      </c>
      <c r="AB45" s="3">
        <f t="shared" si="60"/>
        <v>16</v>
      </c>
      <c r="AC45" s="3">
        <f t="shared" si="60"/>
        <v>17</v>
      </c>
      <c r="AD45" s="3">
        <f t="shared" si="60"/>
        <v>18</v>
      </c>
      <c r="AE45" s="3">
        <f t="shared" si="59"/>
        <v>19</v>
      </c>
      <c r="AF45" s="3">
        <f t="shared" si="59"/>
        <v>20</v>
      </c>
      <c r="AG45" s="3">
        <f t="shared" si="59"/>
        <v>21</v>
      </c>
      <c r="AH45" s="3">
        <f t="shared" si="59"/>
        <v>22</v>
      </c>
      <c r="AI45" s="3">
        <f t="shared" si="59"/>
        <v>23</v>
      </c>
      <c r="AJ45" s="3">
        <f t="shared" si="59"/>
        <v>24</v>
      </c>
      <c r="AK45" s="3">
        <f t="shared" si="59"/>
        <v>25</v>
      </c>
      <c r="AL45" s="3">
        <f t="shared" si="59"/>
        <v>26</v>
      </c>
      <c r="AM45" s="3">
        <f t="shared" si="59"/>
        <v>27</v>
      </c>
      <c r="AN45" s="3">
        <f t="shared" si="59"/>
        <v>28</v>
      </c>
      <c r="AO45" s="3">
        <f t="shared" si="59"/>
        <v>29</v>
      </c>
      <c r="AP45" s="3">
        <f t="shared" si="59"/>
        <v>30</v>
      </c>
      <c r="AQ45" s="3">
        <f t="shared" si="59"/>
        <v>31</v>
      </c>
      <c r="AR45" s="3">
        <f t="shared" si="59"/>
        <v>32</v>
      </c>
      <c r="AS45" s="3">
        <f t="shared" si="59"/>
        <v>33</v>
      </c>
      <c r="AT45" s="3">
        <f t="shared" si="59"/>
        <v>34</v>
      </c>
      <c r="AU45" s="4"/>
      <c r="AV45" s="4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5"/>
      <c r="CX45" s="5"/>
      <c r="CY45" s="5"/>
      <c r="CZ45" s="5"/>
    </row>
    <row r="46" spans="1:104" ht="15" customHeight="1" x14ac:dyDescent="0.25">
      <c r="B46" s="139">
        <v>6</v>
      </c>
      <c r="C46" s="139">
        <v>4</v>
      </c>
      <c r="D46" s="139" t="str">
        <f t="shared" si="0"/>
        <v>SUPPLY_EAST_B_1_23</v>
      </c>
      <c r="E46" s="139" t="s">
        <v>0</v>
      </c>
      <c r="F46" s="142" t="s">
        <v>0</v>
      </c>
      <c r="G46" s="140" t="s">
        <v>18</v>
      </c>
      <c r="H46" s="140" t="s">
        <v>3</v>
      </c>
      <c r="I46" s="140">
        <v>1</v>
      </c>
      <c r="J46" s="143"/>
      <c r="K46" s="184">
        <f>COUNT(AJ46:CC46)</f>
        <v>13</v>
      </c>
      <c r="L46" s="140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101"/>
      <c r="AC46" s="57"/>
      <c r="AD46" s="133"/>
      <c r="AE46" s="46"/>
      <c r="AF46" s="46"/>
      <c r="AG46" s="46"/>
      <c r="AH46" s="46"/>
      <c r="AI46" s="57"/>
      <c r="AJ46" s="86">
        <v>1</v>
      </c>
      <c r="AK46" s="86">
        <f>AJ46+1</f>
        <v>2</v>
      </c>
      <c r="AL46" s="86">
        <f t="shared" si="59"/>
        <v>3</v>
      </c>
      <c r="AM46" s="86">
        <f t="shared" si="59"/>
        <v>4</v>
      </c>
      <c r="AN46" s="86">
        <f t="shared" si="59"/>
        <v>5</v>
      </c>
      <c r="AO46" s="86">
        <f t="shared" si="59"/>
        <v>6</v>
      </c>
      <c r="AP46" s="86">
        <f t="shared" si="59"/>
        <v>7</v>
      </c>
      <c r="AQ46" s="86">
        <f t="shared" si="59"/>
        <v>8</v>
      </c>
      <c r="AR46" s="86">
        <f t="shared" si="59"/>
        <v>9</v>
      </c>
      <c r="AS46" s="86">
        <f t="shared" si="59"/>
        <v>10</v>
      </c>
      <c r="AT46" s="86">
        <f t="shared" si="59"/>
        <v>11</v>
      </c>
      <c r="AU46" s="86">
        <f t="shared" ref="AU46:BJ47" si="61">AT46+1</f>
        <v>12</v>
      </c>
      <c r="AV46" s="86">
        <f t="shared" si="61"/>
        <v>13</v>
      </c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97"/>
      <c r="BM46" s="4"/>
      <c r="BN46" s="4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5"/>
      <c r="CX46" s="5"/>
      <c r="CY46" s="5"/>
      <c r="CZ46" s="5"/>
    </row>
    <row r="47" spans="1:104" ht="15" customHeight="1" x14ac:dyDescent="0.25">
      <c r="B47" s="139">
        <v>6</v>
      </c>
      <c r="C47" s="140">
        <v>5</v>
      </c>
      <c r="D47" s="139" t="str">
        <f t="shared" si="0"/>
        <v>EMPTY_EAST_B_1_23</v>
      </c>
      <c r="E47" s="140" t="s">
        <v>0</v>
      </c>
      <c r="F47" s="142" t="s">
        <v>32</v>
      </c>
      <c r="G47" s="140" t="s">
        <v>18</v>
      </c>
      <c r="H47" s="140" t="s">
        <v>3</v>
      </c>
      <c r="I47" s="140">
        <v>1</v>
      </c>
      <c r="J47" s="139"/>
      <c r="K47" s="184">
        <f>COUNT(AJ47:CC47)</f>
        <v>31</v>
      </c>
      <c r="L47" s="139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101"/>
      <c r="AC47" s="57"/>
      <c r="AD47" s="133"/>
      <c r="AE47" s="46"/>
      <c r="AF47" s="46"/>
      <c r="AG47" s="46"/>
      <c r="AH47" s="46"/>
      <c r="AI47" s="57"/>
      <c r="AJ47" s="86">
        <v>1</v>
      </c>
      <c r="AK47" s="86">
        <f>AJ47+1</f>
        <v>2</v>
      </c>
      <c r="AL47" s="86">
        <f t="shared" si="59"/>
        <v>3</v>
      </c>
      <c r="AM47" s="86">
        <f t="shared" si="59"/>
        <v>4</v>
      </c>
      <c r="AN47" s="86">
        <f t="shared" si="59"/>
        <v>5</v>
      </c>
      <c r="AO47" s="86">
        <f t="shared" si="59"/>
        <v>6</v>
      </c>
      <c r="AP47" s="86">
        <f t="shared" si="59"/>
        <v>7</v>
      </c>
      <c r="AQ47" s="86">
        <f t="shared" si="59"/>
        <v>8</v>
      </c>
      <c r="AR47" s="86">
        <f t="shared" si="59"/>
        <v>9</v>
      </c>
      <c r="AS47" s="86">
        <f t="shared" si="59"/>
        <v>10</v>
      </c>
      <c r="AT47" s="86">
        <f t="shared" si="59"/>
        <v>11</v>
      </c>
      <c r="AU47" s="86">
        <f t="shared" si="61"/>
        <v>12</v>
      </c>
      <c r="AV47" s="86">
        <f t="shared" si="61"/>
        <v>13</v>
      </c>
      <c r="AW47" s="86">
        <f t="shared" si="61"/>
        <v>14</v>
      </c>
      <c r="AX47" s="86">
        <f t="shared" si="61"/>
        <v>15</v>
      </c>
      <c r="AY47" s="86">
        <f t="shared" si="61"/>
        <v>16</v>
      </c>
      <c r="AZ47" s="86">
        <f t="shared" si="61"/>
        <v>17</v>
      </c>
      <c r="BA47" s="86">
        <f t="shared" si="61"/>
        <v>18</v>
      </c>
      <c r="BB47" s="86">
        <f t="shared" si="61"/>
        <v>19</v>
      </c>
      <c r="BC47" s="86">
        <f t="shared" si="61"/>
        <v>20</v>
      </c>
      <c r="BD47" s="86">
        <f t="shared" si="61"/>
        <v>21</v>
      </c>
      <c r="BE47" s="86">
        <f t="shared" si="61"/>
        <v>22</v>
      </c>
      <c r="BF47" s="86">
        <f t="shared" si="61"/>
        <v>23</v>
      </c>
      <c r="BG47" s="86">
        <f t="shared" si="61"/>
        <v>24</v>
      </c>
      <c r="BH47" s="86">
        <f t="shared" si="61"/>
        <v>25</v>
      </c>
      <c r="BI47" s="86">
        <f t="shared" si="61"/>
        <v>26</v>
      </c>
      <c r="BJ47" s="86">
        <f t="shared" si="61"/>
        <v>27</v>
      </c>
      <c r="BK47" s="86">
        <f t="shared" ref="BK47:BN47" si="62">BJ47+1</f>
        <v>28</v>
      </c>
      <c r="BL47" s="86">
        <f t="shared" si="62"/>
        <v>29</v>
      </c>
      <c r="BM47" s="86">
        <f t="shared" si="62"/>
        <v>30</v>
      </c>
      <c r="BN47" s="86">
        <f t="shared" si="62"/>
        <v>31</v>
      </c>
      <c r="BO47" s="46"/>
      <c r="BP47" s="4"/>
      <c r="BQ47" s="4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5"/>
      <c r="CX47" s="5"/>
      <c r="CY47" s="5"/>
      <c r="CZ47" s="5"/>
    </row>
    <row r="48" spans="1:104" ht="15" customHeight="1" x14ac:dyDescent="0.25">
      <c r="B48" s="139">
        <v>6</v>
      </c>
      <c r="C48" s="140">
        <v>6</v>
      </c>
      <c r="D48" s="139" t="str">
        <f t="shared" si="0"/>
        <v>COUNTDOWN_EAST_B_1_23</v>
      </c>
      <c r="E48" s="140"/>
      <c r="F48" s="142" t="s">
        <v>33</v>
      </c>
      <c r="G48" s="140" t="s">
        <v>18</v>
      </c>
      <c r="H48" s="140" t="s">
        <v>3</v>
      </c>
      <c r="I48" s="140">
        <v>1</v>
      </c>
      <c r="J48" s="144"/>
      <c r="K48" s="144"/>
      <c r="L48" s="140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101"/>
      <c r="AC48" s="57"/>
      <c r="AD48" s="86"/>
      <c r="AE48" s="3"/>
      <c r="AF48" s="3"/>
      <c r="AG48" s="3"/>
      <c r="AH48" s="3"/>
      <c r="AI48" s="31"/>
      <c r="AJ48" s="86"/>
      <c r="AK48" s="86"/>
      <c r="AL48" s="86"/>
      <c r="AM48" s="3"/>
      <c r="AN48" s="3"/>
      <c r="AO48" s="3"/>
      <c r="AP48" s="6"/>
      <c r="AQ48" s="6"/>
      <c r="AR48" s="46"/>
      <c r="AS48" s="46"/>
      <c r="AT48" s="56"/>
      <c r="AU48" s="56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5"/>
      <c r="CX48" s="5"/>
      <c r="CY48" s="5"/>
      <c r="CZ48" s="5"/>
    </row>
    <row r="49" spans="2:104" ht="15" customHeight="1" x14ac:dyDescent="0.25">
      <c r="B49" s="139">
        <v>7</v>
      </c>
      <c r="C49" s="139">
        <v>1</v>
      </c>
      <c r="D49" s="139" t="str">
        <f t="shared" si="0"/>
        <v>SORTING_EAST_E_2_23</v>
      </c>
      <c r="E49" s="139" t="s">
        <v>35</v>
      </c>
      <c r="F49" s="138" t="s">
        <v>45</v>
      </c>
      <c r="G49" s="140" t="s">
        <v>18</v>
      </c>
      <c r="H49" s="140" t="s">
        <v>6</v>
      </c>
      <c r="I49" s="140">
        <v>2</v>
      </c>
      <c r="J49" s="139"/>
      <c r="K49" s="184">
        <f>COUNT(AD49:BF49)</f>
        <v>15</v>
      </c>
      <c r="L49" s="139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101"/>
      <c r="AC49" s="57"/>
      <c r="AD49" s="86">
        <v>1</v>
      </c>
      <c r="AE49" s="3">
        <f t="shared" ref="AE49:AT53" si="63">AD49+1</f>
        <v>2</v>
      </c>
      <c r="AF49" s="3">
        <f t="shared" si="63"/>
        <v>3</v>
      </c>
      <c r="AG49" s="3">
        <f t="shared" si="63"/>
        <v>4</v>
      </c>
      <c r="AH49" s="3">
        <f t="shared" si="63"/>
        <v>5</v>
      </c>
      <c r="AI49" s="3">
        <f t="shared" si="63"/>
        <v>6</v>
      </c>
      <c r="AJ49" s="3">
        <f t="shared" si="63"/>
        <v>7</v>
      </c>
      <c r="AK49" s="3">
        <f t="shared" si="63"/>
        <v>8</v>
      </c>
      <c r="AL49" s="3">
        <f t="shared" si="63"/>
        <v>9</v>
      </c>
      <c r="AM49" s="3">
        <f t="shared" si="63"/>
        <v>10</v>
      </c>
      <c r="AN49" s="3">
        <f t="shared" si="63"/>
        <v>11</v>
      </c>
      <c r="AO49" s="3">
        <f t="shared" si="63"/>
        <v>12</v>
      </c>
      <c r="AP49" s="3">
        <f t="shared" si="63"/>
        <v>13</v>
      </c>
      <c r="AQ49" s="3">
        <f t="shared" si="63"/>
        <v>14</v>
      </c>
      <c r="AR49" s="3">
        <f t="shared" si="63"/>
        <v>15</v>
      </c>
      <c r="AS49" s="4"/>
      <c r="AT49" s="4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5"/>
      <c r="CX49" s="5"/>
      <c r="CY49" s="5"/>
      <c r="CZ49" s="5"/>
    </row>
    <row r="50" spans="2:104" ht="15" customHeight="1" x14ac:dyDescent="0.25">
      <c r="B50" s="139">
        <v>7</v>
      </c>
      <c r="C50" s="139">
        <v>2</v>
      </c>
      <c r="D50" s="139" t="str">
        <f t="shared" si="0"/>
        <v>TRANSFER_EAST_E_2_23</v>
      </c>
      <c r="E50" s="139" t="s">
        <v>21</v>
      </c>
      <c r="F50" s="138" t="s">
        <v>21</v>
      </c>
      <c r="G50" s="140" t="s">
        <v>18</v>
      </c>
      <c r="H50" s="140" t="s">
        <v>6</v>
      </c>
      <c r="I50" s="140">
        <v>2</v>
      </c>
      <c r="J50" s="139"/>
      <c r="K50" s="184">
        <f>COUNT(AD50:BF50)</f>
        <v>17</v>
      </c>
      <c r="L50" s="139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101"/>
      <c r="AC50" s="57"/>
      <c r="AD50" s="86">
        <v>1</v>
      </c>
      <c r="AE50" s="3">
        <f t="shared" si="63"/>
        <v>2</v>
      </c>
      <c r="AF50" s="3">
        <f t="shared" si="63"/>
        <v>3</v>
      </c>
      <c r="AG50" s="3">
        <f t="shared" si="63"/>
        <v>4</v>
      </c>
      <c r="AH50" s="3">
        <f t="shared" si="63"/>
        <v>5</v>
      </c>
      <c r="AI50" s="3">
        <f t="shared" si="63"/>
        <v>6</v>
      </c>
      <c r="AJ50" s="3">
        <f t="shared" si="63"/>
        <v>7</v>
      </c>
      <c r="AK50" s="3">
        <f t="shared" si="63"/>
        <v>8</v>
      </c>
      <c r="AL50" s="3">
        <f t="shared" si="63"/>
        <v>9</v>
      </c>
      <c r="AM50" s="3">
        <f t="shared" si="63"/>
        <v>10</v>
      </c>
      <c r="AN50" s="3">
        <f t="shared" si="63"/>
        <v>11</v>
      </c>
      <c r="AO50" s="3">
        <f t="shared" si="63"/>
        <v>12</v>
      </c>
      <c r="AP50" s="3">
        <f t="shared" si="63"/>
        <v>13</v>
      </c>
      <c r="AQ50" s="3">
        <f t="shared" si="63"/>
        <v>14</v>
      </c>
      <c r="AR50" s="3">
        <f t="shared" si="63"/>
        <v>15</v>
      </c>
      <c r="AS50" s="3">
        <f t="shared" si="63"/>
        <v>16</v>
      </c>
      <c r="AT50" s="3">
        <f t="shared" si="63"/>
        <v>17</v>
      </c>
      <c r="AU50" s="4"/>
      <c r="AV50" s="4"/>
      <c r="AW50" s="4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5"/>
      <c r="CX50" s="5"/>
      <c r="CY50" s="5"/>
      <c r="CZ50" s="5"/>
    </row>
    <row r="51" spans="2:104" ht="15" customHeight="1" x14ac:dyDescent="0.25">
      <c r="B51" s="139">
        <v>7</v>
      </c>
      <c r="C51" s="139">
        <v>3</v>
      </c>
      <c r="D51" s="139" t="str">
        <f t="shared" si="0"/>
        <v>PREPARE_EAST_E_2_23</v>
      </c>
      <c r="E51" s="139" t="s">
        <v>0</v>
      </c>
      <c r="F51" s="138" t="s">
        <v>46</v>
      </c>
      <c r="G51" s="140" t="s">
        <v>18</v>
      </c>
      <c r="H51" s="140" t="s">
        <v>6</v>
      </c>
      <c r="I51" s="140">
        <v>2</v>
      </c>
      <c r="J51" s="141"/>
      <c r="K51" s="184">
        <f>COUNT(M51:BF51)</f>
        <v>37</v>
      </c>
      <c r="L51" s="139"/>
      <c r="M51" s="3">
        <v>1</v>
      </c>
      <c r="N51" s="3">
        <f>M51+1</f>
        <v>2</v>
      </c>
      <c r="O51" s="3">
        <f t="shared" ref="O51:AD51" si="64">N51+1</f>
        <v>3</v>
      </c>
      <c r="P51" s="3">
        <f t="shared" si="64"/>
        <v>4</v>
      </c>
      <c r="Q51" s="3">
        <f t="shared" si="64"/>
        <v>5</v>
      </c>
      <c r="R51" s="3">
        <f t="shared" si="64"/>
        <v>6</v>
      </c>
      <c r="S51" s="3">
        <f t="shared" si="64"/>
        <v>7</v>
      </c>
      <c r="T51" s="3">
        <f t="shared" si="64"/>
        <v>8</v>
      </c>
      <c r="U51" s="3">
        <f t="shared" si="64"/>
        <v>9</v>
      </c>
      <c r="V51" s="3">
        <f t="shared" si="64"/>
        <v>10</v>
      </c>
      <c r="W51" s="3">
        <f t="shared" si="64"/>
        <v>11</v>
      </c>
      <c r="X51" s="3">
        <f t="shared" si="64"/>
        <v>12</v>
      </c>
      <c r="Y51" s="3">
        <f t="shared" si="64"/>
        <v>13</v>
      </c>
      <c r="Z51" s="3">
        <f t="shared" si="64"/>
        <v>14</v>
      </c>
      <c r="AA51" s="3">
        <f t="shared" si="64"/>
        <v>15</v>
      </c>
      <c r="AB51" s="3">
        <f t="shared" si="64"/>
        <v>16</v>
      </c>
      <c r="AC51" s="3">
        <f t="shared" si="64"/>
        <v>17</v>
      </c>
      <c r="AD51" s="3">
        <f t="shared" si="64"/>
        <v>18</v>
      </c>
      <c r="AE51" s="3">
        <f t="shared" si="63"/>
        <v>19</v>
      </c>
      <c r="AF51" s="3">
        <f t="shared" si="63"/>
        <v>20</v>
      </c>
      <c r="AG51" s="3">
        <f t="shared" si="63"/>
        <v>21</v>
      </c>
      <c r="AH51" s="3">
        <f t="shared" si="63"/>
        <v>22</v>
      </c>
      <c r="AI51" s="3">
        <f t="shared" si="63"/>
        <v>23</v>
      </c>
      <c r="AJ51" s="3">
        <f t="shared" si="63"/>
        <v>24</v>
      </c>
      <c r="AK51" s="3">
        <f t="shared" si="63"/>
        <v>25</v>
      </c>
      <c r="AL51" s="3">
        <f t="shared" si="63"/>
        <v>26</v>
      </c>
      <c r="AM51" s="3">
        <f t="shared" si="63"/>
        <v>27</v>
      </c>
      <c r="AN51" s="3">
        <f t="shared" si="63"/>
        <v>28</v>
      </c>
      <c r="AO51" s="3">
        <f t="shared" si="63"/>
        <v>29</v>
      </c>
      <c r="AP51" s="3">
        <f t="shared" si="63"/>
        <v>30</v>
      </c>
      <c r="AQ51" s="3">
        <f t="shared" si="63"/>
        <v>31</v>
      </c>
      <c r="AR51" s="3">
        <f t="shared" si="63"/>
        <v>32</v>
      </c>
      <c r="AS51" s="3">
        <f t="shared" si="63"/>
        <v>33</v>
      </c>
      <c r="AT51" s="3">
        <f t="shared" si="63"/>
        <v>34</v>
      </c>
      <c r="AU51" s="3">
        <f t="shared" ref="AM51:BB53" si="65">AT51+1</f>
        <v>35</v>
      </c>
      <c r="AV51" s="3">
        <f t="shared" si="65"/>
        <v>36</v>
      </c>
      <c r="AW51" s="3">
        <f t="shared" si="65"/>
        <v>37</v>
      </c>
      <c r="AX51" s="4"/>
      <c r="AY51" s="4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5"/>
      <c r="CX51" s="5"/>
      <c r="CY51" s="5"/>
      <c r="CZ51" s="5"/>
    </row>
    <row r="52" spans="2:104" ht="15" customHeight="1" x14ac:dyDescent="0.25">
      <c r="B52" s="139">
        <v>7</v>
      </c>
      <c r="C52" s="139">
        <v>4</v>
      </c>
      <c r="D52" s="139" t="str">
        <f t="shared" si="0"/>
        <v>SUPPLY_EAST_E_2_23</v>
      </c>
      <c r="E52" s="139" t="s">
        <v>0</v>
      </c>
      <c r="F52" s="142" t="s">
        <v>0</v>
      </c>
      <c r="G52" s="140" t="s">
        <v>18</v>
      </c>
      <c r="H52" s="140" t="s">
        <v>6</v>
      </c>
      <c r="I52" s="140">
        <v>2</v>
      </c>
      <c r="J52" s="143"/>
      <c r="K52" s="184">
        <f>COUNT(AJ52:CC52)</f>
        <v>16</v>
      </c>
      <c r="L52" s="140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101"/>
      <c r="AC52" s="57"/>
      <c r="AD52" s="133"/>
      <c r="AE52" s="46"/>
      <c r="AF52" s="46"/>
      <c r="AG52" s="46"/>
      <c r="AH52" s="46"/>
      <c r="AI52" s="57"/>
      <c r="AJ52" s="86">
        <v>1</v>
      </c>
      <c r="AK52" s="86">
        <f>AJ52+1</f>
        <v>2</v>
      </c>
      <c r="AL52" s="86">
        <f t="shared" si="63"/>
        <v>3</v>
      </c>
      <c r="AM52" s="86">
        <f t="shared" si="65"/>
        <v>4</v>
      </c>
      <c r="AN52" s="86">
        <f t="shared" si="65"/>
        <v>5</v>
      </c>
      <c r="AO52" s="86">
        <f t="shared" si="65"/>
        <v>6</v>
      </c>
      <c r="AP52" s="86">
        <f t="shared" si="65"/>
        <v>7</v>
      </c>
      <c r="AQ52" s="86">
        <f t="shared" si="65"/>
        <v>8</v>
      </c>
      <c r="AR52" s="86">
        <f t="shared" si="65"/>
        <v>9</v>
      </c>
      <c r="AS52" s="86">
        <f t="shared" si="65"/>
        <v>10</v>
      </c>
      <c r="AT52" s="86">
        <f t="shared" si="65"/>
        <v>11</v>
      </c>
      <c r="AU52" s="86">
        <f t="shared" si="65"/>
        <v>12</v>
      </c>
      <c r="AV52" s="86">
        <f t="shared" si="65"/>
        <v>13</v>
      </c>
      <c r="AW52" s="86">
        <f t="shared" si="65"/>
        <v>14</v>
      </c>
      <c r="AX52" s="86">
        <f t="shared" si="65"/>
        <v>15</v>
      </c>
      <c r="AY52" s="86">
        <f t="shared" si="65"/>
        <v>16</v>
      </c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97"/>
      <c r="BO52" s="4"/>
      <c r="BP52" s="4"/>
      <c r="BQ52" s="4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5"/>
      <c r="CX52" s="5"/>
      <c r="CY52" s="5"/>
      <c r="CZ52" s="5"/>
    </row>
    <row r="53" spans="2:104" ht="15" customHeight="1" x14ac:dyDescent="0.25">
      <c r="B53" s="139">
        <v>7</v>
      </c>
      <c r="C53" s="140">
        <v>5</v>
      </c>
      <c r="D53" s="139" t="str">
        <f t="shared" si="0"/>
        <v>EMPTY_EAST_E_2_23</v>
      </c>
      <c r="E53" s="140" t="s">
        <v>0</v>
      </c>
      <c r="F53" s="142" t="s">
        <v>32</v>
      </c>
      <c r="G53" s="140" t="s">
        <v>18</v>
      </c>
      <c r="H53" s="140" t="s">
        <v>6</v>
      </c>
      <c r="I53" s="140">
        <v>2</v>
      </c>
      <c r="J53" s="139"/>
      <c r="K53" s="184">
        <f>COUNT(AJ53:CC53)</f>
        <v>34</v>
      </c>
      <c r="L53" s="139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101"/>
      <c r="AC53" s="57"/>
      <c r="AD53" s="133"/>
      <c r="AE53" s="46"/>
      <c r="AF53" s="46"/>
      <c r="AG53" s="46"/>
      <c r="AH53" s="46"/>
      <c r="AI53" s="57"/>
      <c r="AJ53" s="86">
        <v>1</v>
      </c>
      <c r="AK53" s="86">
        <f>AJ53+1</f>
        <v>2</v>
      </c>
      <c r="AL53" s="86">
        <f t="shared" si="63"/>
        <v>3</v>
      </c>
      <c r="AM53" s="86">
        <f t="shared" si="65"/>
        <v>4</v>
      </c>
      <c r="AN53" s="86">
        <f t="shared" si="65"/>
        <v>5</v>
      </c>
      <c r="AO53" s="86">
        <f t="shared" si="65"/>
        <v>6</v>
      </c>
      <c r="AP53" s="86">
        <f t="shared" si="65"/>
        <v>7</v>
      </c>
      <c r="AQ53" s="86">
        <f t="shared" si="65"/>
        <v>8</v>
      </c>
      <c r="AR53" s="86">
        <f t="shared" si="65"/>
        <v>9</v>
      </c>
      <c r="AS53" s="86">
        <f t="shared" si="65"/>
        <v>10</v>
      </c>
      <c r="AT53" s="86">
        <f t="shared" si="65"/>
        <v>11</v>
      </c>
      <c r="AU53" s="86">
        <f t="shared" si="65"/>
        <v>12</v>
      </c>
      <c r="AV53" s="86">
        <f t="shared" si="65"/>
        <v>13</v>
      </c>
      <c r="AW53" s="86">
        <f t="shared" si="65"/>
        <v>14</v>
      </c>
      <c r="AX53" s="86">
        <f t="shared" si="65"/>
        <v>15</v>
      </c>
      <c r="AY53" s="86">
        <f t="shared" si="65"/>
        <v>16</v>
      </c>
      <c r="AZ53" s="86">
        <f t="shared" si="65"/>
        <v>17</v>
      </c>
      <c r="BA53" s="86">
        <f t="shared" si="65"/>
        <v>18</v>
      </c>
      <c r="BB53" s="86">
        <f t="shared" si="65"/>
        <v>19</v>
      </c>
      <c r="BC53" s="86">
        <f t="shared" ref="BC53:BQ53" si="66">BB53+1</f>
        <v>20</v>
      </c>
      <c r="BD53" s="86">
        <f t="shared" si="66"/>
        <v>21</v>
      </c>
      <c r="BE53" s="86">
        <f t="shared" si="66"/>
        <v>22</v>
      </c>
      <c r="BF53" s="86">
        <f t="shared" si="66"/>
        <v>23</v>
      </c>
      <c r="BG53" s="86">
        <f t="shared" si="66"/>
        <v>24</v>
      </c>
      <c r="BH53" s="86">
        <f t="shared" si="66"/>
        <v>25</v>
      </c>
      <c r="BI53" s="86">
        <f t="shared" si="66"/>
        <v>26</v>
      </c>
      <c r="BJ53" s="86">
        <f t="shared" si="66"/>
        <v>27</v>
      </c>
      <c r="BK53" s="86">
        <f t="shared" si="66"/>
        <v>28</v>
      </c>
      <c r="BL53" s="86">
        <f t="shared" si="66"/>
        <v>29</v>
      </c>
      <c r="BM53" s="86">
        <f t="shared" si="66"/>
        <v>30</v>
      </c>
      <c r="BN53" s="86">
        <f t="shared" si="66"/>
        <v>31</v>
      </c>
      <c r="BO53" s="86">
        <f t="shared" si="66"/>
        <v>32</v>
      </c>
      <c r="BP53" s="86">
        <f t="shared" si="66"/>
        <v>33</v>
      </c>
      <c r="BQ53" s="86">
        <f t="shared" si="66"/>
        <v>34</v>
      </c>
      <c r="BR53" s="46"/>
      <c r="BS53" s="4"/>
      <c r="BT53" s="4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5"/>
      <c r="CX53" s="5"/>
      <c r="CY53" s="5"/>
      <c r="CZ53" s="5"/>
    </row>
    <row r="54" spans="2:104" ht="15" customHeight="1" x14ac:dyDescent="0.25">
      <c r="B54" s="139">
        <v>7</v>
      </c>
      <c r="C54" s="140">
        <v>6</v>
      </c>
      <c r="D54" s="139" t="str">
        <f t="shared" si="0"/>
        <v>COUNTDOWN_EAST_E_2_23</v>
      </c>
      <c r="E54" s="140"/>
      <c r="F54" s="142" t="s">
        <v>33</v>
      </c>
      <c r="G54" s="140" t="s">
        <v>18</v>
      </c>
      <c r="H54" s="140" t="s">
        <v>6</v>
      </c>
      <c r="I54" s="140">
        <v>2</v>
      </c>
      <c r="J54" s="144"/>
      <c r="K54" s="144"/>
      <c r="L54" s="140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101"/>
      <c r="AC54" s="57"/>
      <c r="AD54" s="86"/>
      <c r="AE54" s="3"/>
      <c r="AF54" s="3"/>
      <c r="AG54" s="3"/>
      <c r="AH54" s="3"/>
      <c r="AI54" s="31"/>
      <c r="AJ54" s="86"/>
      <c r="AK54" s="86"/>
      <c r="AL54" s="86"/>
      <c r="AM54" s="3"/>
      <c r="AN54" s="3"/>
      <c r="AO54" s="3"/>
      <c r="AP54" s="3"/>
      <c r="AQ54" s="3"/>
      <c r="AR54" s="6"/>
      <c r="AS54" s="6"/>
      <c r="AT54" s="46"/>
      <c r="AU54" s="46"/>
      <c r="AV54" s="56"/>
      <c r="AW54" s="56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5"/>
      <c r="CX54" s="5"/>
      <c r="CY54" s="5"/>
      <c r="CZ54" s="5"/>
    </row>
    <row r="55" spans="2:104" ht="15" customHeight="1" x14ac:dyDescent="0.25">
      <c r="B55" s="139">
        <v>8</v>
      </c>
      <c r="C55" s="139">
        <v>1</v>
      </c>
      <c r="D55" s="139" t="str">
        <f t="shared" si="0"/>
        <v>SORTING_EAST_D_1_23</v>
      </c>
      <c r="E55" s="139" t="s">
        <v>35</v>
      </c>
      <c r="F55" s="138" t="s">
        <v>45</v>
      </c>
      <c r="G55" s="140" t="s">
        <v>18</v>
      </c>
      <c r="H55" s="140" t="s">
        <v>47</v>
      </c>
      <c r="I55" s="140">
        <v>1</v>
      </c>
      <c r="J55" s="139"/>
      <c r="K55" s="184">
        <f>COUNT(AD55:BF55)</f>
        <v>17</v>
      </c>
      <c r="L55" s="139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101"/>
      <c r="AC55" s="57"/>
      <c r="AD55" s="86">
        <v>1</v>
      </c>
      <c r="AE55" s="3">
        <f t="shared" ref="AE55:AT59" si="67">AD55+1</f>
        <v>2</v>
      </c>
      <c r="AF55" s="3">
        <f t="shared" si="67"/>
        <v>3</v>
      </c>
      <c r="AG55" s="3">
        <f t="shared" si="67"/>
        <v>4</v>
      </c>
      <c r="AH55" s="3">
        <f t="shared" si="67"/>
        <v>5</v>
      </c>
      <c r="AI55" s="3">
        <f t="shared" si="67"/>
        <v>6</v>
      </c>
      <c r="AJ55" s="3">
        <f t="shared" si="67"/>
        <v>7</v>
      </c>
      <c r="AK55" s="3">
        <f t="shared" si="67"/>
        <v>8</v>
      </c>
      <c r="AL55" s="3">
        <f t="shared" si="67"/>
        <v>9</v>
      </c>
      <c r="AM55" s="3">
        <f t="shared" si="67"/>
        <v>10</v>
      </c>
      <c r="AN55" s="3">
        <f t="shared" si="67"/>
        <v>11</v>
      </c>
      <c r="AO55" s="3">
        <f t="shared" si="67"/>
        <v>12</v>
      </c>
      <c r="AP55" s="3">
        <f t="shared" si="67"/>
        <v>13</v>
      </c>
      <c r="AQ55" s="3">
        <f t="shared" si="67"/>
        <v>14</v>
      </c>
      <c r="AR55" s="3">
        <f t="shared" si="67"/>
        <v>15</v>
      </c>
      <c r="AS55" s="3">
        <f t="shared" si="67"/>
        <v>16</v>
      </c>
      <c r="AT55" s="3">
        <f t="shared" si="67"/>
        <v>17</v>
      </c>
      <c r="AU55" s="4"/>
      <c r="AV55" s="4"/>
      <c r="AW55" s="4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5"/>
      <c r="CX55" s="5"/>
      <c r="CY55" s="5"/>
      <c r="CZ55" s="5"/>
    </row>
    <row r="56" spans="2:104" ht="15" customHeight="1" x14ac:dyDescent="0.25">
      <c r="B56" s="139">
        <v>8</v>
      </c>
      <c r="C56" s="139">
        <v>2</v>
      </c>
      <c r="D56" s="139" t="str">
        <f t="shared" si="0"/>
        <v>TRANSFER_EAST_D_1_23</v>
      </c>
      <c r="E56" s="139" t="s">
        <v>21</v>
      </c>
      <c r="F56" s="138" t="s">
        <v>21</v>
      </c>
      <c r="G56" s="140" t="s">
        <v>18</v>
      </c>
      <c r="H56" s="140" t="s">
        <v>47</v>
      </c>
      <c r="I56" s="140">
        <v>1</v>
      </c>
      <c r="J56" s="139"/>
      <c r="K56" s="184">
        <f>COUNT(AD56:BF56)</f>
        <v>20</v>
      </c>
      <c r="L56" s="139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101"/>
      <c r="AC56" s="57"/>
      <c r="AD56" s="86">
        <v>1</v>
      </c>
      <c r="AE56" s="3">
        <f t="shared" si="67"/>
        <v>2</v>
      </c>
      <c r="AF56" s="3">
        <f t="shared" si="67"/>
        <v>3</v>
      </c>
      <c r="AG56" s="3">
        <f t="shared" si="67"/>
        <v>4</v>
      </c>
      <c r="AH56" s="3">
        <f t="shared" si="67"/>
        <v>5</v>
      </c>
      <c r="AI56" s="3">
        <f t="shared" si="67"/>
        <v>6</v>
      </c>
      <c r="AJ56" s="3">
        <f t="shared" si="67"/>
        <v>7</v>
      </c>
      <c r="AK56" s="3">
        <f t="shared" si="67"/>
        <v>8</v>
      </c>
      <c r="AL56" s="3">
        <f t="shared" si="67"/>
        <v>9</v>
      </c>
      <c r="AM56" s="3">
        <f t="shared" si="67"/>
        <v>10</v>
      </c>
      <c r="AN56" s="3">
        <f t="shared" si="67"/>
        <v>11</v>
      </c>
      <c r="AO56" s="3">
        <f t="shared" si="67"/>
        <v>12</v>
      </c>
      <c r="AP56" s="3">
        <f t="shared" si="67"/>
        <v>13</v>
      </c>
      <c r="AQ56" s="3">
        <f t="shared" si="67"/>
        <v>14</v>
      </c>
      <c r="AR56" s="3">
        <f t="shared" si="67"/>
        <v>15</v>
      </c>
      <c r="AS56" s="3">
        <f t="shared" si="67"/>
        <v>16</v>
      </c>
      <c r="AT56" s="3">
        <f t="shared" si="67"/>
        <v>17</v>
      </c>
      <c r="AU56" s="3">
        <f t="shared" ref="AM56:BB59" si="68">AT56+1</f>
        <v>18</v>
      </c>
      <c r="AV56" s="3">
        <f t="shared" si="68"/>
        <v>19</v>
      </c>
      <c r="AW56" s="3">
        <f t="shared" si="68"/>
        <v>20</v>
      </c>
      <c r="AX56" s="4"/>
      <c r="AY56" s="4"/>
      <c r="AZ56" s="4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5"/>
      <c r="CX56" s="5"/>
      <c r="CY56" s="5"/>
      <c r="CZ56" s="5"/>
    </row>
    <row r="57" spans="2:104" ht="15" customHeight="1" x14ac:dyDescent="0.25">
      <c r="B57" s="139">
        <v>8</v>
      </c>
      <c r="C57" s="139">
        <v>3</v>
      </c>
      <c r="D57" s="139" t="str">
        <f t="shared" si="0"/>
        <v>PREPARE_EAST_D_1_23</v>
      </c>
      <c r="E57" s="139" t="s">
        <v>0</v>
      </c>
      <c r="F57" s="138" t="s">
        <v>46</v>
      </c>
      <c r="G57" s="140" t="s">
        <v>18</v>
      </c>
      <c r="H57" s="140" t="s">
        <v>47</v>
      </c>
      <c r="I57" s="140">
        <v>1</v>
      </c>
      <c r="J57" s="141"/>
      <c r="K57" s="184">
        <f>COUNT(M57:BF57)</f>
        <v>39</v>
      </c>
      <c r="L57" s="139"/>
      <c r="M57" s="3">
        <v>1</v>
      </c>
      <c r="N57" s="3">
        <f>M57+1</f>
        <v>2</v>
      </c>
      <c r="O57" s="3">
        <f t="shared" ref="O57:AD57" si="69">N57+1</f>
        <v>3</v>
      </c>
      <c r="P57" s="3">
        <f t="shared" si="69"/>
        <v>4</v>
      </c>
      <c r="Q57" s="3">
        <f t="shared" si="69"/>
        <v>5</v>
      </c>
      <c r="R57" s="3">
        <f t="shared" si="69"/>
        <v>6</v>
      </c>
      <c r="S57" s="3">
        <f t="shared" si="69"/>
        <v>7</v>
      </c>
      <c r="T57" s="3">
        <f t="shared" si="69"/>
        <v>8</v>
      </c>
      <c r="U57" s="3">
        <f t="shared" si="69"/>
        <v>9</v>
      </c>
      <c r="V57" s="3">
        <f t="shared" si="69"/>
        <v>10</v>
      </c>
      <c r="W57" s="3">
        <f t="shared" si="69"/>
        <v>11</v>
      </c>
      <c r="X57" s="3">
        <f t="shared" si="69"/>
        <v>12</v>
      </c>
      <c r="Y57" s="3">
        <f t="shared" si="69"/>
        <v>13</v>
      </c>
      <c r="Z57" s="3">
        <f t="shared" si="69"/>
        <v>14</v>
      </c>
      <c r="AA57" s="3">
        <f t="shared" si="69"/>
        <v>15</v>
      </c>
      <c r="AB57" s="3">
        <f t="shared" si="69"/>
        <v>16</v>
      </c>
      <c r="AC57" s="3">
        <f t="shared" si="69"/>
        <v>17</v>
      </c>
      <c r="AD57" s="3">
        <f t="shared" si="69"/>
        <v>18</v>
      </c>
      <c r="AE57" s="3">
        <f t="shared" si="67"/>
        <v>19</v>
      </c>
      <c r="AF57" s="3">
        <f t="shared" si="67"/>
        <v>20</v>
      </c>
      <c r="AG57" s="3">
        <f t="shared" si="67"/>
        <v>21</v>
      </c>
      <c r="AH57" s="3">
        <f t="shared" si="67"/>
        <v>22</v>
      </c>
      <c r="AI57" s="3">
        <f t="shared" si="67"/>
        <v>23</v>
      </c>
      <c r="AJ57" s="3">
        <f t="shared" si="67"/>
        <v>24</v>
      </c>
      <c r="AK57" s="3">
        <f t="shared" si="67"/>
        <v>25</v>
      </c>
      <c r="AL57" s="3">
        <f t="shared" si="67"/>
        <v>26</v>
      </c>
      <c r="AM57" s="3">
        <f t="shared" si="67"/>
        <v>27</v>
      </c>
      <c r="AN57" s="3">
        <f t="shared" si="67"/>
        <v>28</v>
      </c>
      <c r="AO57" s="3">
        <f t="shared" si="67"/>
        <v>29</v>
      </c>
      <c r="AP57" s="3">
        <f t="shared" si="67"/>
        <v>30</v>
      </c>
      <c r="AQ57" s="3">
        <f t="shared" si="67"/>
        <v>31</v>
      </c>
      <c r="AR57" s="3">
        <f t="shared" si="67"/>
        <v>32</v>
      </c>
      <c r="AS57" s="3">
        <f t="shared" si="67"/>
        <v>33</v>
      </c>
      <c r="AT57" s="3">
        <f t="shared" si="67"/>
        <v>34</v>
      </c>
      <c r="AU57" s="3">
        <f t="shared" si="68"/>
        <v>35</v>
      </c>
      <c r="AV57" s="3">
        <f t="shared" si="68"/>
        <v>36</v>
      </c>
      <c r="AW57" s="3">
        <f t="shared" si="68"/>
        <v>37</v>
      </c>
      <c r="AX57" s="3">
        <f t="shared" si="68"/>
        <v>38</v>
      </c>
      <c r="AY57" s="3">
        <f t="shared" si="68"/>
        <v>39</v>
      </c>
      <c r="AZ57" s="4"/>
      <c r="BA57" s="4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5"/>
      <c r="CX57" s="5"/>
      <c r="CY57" s="5"/>
      <c r="CZ57" s="5"/>
    </row>
    <row r="58" spans="2:104" ht="15" customHeight="1" x14ac:dyDescent="0.25">
      <c r="B58" s="139">
        <v>8</v>
      </c>
      <c r="C58" s="139">
        <v>4</v>
      </c>
      <c r="D58" s="139" t="str">
        <f t="shared" si="0"/>
        <v>SUPPLY_EAST_D_1_23</v>
      </c>
      <c r="E58" s="139" t="s">
        <v>0</v>
      </c>
      <c r="F58" s="142" t="s">
        <v>0</v>
      </c>
      <c r="G58" s="140" t="s">
        <v>18</v>
      </c>
      <c r="H58" s="140" t="s">
        <v>47</v>
      </c>
      <c r="I58" s="140">
        <v>1</v>
      </c>
      <c r="J58" s="143"/>
      <c r="K58" s="184">
        <f>COUNT(AJ58:CC58)</f>
        <v>18</v>
      </c>
      <c r="L58" s="140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101"/>
      <c r="AC58" s="57"/>
      <c r="AD58" s="133"/>
      <c r="AE58" s="46"/>
      <c r="AF58" s="46"/>
      <c r="AG58" s="46"/>
      <c r="AH58" s="46"/>
      <c r="AI58" s="57"/>
      <c r="AJ58" s="86">
        <v>1</v>
      </c>
      <c r="AK58" s="86">
        <f>AJ58+1</f>
        <v>2</v>
      </c>
      <c r="AL58" s="86">
        <f t="shared" si="67"/>
        <v>3</v>
      </c>
      <c r="AM58" s="86">
        <f t="shared" si="68"/>
        <v>4</v>
      </c>
      <c r="AN58" s="86">
        <f t="shared" si="68"/>
        <v>5</v>
      </c>
      <c r="AO58" s="86">
        <f t="shared" si="68"/>
        <v>6</v>
      </c>
      <c r="AP58" s="86">
        <f t="shared" si="68"/>
        <v>7</v>
      </c>
      <c r="AQ58" s="86">
        <f t="shared" si="68"/>
        <v>8</v>
      </c>
      <c r="AR58" s="86">
        <f t="shared" si="68"/>
        <v>9</v>
      </c>
      <c r="AS58" s="86">
        <f t="shared" si="68"/>
        <v>10</v>
      </c>
      <c r="AT58" s="86">
        <f t="shared" si="68"/>
        <v>11</v>
      </c>
      <c r="AU58" s="86">
        <f t="shared" si="68"/>
        <v>12</v>
      </c>
      <c r="AV58" s="86">
        <f t="shared" si="68"/>
        <v>13</v>
      </c>
      <c r="AW58" s="86">
        <f t="shared" si="68"/>
        <v>14</v>
      </c>
      <c r="AX58" s="86">
        <f t="shared" si="68"/>
        <v>15</v>
      </c>
      <c r="AY58" s="86">
        <f t="shared" si="68"/>
        <v>16</v>
      </c>
      <c r="AZ58" s="86">
        <f t="shared" si="68"/>
        <v>17</v>
      </c>
      <c r="BA58" s="86">
        <f t="shared" si="68"/>
        <v>18</v>
      </c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97"/>
      <c r="BR58" s="4"/>
      <c r="BS58" s="4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5"/>
      <c r="CX58" s="5"/>
      <c r="CY58" s="5"/>
      <c r="CZ58" s="5"/>
    </row>
    <row r="59" spans="2:104" ht="15" customHeight="1" x14ac:dyDescent="0.25">
      <c r="B59" s="139">
        <v>8</v>
      </c>
      <c r="C59" s="140">
        <v>5</v>
      </c>
      <c r="D59" s="139" t="str">
        <f t="shared" si="0"/>
        <v>EMPTY_EAST_D_1_23</v>
      </c>
      <c r="E59" s="140" t="s">
        <v>0</v>
      </c>
      <c r="F59" s="142" t="s">
        <v>32</v>
      </c>
      <c r="G59" s="140" t="s">
        <v>18</v>
      </c>
      <c r="H59" s="140" t="s">
        <v>47</v>
      </c>
      <c r="I59" s="140">
        <v>1</v>
      </c>
      <c r="J59" s="139"/>
      <c r="K59" s="184">
        <f>COUNT(AJ59:CC59)</f>
        <v>36</v>
      </c>
      <c r="L59" s="139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101"/>
      <c r="AC59" s="57"/>
      <c r="AD59" s="133"/>
      <c r="AE59" s="46"/>
      <c r="AF59" s="46"/>
      <c r="AG59" s="46"/>
      <c r="AH59" s="46"/>
      <c r="AI59" s="57"/>
      <c r="AJ59" s="86">
        <v>1</v>
      </c>
      <c r="AK59" s="86">
        <f>AJ59+1</f>
        <v>2</v>
      </c>
      <c r="AL59" s="86">
        <f t="shared" si="67"/>
        <v>3</v>
      </c>
      <c r="AM59" s="86">
        <f t="shared" si="68"/>
        <v>4</v>
      </c>
      <c r="AN59" s="86">
        <f t="shared" si="68"/>
        <v>5</v>
      </c>
      <c r="AO59" s="86">
        <f t="shared" si="68"/>
        <v>6</v>
      </c>
      <c r="AP59" s="86">
        <f t="shared" si="68"/>
        <v>7</v>
      </c>
      <c r="AQ59" s="86">
        <f t="shared" si="68"/>
        <v>8</v>
      </c>
      <c r="AR59" s="86">
        <f t="shared" si="68"/>
        <v>9</v>
      </c>
      <c r="AS59" s="86">
        <f t="shared" si="68"/>
        <v>10</v>
      </c>
      <c r="AT59" s="86">
        <f t="shared" si="68"/>
        <v>11</v>
      </c>
      <c r="AU59" s="86">
        <f t="shared" si="68"/>
        <v>12</v>
      </c>
      <c r="AV59" s="86">
        <f t="shared" si="68"/>
        <v>13</v>
      </c>
      <c r="AW59" s="86">
        <f t="shared" si="68"/>
        <v>14</v>
      </c>
      <c r="AX59" s="86">
        <f t="shared" si="68"/>
        <v>15</v>
      </c>
      <c r="AY59" s="86">
        <f t="shared" si="68"/>
        <v>16</v>
      </c>
      <c r="AZ59" s="86">
        <f t="shared" si="68"/>
        <v>17</v>
      </c>
      <c r="BA59" s="86">
        <f t="shared" si="68"/>
        <v>18</v>
      </c>
      <c r="BB59" s="86">
        <f t="shared" si="68"/>
        <v>19</v>
      </c>
      <c r="BC59" s="86">
        <f t="shared" ref="BC59:BS59" si="70">BB59+1</f>
        <v>20</v>
      </c>
      <c r="BD59" s="86">
        <f t="shared" si="70"/>
        <v>21</v>
      </c>
      <c r="BE59" s="86">
        <f t="shared" si="70"/>
        <v>22</v>
      </c>
      <c r="BF59" s="86">
        <f t="shared" si="70"/>
        <v>23</v>
      </c>
      <c r="BG59" s="86">
        <f t="shared" si="70"/>
        <v>24</v>
      </c>
      <c r="BH59" s="86">
        <f t="shared" si="70"/>
        <v>25</v>
      </c>
      <c r="BI59" s="86">
        <f t="shared" si="70"/>
        <v>26</v>
      </c>
      <c r="BJ59" s="86">
        <f t="shared" si="70"/>
        <v>27</v>
      </c>
      <c r="BK59" s="86">
        <f t="shared" si="70"/>
        <v>28</v>
      </c>
      <c r="BL59" s="86">
        <f t="shared" si="70"/>
        <v>29</v>
      </c>
      <c r="BM59" s="86">
        <f t="shared" si="70"/>
        <v>30</v>
      </c>
      <c r="BN59" s="86">
        <f t="shared" si="70"/>
        <v>31</v>
      </c>
      <c r="BO59" s="86">
        <f t="shared" si="70"/>
        <v>32</v>
      </c>
      <c r="BP59" s="86">
        <f t="shared" si="70"/>
        <v>33</v>
      </c>
      <c r="BQ59" s="86">
        <f t="shared" si="70"/>
        <v>34</v>
      </c>
      <c r="BR59" s="86">
        <f t="shared" si="70"/>
        <v>35</v>
      </c>
      <c r="BS59" s="86">
        <f t="shared" si="70"/>
        <v>36</v>
      </c>
      <c r="BT59" s="46"/>
      <c r="BU59" s="4"/>
      <c r="BV59" s="4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5"/>
      <c r="CX59" s="5"/>
      <c r="CY59" s="5"/>
      <c r="CZ59" s="5"/>
    </row>
    <row r="60" spans="2:104" ht="15" customHeight="1" x14ac:dyDescent="0.25">
      <c r="B60" s="139">
        <v>8</v>
      </c>
      <c r="C60" s="140">
        <v>6</v>
      </c>
      <c r="D60" s="139" t="str">
        <f t="shared" si="0"/>
        <v>COUNTDOWN_EAST_D_1_23</v>
      </c>
      <c r="E60" s="140"/>
      <c r="F60" s="142" t="s">
        <v>33</v>
      </c>
      <c r="G60" s="140" t="s">
        <v>18</v>
      </c>
      <c r="H60" s="140" t="s">
        <v>47</v>
      </c>
      <c r="I60" s="140">
        <v>1</v>
      </c>
      <c r="J60" s="144"/>
      <c r="K60" s="144"/>
      <c r="L60" s="140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101"/>
      <c r="AC60" s="57"/>
      <c r="AD60" s="86"/>
      <c r="AE60" s="3"/>
      <c r="AF60" s="3"/>
      <c r="AG60" s="3"/>
      <c r="AH60" s="3"/>
      <c r="AI60" s="31"/>
      <c r="AJ60" s="86"/>
      <c r="AK60" s="86"/>
      <c r="AL60" s="86"/>
      <c r="AM60" s="3"/>
      <c r="AN60" s="3"/>
      <c r="AO60" s="3"/>
      <c r="AP60" s="3"/>
      <c r="AQ60" s="3"/>
      <c r="AR60" s="3"/>
      <c r="AS60" s="3"/>
      <c r="AT60" s="6"/>
      <c r="AU60" s="6"/>
      <c r="AV60" s="46"/>
      <c r="AW60" s="46"/>
      <c r="AX60" s="56"/>
      <c r="AY60" s="56"/>
      <c r="AZ60" s="56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5"/>
      <c r="CX60" s="5"/>
      <c r="CY60" s="5"/>
      <c r="CZ60" s="5"/>
    </row>
    <row r="61" spans="2:104" ht="15" customHeight="1" x14ac:dyDescent="0.25">
      <c r="B61" s="139">
        <v>10</v>
      </c>
      <c r="C61" s="139">
        <v>1</v>
      </c>
      <c r="D61" s="139" t="str">
        <f t="shared" si="0"/>
        <v>SORTING_EAST_K_2_23</v>
      </c>
      <c r="E61" s="139" t="s">
        <v>35</v>
      </c>
      <c r="F61" s="138" t="s">
        <v>45</v>
      </c>
      <c r="G61" s="140" t="s">
        <v>18</v>
      </c>
      <c r="H61" s="140" t="s">
        <v>12</v>
      </c>
      <c r="I61" s="140">
        <v>2</v>
      </c>
      <c r="J61" s="139"/>
      <c r="K61" s="184">
        <f>COUNT(AD61:BF61)</f>
        <v>20</v>
      </c>
      <c r="L61" s="139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101"/>
      <c r="AC61" s="57"/>
      <c r="AD61" s="86">
        <v>1</v>
      </c>
      <c r="AE61" s="3">
        <f t="shared" ref="AE61:AT65" si="71">AD61+1</f>
        <v>2</v>
      </c>
      <c r="AF61" s="3">
        <f t="shared" si="71"/>
        <v>3</v>
      </c>
      <c r="AG61" s="3">
        <f t="shared" si="71"/>
        <v>4</v>
      </c>
      <c r="AH61" s="3">
        <f t="shared" si="71"/>
        <v>5</v>
      </c>
      <c r="AI61" s="3">
        <f t="shared" si="71"/>
        <v>6</v>
      </c>
      <c r="AJ61" s="3">
        <f t="shared" si="71"/>
        <v>7</v>
      </c>
      <c r="AK61" s="3">
        <f t="shared" si="71"/>
        <v>8</v>
      </c>
      <c r="AL61" s="3">
        <f t="shared" si="71"/>
        <v>9</v>
      </c>
      <c r="AM61" s="3">
        <f t="shared" si="71"/>
        <v>10</v>
      </c>
      <c r="AN61" s="3">
        <f t="shared" si="71"/>
        <v>11</v>
      </c>
      <c r="AO61" s="3">
        <f t="shared" si="71"/>
        <v>12</v>
      </c>
      <c r="AP61" s="3">
        <f t="shared" si="71"/>
        <v>13</v>
      </c>
      <c r="AQ61" s="3">
        <f t="shared" si="71"/>
        <v>14</v>
      </c>
      <c r="AR61" s="3">
        <f t="shared" si="71"/>
        <v>15</v>
      </c>
      <c r="AS61" s="3">
        <f t="shared" si="71"/>
        <v>16</v>
      </c>
      <c r="AT61" s="3">
        <f t="shared" si="71"/>
        <v>17</v>
      </c>
      <c r="AU61" s="3">
        <f t="shared" ref="AM61:BB65" si="72">AT61+1</f>
        <v>18</v>
      </c>
      <c r="AV61" s="3">
        <f t="shared" si="72"/>
        <v>19</v>
      </c>
      <c r="AW61" s="3">
        <f t="shared" si="72"/>
        <v>20</v>
      </c>
      <c r="AX61" s="4"/>
      <c r="AY61" s="4"/>
      <c r="AZ61" s="4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5"/>
      <c r="CX61" s="5"/>
      <c r="CY61" s="5"/>
      <c r="CZ61" s="5"/>
    </row>
    <row r="62" spans="2:104" ht="15" customHeight="1" x14ac:dyDescent="0.25">
      <c r="B62" s="139">
        <v>10</v>
      </c>
      <c r="C62" s="139">
        <v>2</v>
      </c>
      <c r="D62" s="139" t="str">
        <f t="shared" si="0"/>
        <v>TRANSFER_EAST_K_2_23</v>
      </c>
      <c r="E62" s="139" t="s">
        <v>21</v>
      </c>
      <c r="F62" s="138" t="s">
        <v>21</v>
      </c>
      <c r="G62" s="140" t="s">
        <v>18</v>
      </c>
      <c r="H62" s="140" t="s">
        <v>12</v>
      </c>
      <c r="I62" s="140">
        <v>2</v>
      </c>
      <c r="J62" s="139"/>
      <c r="K62" s="184">
        <f>COUNT(AD62:BF62)</f>
        <v>23</v>
      </c>
      <c r="L62" s="139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101"/>
      <c r="AC62" s="57"/>
      <c r="AD62" s="86">
        <v>1</v>
      </c>
      <c r="AE62" s="3">
        <f t="shared" si="71"/>
        <v>2</v>
      </c>
      <c r="AF62" s="3">
        <f t="shared" si="71"/>
        <v>3</v>
      </c>
      <c r="AG62" s="3">
        <f t="shared" si="71"/>
        <v>4</v>
      </c>
      <c r="AH62" s="3">
        <f t="shared" si="71"/>
        <v>5</v>
      </c>
      <c r="AI62" s="3">
        <f t="shared" si="71"/>
        <v>6</v>
      </c>
      <c r="AJ62" s="3">
        <f t="shared" si="71"/>
        <v>7</v>
      </c>
      <c r="AK62" s="3">
        <f t="shared" si="71"/>
        <v>8</v>
      </c>
      <c r="AL62" s="3">
        <f t="shared" si="71"/>
        <v>9</v>
      </c>
      <c r="AM62" s="3">
        <f t="shared" si="71"/>
        <v>10</v>
      </c>
      <c r="AN62" s="3">
        <f t="shared" si="71"/>
        <v>11</v>
      </c>
      <c r="AO62" s="3">
        <f t="shared" si="71"/>
        <v>12</v>
      </c>
      <c r="AP62" s="3">
        <f t="shared" si="71"/>
        <v>13</v>
      </c>
      <c r="AQ62" s="3">
        <f t="shared" si="71"/>
        <v>14</v>
      </c>
      <c r="AR62" s="3">
        <f t="shared" si="71"/>
        <v>15</v>
      </c>
      <c r="AS62" s="3">
        <f t="shared" si="71"/>
        <v>16</v>
      </c>
      <c r="AT62" s="3">
        <f t="shared" si="71"/>
        <v>17</v>
      </c>
      <c r="AU62" s="3">
        <f t="shared" si="72"/>
        <v>18</v>
      </c>
      <c r="AV62" s="3">
        <f t="shared" si="72"/>
        <v>19</v>
      </c>
      <c r="AW62" s="3">
        <f t="shared" si="72"/>
        <v>20</v>
      </c>
      <c r="AX62" s="3">
        <f t="shared" si="72"/>
        <v>21</v>
      </c>
      <c r="AY62" s="3">
        <f t="shared" si="72"/>
        <v>22</v>
      </c>
      <c r="AZ62" s="3">
        <f t="shared" si="72"/>
        <v>23</v>
      </c>
      <c r="BA62" s="4"/>
      <c r="BB62" s="4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5"/>
      <c r="CX62" s="5"/>
      <c r="CY62" s="5"/>
      <c r="CZ62" s="5"/>
    </row>
    <row r="63" spans="2:104" ht="15" customHeight="1" x14ac:dyDescent="0.25">
      <c r="B63" s="139">
        <v>10</v>
      </c>
      <c r="C63" s="139">
        <v>3</v>
      </c>
      <c r="D63" s="139" t="str">
        <f t="shared" si="0"/>
        <v>PREPARE_EAST_K_2_23</v>
      </c>
      <c r="E63" s="139" t="s">
        <v>0</v>
      </c>
      <c r="F63" s="138" t="s">
        <v>46</v>
      </c>
      <c r="G63" s="140" t="s">
        <v>18</v>
      </c>
      <c r="H63" s="140" t="s">
        <v>12</v>
      </c>
      <c r="I63" s="140">
        <v>2</v>
      </c>
      <c r="J63" s="141"/>
      <c r="K63" s="184">
        <f>COUNT(M63:BF63)</f>
        <v>42</v>
      </c>
      <c r="L63" s="139"/>
      <c r="M63" s="3">
        <v>1</v>
      </c>
      <c r="N63" s="3">
        <f>M63+1</f>
        <v>2</v>
      </c>
      <c r="O63" s="3">
        <f t="shared" ref="O63:AD63" si="73">N63+1</f>
        <v>3</v>
      </c>
      <c r="P63" s="3">
        <f t="shared" si="73"/>
        <v>4</v>
      </c>
      <c r="Q63" s="3">
        <f t="shared" si="73"/>
        <v>5</v>
      </c>
      <c r="R63" s="3">
        <f t="shared" si="73"/>
        <v>6</v>
      </c>
      <c r="S63" s="3">
        <f t="shared" si="73"/>
        <v>7</v>
      </c>
      <c r="T63" s="3">
        <f t="shared" si="73"/>
        <v>8</v>
      </c>
      <c r="U63" s="3">
        <f t="shared" si="73"/>
        <v>9</v>
      </c>
      <c r="V63" s="3">
        <f t="shared" si="73"/>
        <v>10</v>
      </c>
      <c r="W63" s="3">
        <f t="shared" si="73"/>
        <v>11</v>
      </c>
      <c r="X63" s="3">
        <f t="shared" si="73"/>
        <v>12</v>
      </c>
      <c r="Y63" s="3">
        <f t="shared" si="73"/>
        <v>13</v>
      </c>
      <c r="Z63" s="3">
        <f t="shared" si="73"/>
        <v>14</v>
      </c>
      <c r="AA63" s="3">
        <f t="shared" si="73"/>
        <v>15</v>
      </c>
      <c r="AB63" s="3">
        <f t="shared" si="73"/>
        <v>16</v>
      </c>
      <c r="AC63" s="3">
        <f t="shared" si="73"/>
        <v>17</v>
      </c>
      <c r="AD63" s="3">
        <f t="shared" si="73"/>
        <v>18</v>
      </c>
      <c r="AE63" s="3">
        <f t="shared" si="71"/>
        <v>19</v>
      </c>
      <c r="AF63" s="3">
        <f t="shared" si="71"/>
        <v>20</v>
      </c>
      <c r="AG63" s="3">
        <f t="shared" si="71"/>
        <v>21</v>
      </c>
      <c r="AH63" s="3">
        <f t="shared" si="71"/>
        <v>22</v>
      </c>
      <c r="AI63" s="3">
        <f t="shared" si="71"/>
        <v>23</v>
      </c>
      <c r="AJ63" s="3">
        <f t="shared" si="71"/>
        <v>24</v>
      </c>
      <c r="AK63" s="3">
        <f t="shared" si="71"/>
        <v>25</v>
      </c>
      <c r="AL63" s="3">
        <f t="shared" si="71"/>
        <v>26</v>
      </c>
      <c r="AM63" s="3">
        <f t="shared" si="71"/>
        <v>27</v>
      </c>
      <c r="AN63" s="3">
        <f t="shared" si="71"/>
        <v>28</v>
      </c>
      <c r="AO63" s="3">
        <f t="shared" si="71"/>
        <v>29</v>
      </c>
      <c r="AP63" s="3">
        <f t="shared" si="71"/>
        <v>30</v>
      </c>
      <c r="AQ63" s="3">
        <f t="shared" si="71"/>
        <v>31</v>
      </c>
      <c r="AR63" s="3">
        <f t="shared" si="71"/>
        <v>32</v>
      </c>
      <c r="AS63" s="3">
        <f t="shared" si="71"/>
        <v>33</v>
      </c>
      <c r="AT63" s="3">
        <f t="shared" si="71"/>
        <v>34</v>
      </c>
      <c r="AU63" s="3">
        <f t="shared" si="72"/>
        <v>35</v>
      </c>
      <c r="AV63" s="3">
        <f t="shared" si="72"/>
        <v>36</v>
      </c>
      <c r="AW63" s="3">
        <f t="shared" si="72"/>
        <v>37</v>
      </c>
      <c r="AX63" s="3">
        <f t="shared" si="72"/>
        <v>38</v>
      </c>
      <c r="AY63" s="3">
        <f t="shared" si="72"/>
        <v>39</v>
      </c>
      <c r="AZ63" s="3">
        <f t="shared" si="72"/>
        <v>40</v>
      </c>
      <c r="BA63" s="3">
        <f t="shared" si="72"/>
        <v>41</v>
      </c>
      <c r="BB63" s="3">
        <f t="shared" si="72"/>
        <v>42</v>
      </c>
      <c r="BC63" s="4"/>
      <c r="BD63" s="4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5"/>
      <c r="CX63" s="5"/>
      <c r="CY63" s="5"/>
      <c r="CZ63" s="5"/>
    </row>
    <row r="64" spans="2:104" ht="15" customHeight="1" x14ac:dyDescent="0.25">
      <c r="B64" s="139">
        <v>10</v>
      </c>
      <c r="C64" s="139">
        <v>4</v>
      </c>
      <c r="D64" s="139" t="str">
        <f t="shared" si="0"/>
        <v>SUPPLY_EAST_K_2_23</v>
      </c>
      <c r="E64" s="139" t="s">
        <v>0</v>
      </c>
      <c r="F64" s="142" t="s">
        <v>0</v>
      </c>
      <c r="G64" s="140" t="s">
        <v>18</v>
      </c>
      <c r="H64" s="140" t="s">
        <v>12</v>
      </c>
      <c r="I64" s="140">
        <v>2</v>
      </c>
      <c r="J64" s="143"/>
      <c r="K64" s="184">
        <f>COUNT(AJ64:CC64)</f>
        <v>21</v>
      </c>
      <c r="L64" s="140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101"/>
      <c r="AC64" s="57"/>
      <c r="AD64" s="133"/>
      <c r="AE64" s="46"/>
      <c r="AF64" s="46"/>
      <c r="AG64" s="46"/>
      <c r="AH64" s="46"/>
      <c r="AI64" s="57"/>
      <c r="AJ64" s="86">
        <v>1</v>
      </c>
      <c r="AK64" s="86">
        <f>AJ64+1</f>
        <v>2</v>
      </c>
      <c r="AL64" s="86">
        <f t="shared" si="71"/>
        <v>3</v>
      </c>
      <c r="AM64" s="86">
        <f t="shared" si="72"/>
        <v>4</v>
      </c>
      <c r="AN64" s="86">
        <f t="shared" si="72"/>
        <v>5</v>
      </c>
      <c r="AO64" s="86">
        <f t="shared" si="72"/>
        <v>6</v>
      </c>
      <c r="AP64" s="86">
        <f t="shared" si="72"/>
        <v>7</v>
      </c>
      <c r="AQ64" s="86">
        <f t="shared" si="72"/>
        <v>8</v>
      </c>
      <c r="AR64" s="86">
        <f t="shared" si="72"/>
        <v>9</v>
      </c>
      <c r="AS64" s="86">
        <f t="shared" si="72"/>
        <v>10</v>
      </c>
      <c r="AT64" s="86">
        <f t="shared" si="72"/>
        <v>11</v>
      </c>
      <c r="AU64" s="86">
        <f t="shared" si="72"/>
        <v>12</v>
      </c>
      <c r="AV64" s="86">
        <f t="shared" si="72"/>
        <v>13</v>
      </c>
      <c r="AW64" s="86">
        <f t="shared" si="72"/>
        <v>14</v>
      </c>
      <c r="AX64" s="86">
        <f t="shared" si="72"/>
        <v>15</v>
      </c>
      <c r="AY64" s="86">
        <f t="shared" si="72"/>
        <v>16</v>
      </c>
      <c r="AZ64" s="86">
        <f t="shared" si="72"/>
        <v>17</v>
      </c>
      <c r="BA64" s="86">
        <f t="shared" si="72"/>
        <v>18</v>
      </c>
      <c r="BB64" s="86">
        <f t="shared" si="72"/>
        <v>19</v>
      </c>
      <c r="BC64" s="86">
        <f t="shared" ref="BC64:BR65" si="74">BB64+1</f>
        <v>20</v>
      </c>
      <c r="BD64" s="86">
        <f t="shared" si="74"/>
        <v>21</v>
      </c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97"/>
      <c r="BV64" s="4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5"/>
      <c r="CX64" s="5"/>
      <c r="CY64" s="5"/>
      <c r="CZ64" s="5"/>
    </row>
    <row r="65" spans="1:104" ht="15" customHeight="1" x14ac:dyDescent="0.25">
      <c r="B65" s="139">
        <v>10</v>
      </c>
      <c r="C65" s="140">
        <v>5</v>
      </c>
      <c r="D65" s="139" t="str">
        <f t="shared" si="0"/>
        <v>EMPTY_EAST_K_2_23</v>
      </c>
      <c r="E65" s="140" t="s">
        <v>0</v>
      </c>
      <c r="F65" s="142" t="s">
        <v>32</v>
      </c>
      <c r="G65" s="140" t="s">
        <v>18</v>
      </c>
      <c r="H65" s="140" t="s">
        <v>12</v>
      </c>
      <c r="I65" s="140">
        <v>2</v>
      </c>
      <c r="J65" s="139"/>
      <c r="K65" s="184">
        <f>COUNT(AJ65:CC65)</f>
        <v>39</v>
      </c>
      <c r="L65" s="139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101"/>
      <c r="AC65" s="57"/>
      <c r="AD65" s="133"/>
      <c r="AE65" s="46"/>
      <c r="AF65" s="46"/>
      <c r="AG65" s="46"/>
      <c r="AH65" s="46"/>
      <c r="AI65" s="57"/>
      <c r="AJ65" s="86">
        <v>1</v>
      </c>
      <c r="AK65" s="86">
        <f>AJ65+1</f>
        <v>2</v>
      </c>
      <c r="AL65" s="86">
        <f t="shared" si="71"/>
        <v>3</v>
      </c>
      <c r="AM65" s="86">
        <f t="shared" si="72"/>
        <v>4</v>
      </c>
      <c r="AN65" s="86">
        <f t="shared" si="72"/>
        <v>5</v>
      </c>
      <c r="AO65" s="86">
        <f t="shared" si="72"/>
        <v>6</v>
      </c>
      <c r="AP65" s="86">
        <f t="shared" si="72"/>
        <v>7</v>
      </c>
      <c r="AQ65" s="86">
        <f t="shared" si="72"/>
        <v>8</v>
      </c>
      <c r="AR65" s="86">
        <f t="shared" si="72"/>
        <v>9</v>
      </c>
      <c r="AS65" s="86">
        <f t="shared" si="72"/>
        <v>10</v>
      </c>
      <c r="AT65" s="86">
        <f t="shared" si="72"/>
        <v>11</v>
      </c>
      <c r="AU65" s="86">
        <f t="shared" si="72"/>
        <v>12</v>
      </c>
      <c r="AV65" s="86">
        <f t="shared" si="72"/>
        <v>13</v>
      </c>
      <c r="AW65" s="86">
        <f t="shared" si="72"/>
        <v>14</v>
      </c>
      <c r="AX65" s="86">
        <f t="shared" si="72"/>
        <v>15</v>
      </c>
      <c r="AY65" s="86">
        <f t="shared" si="72"/>
        <v>16</v>
      </c>
      <c r="AZ65" s="86">
        <f t="shared" si="72"/>
        <v>17</v>
      </c>
      <c r="BA65" s="86">
        <f t="shared" si="72"/>
        <v>18</v>
      </c>
      <c r="BB65" s="86">
        <f t="shared" si="72"/>
        <v>19</v>
      </c>
      <c r="BC65" s="86">
        <f t="shared" si="74"/>
        <v>20</v>
      </c>
      <c r="BD65" s="86">
        <f t="shared" si="74"/>
        <v>21</v>
      </c>
      <c r="BE65" s="86">
        <f t="shared" si="74"/>
        <v>22</v>
      </c>
      <c r="BF65" s="86">
        <f t="shared" si="74"/>
        <v>23</v>
      </c>
      <c r="BG65" s="86">
        <f t="shared" si="74"/>
        <v>24</v>
      </c>
      <c r="BH65" s="86">
        <f t="shared" si="74"/>
        <v>25</v>
      </c>
      <c r="BI65" s="86">
        <f t="shared" si="74"/>
        <v>26</v>
      </c>
      <c r="BJ65" s="86">
        <f t="shared" si="74"/>
        <v>27</v>
      </c>
      <c r="BK65" s="86">
        <f t="shared" si="74"/>
        <v>28</v>
      </c>
      <c r="BL65" s="86">
        <f t="shared" si="74"/>
        <v>29</v>
      </c>
      <c r="BM65" s="86">
        <f t="shared" si="74"/>
        <v>30</v>
      </c>
      <c r="BN65" s="86">
        <f t="shared" si="74"/>
        <v>31</v>
      </c>
      <c r="BO65" s="86">
        <f t="shared" si="74"/>
        <v>32</v>
      </c>
      <c r="BP65" s="86">
        <f t="shared" si="74"/>
        <v>33</v>
      </c>
      <c r="BQ65" s="86">
        <f t="shared" si="74"/>
        <v>34</v>
      </c>
      <c r="BR65" s="86">
        <f t="shared" si="74"/>
        <v>35</v>
      </c>
      <c r="BS65" s="86">
        <f t="shared" ref="BS65:BV65" si="75">BR65+1</f>
        <v>36</v>
      </c>
      <c r="BT65" s="86">
        <f t="shared" si="75"/>
        <v>37</v>
      </c>
      <c r="BU65" s="86">
        <f t="shared" si="75"/>
        <v>38</v>
      </c>
      <c r="BV65" s="86">
        <f t="shared" si="75"/>
        <v>39</v>
      </c>
      <c r="BW65" s="46"/>
      <c r="BX65" s="4"/>
      <c r="BY65" s="4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5"/>
      <c r="CX65" s="5"/>
      <c r="CY65" s="5"/>
      <c r="CZ65" s="5"/>
    </row>
    <row r="66" spans="1:104" ht="15.75" customHeight="1" thickBot="1" x14ac:dyDescent="0.3">
      <c r="B66" s="139">
        <v>10</v>
      </c>
      <c r="C66" s="140">
        <v>6</v>
      </c>
      <c r="D66" s="139" t="str">
        <f t="shared" si="0"/>
        <v>COUNTDOWN_EAST_K_2_23</v>
      </c>
      <c r="E66" s="140"/>
      <c r="F66" s="142" t="s">
        <v>33</v>
      </c>
      <c r="G66" s="140" t="s">
        <v>18</v>
      </c>
      <c r="H66" s="140" t="s">
        <v>12</v>
      </c>
      <c r="I66" s="140">
        <v>2</v>
      </c>
      <c r="J66" s="144"/>
      <c r="K66" s="144"/>
      <c r="L66" s="140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101"/>
      <c r="AC66" s="57"/>
      <c r="AD66" s="171"/>
      <c r="AE66" s="74"/>
      <c r="AF66" s="74"/>
      <c r="AG66" s="74"/>
      <c r="AH66" s="194"/>
      <c r="AI66" s="75"/>
      <c r="AJ66" s="86"/>
      <c r="AK66" s="86"/>
      <c r="AL66" s="86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6"/>
      <c r="AY66" s="6"/>
      <c r="AZ66" s="6"/>
      <c r="BA66" s="46"/>
      <c r="BB66" s="46"/>
      <c r="BC66" s="56"/>
      <c r="BD66" s="56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5"/>
      <c r="CX66" s="5"/>
      <c r="CY66" s="5"/>
      <c r="CZ66" s="5"/>
    </row>
    <row r="67" spans="1:104" ht="15" customHeight="1" x14ac:dyDescent="0.25">
      <c r="B67" s="139">
        <v>11</v>
      </c>
      <c r="C67" s="139">
        <v>1</v>
      </c>
      <c r="D67" s="139" t="str">
        <f t="shared" si="0"/>
        <v>SORTING_WEST_H_1_23</v>
      </c>
      <c r="E67" s="139" t="s">
        <v>35</v>
      </c>
      <c r="F67" s="138" t="s">
        <v>45</v>
      </c>
      <c r="G67" s="140" t="s">
        <v>19</v>
      </c>
      <c r="H67" s="140" t="s">
        <v>9</v>
      </c>
      <c r="I67" s="140">
        <v>1</v>
      </c>
      <c r="J67" s="139"/>
      <c r="K67" s="184">
        <f>COUNT(AD67:BF67)</f>
        <v>0</v>
      </c>
      <c r="L67" s="139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193"/>
      <c r="AD67" s="11"/>
      <c r="AE67" s="12"/>
      <c r="AF67" s="176"/>
      <c r="AG67" s="176"/>
      <c r="AH67" s="3"/>
      <c r="AI67" s="177"/>
      <c r="AJ67" s="86"/>
      <c r="AK67" s="86"/>
      <c r="AL67" s="86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5"/>
      <c r="CX67" s="5"/>
      <c r="CY67" s="5"/>
      <c r="CZ67" s="5"/>
    </row>
    <row r="68" spans="1:104" ht="15" customHeight="1" x14ac:dyDescent="0.25">
      <c r="B68" s="139">
        <v>11</v>
      </c>
      <c r="C68" s="139">
        <v>2</v>
      </c>
      <c r="D68" s="139" t="str">
        <f t="shared" si="0"/>
        <v>TRANSFER_WEST_H_1_23</v>
      </c>
      <c r="E68" s="139" t="s">
        <v>21</v>
      </c>
      <c r="F68" s="138" t="s">
        <v>21</v>
      </c>
      <c r="G68" s="140" t="s">
        <v>19</v>
      </c>
      <c r="H68" s="140" t="s">
        <v>9</v>
      </c>
      <c r="I68" s="140">
        <v>1</v>
      </c>
      <c r="J68" s="139"/>
      <c r="K68" s="184">
        <f>COUNT(AD68:BF68)</f>
        <v>2</v>
      </c>
      <c r="L68" s="139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101"/>
      <c r="AD68" s="8">
        <v>1</v>
      </c>
      <c r="AE68" s="3">
        <f>AD68+1</f>
        <v>2</v>
      </c>
      <c r="AF68" s="4"/>
      <c r="AG68" s="4"/>
      <c r="AH68" s="4"/>
      <c r="AI68" s="31"/>
      <c r="AJ68" s="86"/>
      <c r="AK68" s="86"/>
      <c r="AL68" s="86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5"/>
      <c r="CX68" s="5"/>
      <c r="CY68" s="5"/>
      <c r="CZ68" s="5"/>
    </row>
    <row r="69" spans="1:104" ht="15" customHeight="1" x14ac:dyDescent="0.25">
      <c r="B69" s="139">
        <v>11</v>
      </c>
      <c r="C69" s="139">
        <v>3</v>
      </c>
      <c r="D69" s="139" t="str">
        <f t="shared" si="0"/>
        <v>PREPARE_WEST_H_1_23</v>
      </c>
      <c r="E69" s="139" t="s">
        <v>0</v>
      </c>
      <c r="F69" s="138" t="s">
        <v>46</v>
      </c>
      <c r="G69" s="140" t="s">
        <v>19</v>
      </c>
      <c r="H69" s="140" t="s">
        <v>9</v>
      </c>
      <c r="I69" s="140">
        <v>1</v>
      </c>
      <c r="J69" s="141"/>
      <c r="K69" s="184">
        <f>COUNT(M69:BF69)</f>
        <v>22</v>
      </c>
      <c r="L69" s="139"/>
      <c r="M69" s="3">
        <v>1</v>
      </c>
      <c r="N69" s="3">
        <f>M69+1</f>
        <v>2</v>
      </c>
      <c r="O69" s="3">
        <f t="shared" ref="O69:AH69" si="76">N69+1</f>
        <v>3</v>
      </c>
      <c r="P69" s="3">
        <f t="shared" si="76"/>
        <v>4</v>
      </c>
      <c r="Q69" s="3">
        <f t="shared" si="76"/>
        <v>5</v>
      </c>
      <c r="R69" s="3">
        <f t="shared" si="76"/>
        <v>6</v>
      </c>
      <c r="S69" s="3">
        <f t="shared" si="76"/>
        <v>7</v>
      </c>
      <c r="T69" s="3">
        <f t="shared" si="76"/>
        <v>8</v>
      </c>
      <c r="U69" s="3">
        <f t="shared" si="76"/>
        <v>9</v>
      </c>
      <c r="V69" s="3">
        <f t="shared" si="76"/>
        <v>10</v>
      </c>
      <c r="W69" s="3">
        <f t="shared" si="76"/>
        <v>11</v>
      </c>
      <c r="X69" s="3">
        <f t="shared" si="76"/>
        <v>12</v>
      </c>
      <c r="Y69" s="3">
        <f t="shared" si="76"/>
        <v>13</v>
      </c>
      <c r="Z69" s="3">
        <f t="shared" si="76"/>
        <v>14</v>
      </c>
      <c r="AA69" s="3">
        <f t="shared" si="76"/>
        <v>15</v>
      </c>
      <c r="AB69" s="3">
        <f t="shared" si="76"/>
        <v>16</v>
      </c>
      <c r="AC69" s="3">
        <f t="shared" si="76"/>
        <v>17</v>
      </c>
      <c r="AD69" s="3">
        <f t="shared" si="76"/>
        <v>18</v>
      </c>
      <c r="AE69" s="3">
        <f t="shared" si="76"/>
        <v>19</v>
      </c>
      <c r="AF69" s="3">
        <f t="shared" si="76"/>
        <v>20</v>
      </c>
      <c r="AG69" s="3">
        <f t="shared" si="76"/>
        <v>21</v>
      </c>
      <c r="AH69" s="3">
        <f t="shared" si="76"/>
        <v>22</v>
      </c>
      <c r="AI69" s="21"/>
      <c r="AJ69" s="86"/>
      <c r="AK69" s="86"/>
      <c r="AL69" s="86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5"/>
      <c r="CX69" s="5"/>
      <c r="CY69" s="5"/>
      <c r="CZ69" s="5"/>
    </row>
    <row r="70" spans="1:104" ht="15" customHeight="1" x14ac:dyDescent="0.25">
      <c r="B70" s="139">
        <v>11</v>
      </c>
      <c r="C70" s="139">
        <v>4</v>
      </c>
      <c r="D70" s="139" t="str">
        <f t="shared" si="0"/>
        <v>SUPPLY_WEST_H_1_23</v>
      </c>
      <c r="E70" s="139" t="s">
        <v>0</v>
      </c>
      <c r="F70" s="142" t="s">
        <v>0</v>
      </c>
      <c r="G70" s="140" t="s">
        <v>19</v>
      </c>
      <c r="H70" s="140" t="s">
        <v>9</v>
      </c>
      <c r="I70" s="140">
        <v>1</v>
      </c>
      <c r="J70" s="143"/>
      <c r="K70" s="184">
        <f>COUNT(AJ70:CC70)</f>
        <v>0</v>
      </c>
      <c r="L70" s="140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101"/>
      <c r="AD70" s="42"/>
      <c r="AE70" s="46"/>
      <c r="AF70" s="46"/>
      <c r="AG70" s="46"/>
      <c r="AH70" s="46"/>
      <c r="AI70" s="57"/>
      <c r="AJ70" s="93"/>
      <c r="AK70" s="93"/>
      <c r="AL70" s="93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97"/>
      <c r="BA70" s="4"/>
      <c r="BB70" s="4"/>
      <c r="BC70" s="4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5"/>
      <c r="CX70" s="5"/>
      <c r="CY70" s="5"/>
      <c r="CZ70" s="5"/>
    </row>
    <row r="71" spans="1:104" ht="15" customHeight="1" x14ac:dyDescent="0.25">
      <c r="B71" s="139">
        <v>11</v>
      </c>
      <c r="C71" s="140">
        <v>5</v>
      </c>
      <c r="D71" s="139" t="str">
        <f t="shared" si="0"/>
        <v>EMPTY_WEST_H_1_23</v>
      </c>
      <c r="E71" s="140" t="s">
        <v>0</v>
      </c>
      <c r="F71" s="142" t="s">
        <v>32</v>
      </c>
      <c r="G71" s="140" t="s">
        <v>19</v>
      </c>
      <c r="H71" s="140" t="s">
        <v>9</v>
      </c>
      <c r="I71" s="140">
        <v>1</v>
      </c>
      <c r="J71" s="139"/>
      <c r="K71" s="184">
        <f>COUNT(AJ71:CC71)</f>
        <v>20</v>
      </c>
      <c r="L71" s="139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101"/>
      <c r="AD71" s="42"/>
      <c r="AE71" s="46"/>
      <c r="AF71" s="46"/>
      <c r="AG71" s="46"/>
      <c r="AH71" s="46"/>
      <c r="AI71" s="57"/>
      <c r="AJ71" s="86">
        <v>1</v>
      </c>
      <c r="AK71" s="86">
        <f>AJ71+1</f>
        <v>2</v>
      </c>
      <c r="AL71" s="86">
        <f t="shared" ref="AL71:BC71" si="77">AK71+1</f>
        <v>3</v>
      </c>
      <c r="AM71" s="86">
        <f t="shared" si="77"/>
        <v>4</v>
      </c>
      <c r="AN71" s="86">
        <f t="shared" si="77"/>
        <v>5</v>
      </c>
      <c r="AO71" s="86">
        <f t="shared" si="77"/>
        <v>6</v>
      </c>
      <c r="AP71" s="86">
        <f t="shared" si="77"/>
        <v>7</v>
      </c>
      <c r="AQ71" s="86">
        <f t="shared" si="77"/>
        <v>8</v>
      </c>
      <c r="AR71" s="86">
        <f t="shared" si="77"/>
        <v>9</v>
      </c>
      <c r="AS71" s="86">
        <f t="shared" si="77"/>
        <v>10</v>
      </c>
      <c r="AT71" s="86">
        <f t="shared" si="77"/>
        <v>11</v>
      </c>
      <c r="AU71" s="86">
        <f t="shared" si="77"/>
        <v>12</v>
      </c>
      <c r="AV71" s="86">
        <f t="shared" si="77"/>
        <v>13</v>
      </c>
      <c r="AW71" s="86">
        <f t="shared" si="77"/>
        <v>14</v>
      </c>
      <c r="AX71" s="86">
        <f t="shared" si="77"/>
        <v>15</v>
      </c>
      <c r="AY71" s="86">
        <f t="shared" si="77"/>
        <v>16</v>
      </c>
      <c r="AZ71" s="86">
        <f t="shared" si="77"/>
        <v>17</v>
      </c>
      <c r="BA71" s="86">
        <f t="shared" si="77"/>
        <v>18</v>
      </c>
      <c r="BB71" s="86">
        <f t="shared" si="77"/>
        <v>19</v>
      </c>
      <c r="BC71" s="86">
        <f t="shared" si="77"/>
        <v>20</v>
      </c>
      <c r="BD71" s="46"/>
      <c r="BE71" s="21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5"/>
      <c r="CX71" s="5"/>
      <c r="CY71" s="5"/>
      <c r="CZ71" s="5"/>
    </row>
    <row r="72" spans="1:104" ht="15" customHeight="1" x14ac:dyDescent="0.25">
      <c r="B72" s="139">
        <v>11</v>
      </c>
      <c r="C72" s="140">
        <v>6</v>
      </c>
      <c r="D72" s="139" t="str">
        <f t="shared" si="0"/>
        <v>COUNTDOWN_WEST_H_1_23</v>
      </c>
      <c r="E72" s="140"/>
      <c r="F72" s="142" t="s">
        <v>33</v>
      </c>
      <c r="G72" s="140" t="s">
        <v>19</v>
      </c>
      <c r="H72" s="140" t="s">
        <v>9</v>
      </c>
      <c r="I72" s="140">
        <v>1</v>
      </c>
      <c r="J72" s="144"/>
      <c r="K72" s="144"/>
      <c r="L72" s="140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101"/>
      <c r="AD72" s="29"/>
      <c r="AE72" s="6"/>
      <c r="AF72" s="46"/>
      <c r="AG72" s="46"/>
      <c r="AH72" s="220"/>
      <c r="AI72" s="59"/>
      <c r="AJ72" s="86"/>
      <c r="AK72" s="86"/>
      <c r="AL72" s="86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5"/>
      <c r="CX72" s="5"/>
      <c r="CY72" s="5"/>
      <c r="CZ72" s="5"/>
    </row>
    <row r="73" spans="1:104" ht="15" customHeight="1" x14ac:dyDescent="0.25">
      <c r="B73" s="139">
        <v>12</v>
      </c>
      <c r="C73" s="139">
        <v>1</v>
      </c>
      <c r="D73" s="139" t="str">
        <f t="shared" si="0"/>
        <v>SORTING_WEST_P_2_23</v>
      </c>
      <c r="E73" s="139" t="s">
        <v>35</v>
      </c>
      <c r="F73" s="138" t="s">
        <v>45</v>
      </c>
      <c r="G73" s="140" t="s">
        <v>19</v>
      </c>
      <c r="H73" s="140" t="s">
        <v>41</v>
      </c>
      <c r="I73" s="140">
        <v>2</v>
      </c>
      <c r="J73" s="139"/>
      <c r="K73" s="184">
        <f>COUNT(AD73:BF73)</f>
        <v>2</v>
      </c>
      <c r="L73" s="139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101"/>
      <c r="AD73" s="8">
        <v>1</v>
      </c>
      <c r="AE73" s="3">
        <f>AD73+1</f>
        <v>2</v>
      </c>
      <c r="AF73" s="4"/>
      <c r="AG73" s="4"/>
      <c r="AH73" s="4"/>
      <c r="AI73" s="31"/>
      <c r="AJ73" s="86"/>
      <c r="AK73" s="86"/>
      <c r="AL73" s="86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5"/>
      <c r="CX73" s="5"/>
      <c r="CY73" s="5"/>
      <c r="CZ73" s="5"/>
    </row>
    <row r="74" spans="1:104" ht="15" customHeight="1" x14ac:dyDescent="0.25">
      <c r="B74" s="139">
        <v>12</v>
      </c>
      <c r="C74" s="139">
        <v>2</v>
      </c>
      <c r="D74" s="139" t="str">
        <f t="shared" si="0"/>
        <v>TRANSFER_WEST_P_2_23</v>
      </c>
      <c r="E74" s="139" t="s">
        <v>21</v>
      </c>
      <c r="F74" s="138" t="s">
        <v>21</v>
      </c>
      <c r="G74" s="140" t="s">
        <v>19</v>
      </c>
      <c r="H74" s="140" t="s">
        <v>41</v>
      </c>
      <c r="I74" s="140">
        <v>2</v>
      </c>
      <c r="J74" s="139"/>
      <c r="K74" s="184">
        <f>COUNT(AD74:BF74)</f>
        <v>5</v>
      </c>
      <c r="L74" s="139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101"/>
      <c r="AD74" s="8">
        <v>1</v>
      </c>
      <c r="AE74" s="3">
        <f>AD74+1</f>
        <v>2</v>
      </c>
      <c r="AF74" s="3">
        <f t="shared" ref="AF74:AI75" si="78">AE74+1</f>
        <v>3</v>
      </c>
      <c r="AG74" s="3">
        <f t="shared" si="78"/>
        <v>4</v>
      </c>
      <c r="AH74" s="3">
        <f t="shared" si="78"/>
        <v>5</v>
      </c>
      <c r="AI74" s="21"/>
      <c r="AJ74" s="4"/>
      <c r="AK74" s="4"/>
      <c r="AL74" s="4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5"/>
      <c r="CX74" s="5"/>
      <c r="CY74" s="5"/>
      <c r="CZ74" s="5"/>
    </row>
    <row r="75" spans="1:104" ht="15" customHeight="1" x14ac:dyDescent="0.25">
      <c r="B75" s="139">
        <v>12</v>
      </c>
      <c r="C75" s="139">
        <v>3</v>
      </c>
      <c r="D75" s="139" t="str">
        <f t="shared" si="0"/>
        <v>PREPARE_WEST_P_2_23</v>
      </c>
      <c r="E75" s="139" t="s">
        <v>0</v>
      </c>
      <c r="F75" s="138" t="s">
        <v>46</v>
      </c>
      <c r="G75" s="140" t="s">
        <v>19</v>
      </c>
      <c r="H75" s="140" t="s">
        <v>41</v>
      </c>
      <c r="I75" s="140">
        <v>2</v>
      </c>
      <c r="J75" s="141"/>
      <c r="K75" s="184">
        <f>COUNT(M75:BF75)</f>
        <v>25</v>
      </c>
      <c r="L75" s="139"/>
      <c r="M75" s="3">
        <v>1</v>
      </c>
      <c r="N75" s="3">
        <f>M75+1</f>
        <v>2</v>
      </c>
      <c r="O75" s="3">
        <f t="shared" ref="O75:AE75" si="79">N75+1</f>
        <v>3</v>
      </c>
      <c r="P75" s="3">
        <f t="shared" si="79"/>
        <v>4</v>
      </c>
      <c r="Q75" s="3">
        <f t="shared" si="79"/>
        <v>5</v>
      </c>
      <c r="R75" s="3">
        <f t="shared" si="79"/>
        <v>6</v>
      </c>
      <c r="S75" s="3">
        <f t="shared" si="79"/>
        <v>7</v>
      </c>
      <c r="T75" s="3">
        <f t="shared" si="79"/>
        <v>8</v>
      </c>
      <c r="U75" s="3">
        <f t="shared" si="79"/>
        <v>9</v>
      </c>
      <c r="V75" s="3">
        <f t="shared" si="79"/>
        <v>10</v>
      </c>
      <c r="W75" s="3">
        <f t="shared" si="79"/>
        <v>11</v>
      </c>
      <c r="X75" s="3">
        <f t="shared" si="79"/>
        <v>12</v>
      </c>
      <c r="Y75" s="3">
        <f t="shared" si="79"/>
        <v>13</v>
      </c>
      <c r="Z75" s="3">
        <f t="shared" si="79"/>
        <v>14</v>
      </c>
      <c r="AA75" s="3">
        <f t="shared" si="79"/>
        <v>15</v>
      </c>
      <c r="AB75" s="3">
        <f t="shared" si="79"/>
        <v>16</v>
      </c>
      <c r="AC75" s="3">
        <f t="shared" si="79"/>
        <v>17</v>
      </c>
      <c r="AD75" s="3">
        <f t="shared" si="79"/>
        <v>18</v>
      </c>
      <c r="AE75" s="3">
        <f t="shared" si="79"/>
        <v>19</v>
      </c>
      <c r="AF75" s="3">
        <f t="shared" si="78"/>
        <v>20</v>
      </c>
      <c r="AG75" s="3">
        <f t="shared" si="78"/>
        <v>21</v>
      </c>
      <c r="AH75" s="3">
        <f t="shared" si="78"/>
        <v>22</v>
      </c>
      <c r="AI75" s="3">
        <f t="shared" si="78"/>
        <v>23</v>
      </c>
      <c r="AJ75" s="3">
        <f t="shared" ref="AJ75" si="80">AI75+1</f>
        <v>24</v>
      </c>
      <c r="AK75" s="3">
        <f t="shared" ref="AK75" si="81">AJ75+1</f>
        <v>25</v>
      </c>
      <c r="AL75" s="4"/>
      <c r="AM75" s="4"/>
      <c r="AN75" s="4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5"/>
      <c r="CX75" s="5"/>
      <c r="CY75" s="5"/>
      <c r="CZ75" s="5"/>
    </row>
    <row r="76" spans="1:104" ht="15" customHeight="1" x14ac:dyDescent="0.25">
      <c r="B76" s="139">
        <v>12</v>
      </c>
      <c r="C76" s="139">
        <v>4</v>
      </c>
      <c r="D76" s="139" t="str">
        <f t="shared" si="0"/>
        <v>SUPPLY_WEST_P_2_23</v>
      </c>
      <c r="E76" s="139" t="s">
        <v>0</v>
      </c>
      <c r="F76" s="142" t="s">
        <v>0</v>
      </c>
      <c r="G76" s="140" t="s">
        <v>19</v>
      </c>
      <c r="H76" s="140" t="s">
        <v>41</v>
      </c>
      <c r="I76" s="140">
        <v>2</v>
      </c>
      <c r="J76" s="143"/>
      <c r="K76" s="184">
        <f>COUNT(AJ76:CC76)</f>
        <v>5</v>
      </c>
      <c r="L76" s="140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101"/>
      <c r="AD76" s="42"/>
      <c r="AE76" s="46"/>
      <c r="AF76" s="46"/>
      <c r="AG76" s="46"/>
      <c r="AH76" s="46"/>
      <c r="AI76" s="57"/>
      <c r="AJ76" s="86">
        <v>1</v>
      </c>
      <c r="AK76" s="86">
        <f>AJ76+1</f>
        <v>2</v>
      </c>
      <c r="AL76" s="86">
        <f t="shared" ref="AL76:BA77" si="82">AK76+1</f>
        <v>3</v>
      </c>
      <c r="AM76" s="86">
        <f t="shared" si="82"/>
        <v>4</v>
      </c>
      <c r="AN76" s="86">
        <f t="shared" si="82"/>
        <v>5</v>
      </c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97"/>
      <c r="BC76" s="4"/>
      <c r="BD76" s="4"/>
      <c r="BE76" s="4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5"/>
      <c r="CX76" s="5"/>
      <c r="CY76" s="5"/>
      <c r="CZ76" s="5"/>
    </row>
    <row r="77" spans="1:104" ht="15" customHeight="1" x14ac:dyDescent="0.25">
      <c r="B77" s="139">
        <v>12</v>
      </c>
      <c r="C77" s="140">
        <v>5</v>
      </c>
      <c r="D77" s="139" t="str">
        <f t="shared" si="0"/>
        <v>EMPTY_WEST_P_2_23</v>
      </c>
      <c r="E77" s="140" t="s">
        <v>0</v>
      </c>
      <c r="F77" s="142" t="s">
        <v>32</v>
      </c>
      <c r="G77" s="140" t="s">
        <v>19</v>
      </c>
      <c r="H77" s="140" t="s">
        <v>41</v>
      </c>
      <c r="I77" s="140">
        <v>2</v>
      </c>
      <c r="J77" s="139"/>
      <c r="K77" s="184">
        <f>COUNT(AJ77:CC77)</f>
        <v>22</v>
      </c>
      <c r="L77" s="139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101"/>
      <c r="AD77" s="42"/>
      <c r="AE77" s="46"/>
      <c r="AF77" s="46"/>
      <c r="AG77" s="46"/>
      <c r="AH77" s="46"/>
      <c r="AI77" s="57"/>
      <c r="AJ77" s="86">
        <v>1</v>
      </c>
      <c r="AK77" s="86">
        <f>AJ77+1</f>
        <v>2</v>
      </c>
      <c r="AL77" s="86">
        <f t="shared" si="82"/>
        <v>3</v>
      </c>
      <c r="AM77" s="86">
        <f t="shared" si="82"/>
        <v>4</v>
      </c>
      <c r="AN77" s="86">
        <f t="shared" si="82"/>
        <v>5</v>
      </c>
      <c r="AO77" s="86">
        <f t="shared" si="82"/>
        <v>6</v>
      </c>
      <c r="AP77" s="86">
        <f t="shared" si="82"/>
        <v>7</v>
      </c>
      <c r="AQ77" s="86">
        <f t="shared" si="82"/>
        <v>8</v>
      </c>
      <c r="AR77" s="86">
        <f t="shared" si="82"/>
        <v>9</v>
      </c>
      <c r="AS77" s="86">
        <f t="shared" si="82"/>
        <v>10</v>
      </c>
      <c r="AT77" s="86">
        <f t="shared" si="82"/>
        <v>11</v>
      </c>
      <c r="AU77" s="86">
        <f t="shared" si="82"/>
        <v>12</v>
      </c>
      <c r="AV77" s="86">
        <f t="shared" si="82"/>
        <v>13</v>
      </c>
      <c r="AW77" s="86">
        <f t="shared" si="82"/>
        <v>14</v>
      </c>
      <c r="AX77" s="86">
        <f t="shared" si="82"/>
        <v>15</v>
      </c>
      <c r="AY77" s="86">
        <f t="shared" si="82"/>
        <v>16</v>
      </c>
      <c r="AZ77" s="86">
        <f t="shared" si="82"/>
        <v>17</v>
      </c>
      <c r="BA77" s="86">
        <f t="shared" si="82"/>
        <v>18</v>
      </c>
      <c r="BB77" s="86">
        <f t="shared" ref="BB77:BE77" si="83">BA77+1</f>
        <v>19</v>
      </c>
      <c r="BC77" s="86">
        <f t="shared" si="83"/>
        <v>20</v>
      </c>
      <c r="BD77" s="86">
        <f t="shared" si="83"/>
        <v>21</v>
      </c>
      <c r="BE77" s="86">
        <f t="shared" si="83"/>
        <v>22</v>
      </c>
      <c r="BF77" s="46"/>
      <c r="BG77" s="4"/>
      <c r="BH77" s="4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5"/>
      <c r="CX77" s="5"/>
      <c r="CY77" s="5"/>
      <c r="CZ77" s="5"/>
    </row>
    <row r="78" spans="1:104" ht="15" customHeight="1" x14ac:dyDescent="0.25">
      <c r="B78" s="139">
        <v>12</v>
      </c>
      <c r="C78" s="140">
        <v>6</v>
      </c>
      <c r="D78" s="139" t="str">
        <f t="shared" ref="D78:D120" si="84">F78&amp;"_"&amp;G78&amp;"_"&amp;H78&amp;"_"&amp;I78&amp;"_"&amp;$D$1</f>
        <v>COUNTDOWN_WEST_P_2_23</v>
      </c>
      <c r="E78" s="140"/>
      <c r="F78" s="142" t="s">
        <v>33</v>
      </c>
      <c r="G78" s="140" t="s">
        <v>19</v>
      </c>
      <c r="H78" s="140" t="s">
        <v>41</v>
      </c>
      <c r="I78" s="140">
        <v>2</v>
      </c>
      <c r="J78" s="144"/>
      <c r="K78" s="144"/>
      <c r="L78" s="140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101"/>
      <c r="AD78" s="8"/>
      <c r="AE78" s="3"/>
      <c r="AF78" s="6"/>
      <c r="AG78" s="6"/>
      <c r="AH78" s="46"/>
      <c r="AI78" s="57"/>
      <c r="AJ78" s="134"/>
      <c r="AK78" s="134"/>
      <c r="AL78" s="134"/>
      <c r="AM78" s="56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5"/>
      <c r="CX78" s="5"/>
      <c r="CY78" s="5"/>
      <c r="CZ78" s="5"/>
    </row>
    <row r="79" spans="1:104" ht="15" customHeight="1" x14ac:dyDescent="0.25">
      <c r="A79" t="s">
        <v>8</v>
      </c>
      <c r="B79" s="139">
        <v>13</v>
      </c>
      <c r="C79" s="139">
        <v>1</v>
      </c>
      <c r="D79" s="139" t="str">
        <f t="shared" si="84"/>
        <v>SORTING_WEST_O_1_23</v>
      </c>
      <c r="E79" s="139" t="s">
        <v>35</v>
      </c>
      <c r="F79" s="138" t="s">
        <v>45</v>
      </c>
      <c r="G79" s="140" t="s">
        <v>19</v>
      </c>
      <c r="H79" s="140" t="s">
        <v>40</v>
      </c>
      <c r="I79" s="140">
        <v>1</v>
      </c>
      <c r="J79" s="139"/>
      <c r="K79" s="184">
        <f>COUNT(AD79:BF79)</f>
        <v>5</v>
      </c>
      <c r="L79" s="139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101"/>
      <c r="AD79" s="8">
        <v>1</v>
      </c>
      <c r="AE79" s="3">
        <f>AD79+1</f>
        <v>2</v>
      </c>
      <c r="AF79" s="3">
        <f t="shared" ref="AF79:AU83" si="85">AE79+1</f>
        <v>3</v>
      </c>
      <c r="AG79" s="3">
        <f t="shared" si="85"/>
        <v>4</v>
      </c>
      <c r="AH79" s="3">
        <f t="shared" si="85"/>
        <v>5</v>
      </c>
      <c r="AI79" s="21"/>
      <c r="AJ79" s="4"/>
      <c r="AK79" s="4"/>
      <c r="AL79" s="4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5"/>
      <c r="CX79" s="5"/>
      <c r="CY79" s="5"/>
      <c r="CZ79" s="5"/>
    </row>
    <row r="80" spans="1:104" ht="15" customHeight="1" x14ac:dyDescent="0.25">
      <c r="A80" t="s">
        <v>8</v>
      </c>
      <c r="B80" s="139">
        <v>13</v>
      </c>
      <c r="C80" s="139">
        <v>2</v>
      </c>
      <c r="D80" s="139" t="str">
        <f t="shared" si="84"/>
        <v>TRANSFER_WEST_O_1_23</v>
      </c>
      <c r="E80" s="139" t="s">
        <v>21</v>
      </c>
      <c r="F80" s="138" t="s">
        <v>21</v>
      </c>
      <c r="G80" s="140" t="s">
        <v>19</v>
      </c>
      <c r="H80" s="140" t="s">
        <v>40</v>
      </c>
      <c r="I80" s="140">
        <v>1</v>
      </c>
      <c r="J80" s="139"/>
      <c r="K80" s="184">
        <f>COUNT(AD80:BF80)</f>
        <v>9</v>
      </c>
      <c r="L80" s="139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101"/>
      <c r="AD80" s="8">
        <v>1</v>
      </c>
      <c r="AE80" s="3">
        <f>AD80+1</f>
        <v>2</v>
      </c>
      <c r="AF80" s="3">
        <f t="shared" si="85"/>
        <v>3</v>
      </c>
      <c r="AG80" s="3">
        <f t="shared" si="85"/>
        <v>4</v>
      </c>
      <c r="AH80" s="3">
        <f t="shared" si="85"/>
        <v>5</v>
      </c>
      <c r="AI80" s="3">
        <f t="shared" si="85"/>
        <v>6</v>
      </c>
      <c r="AJ80" s="3">
        <f t="shared" si="85"/>
        <v>7</v>
      </c>
      <c r="AK80" s="3">
        <f t="shared" si="85"/>
        <v>8</v>
      </c>
      <c r="AL80" s="3">
        <f t="shared" si="85"/>
        <v>9</v>
      </c>
      <c r="AM80" s="4"/>
      <c r="AN80" s="4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5"/>
      <c r="CX80" s="5"/>
      <c r="CY80" s="5"/>
      <c r="CZ80" s="5"/>
    </row>
    <row r="81" spans="1:104" ht="15" customHeight="1" x14ac:dyDescent="0.25">
      <c r="A81" t="s">
        <v>8</v>
      </c>
      <c r="B81" s="139">
        <v>13</v>
      </c>
      <c r="C81" s="139">
        <v>3</v>
      </c>
      <c r="D81" s="139" t="str">
        <f t="shared" si="84"/>
        <v>PREPARE_WEST_O_1_23</v>
      </c>
      <c r="E81" s="139" t="s">
        <v>0</v>
      </c>
      <c r="F81" s="138" t="s">
        <v>46</v>
      </c>
      <c r="G81" s="140" t="s">
        <v>19</v>
      </c>
      <c r="H81" s="140" t="s">
        <v>40</v>
      </c>
      <c r="I81" s="140">
        <v>1</v>
      </c>
      <c r="J81" s="141"/>
      <c r="K81" s="184">
        <f>COUNT(M81:BF81)</f>
        <v>29</v>
      </c>
      <c r="L81" s="139"/>
      <c r="M81" s="3">
        <v>1</v>
      </c>
      <c r="N81" s="3">
        <f>M81+1</f>
        <v>2</v>
      </c>
      <c r="O81" s="3">
        <f t="shared" ref="O81:AE81" si="86">N81+1</f>
        <v>3</v>
      </c>
      <c r="P81" s="3">
        <f t="shared" si="86"/>
        <v>4</v>
      </c>
      <c r="Q81" s="3">
        <f t="shared" si="86"/>
        <v>5</v>
      </c>
      <c r="R81" s="3">
        <f t="shared" si="86"/>
        <v>6</v>
      </c>
      <c r="S81" s="3">
        <f t="shared" si="86"/>
        <v>7</v>
      </c>
      <c r="T81" s="3">
        <f t="shared" si="86"/>
        <v>8</v>
      </c>
      <c r="U81" s="3">
        <f t="shared" si="86"/>
        <v>9</v>
      </c>
      <c r="V81" s="3">
        <f t="shared" si="86"/>
        <v>10</v>
      </c>
      <c r="W81" s="3">
        <f t="shared" si="86"/>
        <v>11</v>
      </c>
      <c r="X81" s="3">
        <f t="shared" si="86"/>
        <v>12</v>
      </c>
      <c r="Y81" s="3">
        <f t="shared" si="86"/>
        <v>13</v>
      </c>
      <c r="Z81" s="3">
        <f t="shared" si="86"/>
        <v>14</v>
      </c>
      <c r="AA81" s="3">
        <f t="shared" si="86"/>
        <v>15</v>
      </c>
      <c r="AB81" s="3">
        <f t="shared" si="86"/>
        <v>16</v>
      </c>
      <c r="AC81" s="3">
        <f t="shared" si="86"/>
        <v>17</v>
      </c>
      <c r="AD81" s="3">
        <f t="shared" si="86"/>
        <v>18</v>
      </c>
      <c r="AE81" s="3">
        <f t="shared" si="86"/>
        <v>19</v>
      </c>
      <c r="AF81" s="3">
        <f t="shared" si="85"/>
        <v>20</v>
      </c>
      <c r="AG81" s="3">
        <f t="shared" si="85"/>
        <v>21</v>
      </c>
      <c r="AH81" s="3">
        <f t="shared" si="85"/>
        <v>22</v>
      </c>
      <c r="AI81" s="3">
        <f t="shared" si="85"/>
        <v>23</v>
      </c>
      <c r="AJ81" s="3">
        <f t="shared" si="85"/>
        <v>24</v>
      </c>
      <c r="AK81" s="3">
        <f t="shared" si="85"/>
        <v>25</v>
      </c>
      <c r="AL81" s="3">
        <f t="shared" si="85"/>
        <v>26</v>
      </c>
      <c r="AM81" s="3">
        <f t="shared" si="85"/>
        <v>27</v>
      </c>
      <c r="AN81" s="3">
        <f t="shared" si="85"/>
        <v>28</v>
      </c>
      <c r="AO81" s="3">
        <f t="shared" si="85"/>
        <v>29</v>
      </c>
      <c r="AP81" s="4"/>
      <c r="AQ81" s="4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5"/>
      <c r="CX81" s="5"/>
      <c r="CY81" s="5"/>
      <c r="CZ81" s="5"/>
    </row>
    <row r="82" spans="1:104" ht="15" customHeight="1" x14ac:dyDescent="0.25">
      <c r="A82" t="s">
        <v>8</v>
      </c>
      <c r="B82" s="139">
        <v>13</v>
      </c>
      <c r="C82" s="139">
        <v>4</v>
      </c>
      <c r="D82" s="139" t="str">
        <f t="shared" si="84"/>
        <v>SUPPLY_WEST_O_1_23</v>
      </c>
      <c r="E82" s="139" t="s">
        <v>0</v>
      </c>
      <c r="F82" s="142" t="s">
        <v>0</v>
      </c>
      <c r="G82" s="140" t="s">
        <v>19</v>
      </c>
      <c r="H82" s="140" t="s">
        <v>40</v>
      </c>
      <c r="I82" s="140">
        <v>1</v>
      </c>
      <c r="J82" s="143"/>
      <c r="K82" s="184">
        <f>COUNT(AJ82:CC82)</f>
        <v>8</v>
      </c>
      <c r="L82" s="140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101"/>
      <c r="AD82" s="42"/>
      <c r="AE82" s="46"/>
      <c r="AF82" s="46"/>
      <c r="AG82" s="46"/>
      <c r="AH82" s="46"/>
      <c r="AI82" s="57"/>
      <c r="AJ82" s="86">
        <v>1</v>
      </c>
      <c r="AK82" s="86">
        <f>AJ82+1</f>
        <v>2</v>
      </c>
      <c r="AL82" s="86">
        <f t="shared" si="85"/>
        <v>3</v>
      </c>
      <c r="AM82" s="86">
        <f t="shared" si="85"/>
        <v>4</v>
      </c>
      <c r="AN82" s="86">
        <f t="shared" si="85"/>
        <v>5</v>
      </c>
      <c r="AO82" s="86">
        <f t="shared" si="85"/>
        <v>6</v>
      </c>
      <c r="AP82" s="86">
        <f t="shared" si="85"/>
        <v>7</v>
      </c>
      <c r="AQ82" s="86">
        <f t="shared" si="85"/>
        <v>8</v>
      </c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97"/>
      <c r="BE82" s="4"/>
      <c r="BF82" s="4"/>
      <c r="BG82" s="4"/>
      <c r="BH82" s="4"/>
      <c r="BI82" s="4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5"/>
      <c r="CX82" s="5"/>
      <c r="CY82" s="5"/>
      <c r="CZ82" s="5"/>
    </row>
    <row r="83" spans="1:104" ht="15" customHeight="1" x14ac:dyDescent="0.25">
      <c r="A83" t="s">
        <v>8</v>
      </c>
      <c r="B83" s="139">
        <v>13</v>
      </c>
      <c r="C83" s="140">
        <v>5</v>
      </c>
      <c r="D83" s="139" t="str">
        <f t="shared" si="84"/>
        <v>EMPTY_WEST_O_1_23</v>
      </c>
      <c r="E83" s="140" t="s">
        <v>0</v>
      </c>
      <c r="F83" s="142" t="s">
        <v>32</v>
      </c>
      <c r="G83" s="140" t="s">
        <v>19</v>
      </c>
      <c r="H83" s="140" t="s">
        <v>40</v>
      </c>
      <c r="I83" s="140">
        <v>1</v>
      </c>
      <c r="J83" s="139"/>
      <c r="K83" s="184">
        <f>COUNT(AJ83:CC83)</f>
        <v>26</v>
      </c>
      <c r="L83" s="139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101"/>
      <c r="AD83" s="42"/>
      <c r="AE83" s="46"/>
      <c r="AF83" s="46"/>
      <c r="AG83" s="46"/>
      <c r="AH83" s="46"/>
      <c r="AI83" s="57"/>
      <c r="AJ83" s="86">
        <v>1</v>
      </c>
      <c r="AK83" s="86">
        <f>AJ83+1</f>
        <v>2</v>
      </c>
      <c r="AL83" s="86">
        <f t="shared" si="85"/>
        <v>3</v>
      </c>
      <c r="AM83" s="86">
        <f t="shared" si="85"/>
        <v>4</v>
      </c>
      <c r="AN83" s="86">
        <f t="shared" si="85"/>
        <v>5</v>
      </c>
      <c r="AO83" s="86">
        <f t="shared" si="85"/>
        <v>6</v>
      </c>
      <c r="AP83" s="86">
        <f t="shared" si="85"/>
        <v>7</v>
      </c>
      <c r="AQ83" s="86">
        <f t="shared" si="85"/>
        <v>8</v>
      </c>
      <c r="AR83" s="86">
        <f t="shared" si="85"/>
        <v>9</v>
      </c>
      <c r="AS83" s="86">
        <f t="shared" si="85"/>
        <v>10</v>
      </c>
      <c r="AT83" s="86">
        <f t="shared" si="85"/>
        <v>11</v>
      </c>
      <c r="AU83" s="86">
        <f t="shared" si="85"/>
        <v>12</v>
      </c>
      <c r="AV83" s="86">
        <f t="shared" ref="AV83:BI83" si="87">AU83+1</f>
        <v>13</v>
      </c>
      <c r="AW83" s="86">
        <f t="shared" si="87"/>
        <v>14</v>
      </c>
      <c r="AX83" s="86">
        <f t="shared" si="87"/>
        <v>15</v>
      </c>
      <c r="AY83" s="86">
        <f t="shared" si="87"/>
        <v>16</v>
      </c>
      <c r="AZ83" s="86">
        <f t="shared" si="87"/>
        <v>17</v>
      </c>
      <c r="BA83" s="86">
        <f t="shared" si="87"/>
        <v>18</v>
      </c>
      <c r="BB83" s="86">
        <f t="shared" si="87"/>
        <v>19</v>
      </c>
      <c r="BC83" s="86">
        <f t="shared" si="87"/>
        <v>20</v>
      </c>
      <c r="BD83" s="86">
        <f t="shared" si="87"/>
        <v>21</v>
      </c>
      <c r="BE83" s="86">
        <f t="shared" si="87"/>
        <v>22</v>
      </c>
      <c r="BF83" s="86">
        <f t="shared" si="87"/>
        <v>23</v>
      </c>
      <c r="BG83" s="86">
        <f t="shared" si="87"/>
        <v>24</v>
      </c>
      <c r="BH83" s="86">
        <f t="shared" si="87"/>
        <v>25</v>
      </c>
      <c r="BI83" s="86">
        <f t="shared" si="87"/>
        <v>26</v>
      </c>
      <c r="BJ83" s="46"/>
      <c r="BK83" s="4"/>
      <c r="BL83" s="4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5"/>
      <c r="CX83" s="5"/>
      <c r="CY83" s="5"/>
      <c r="CZ83" s="5"/>
    </row>
    <row r="84" spans="1:104" ht="15" customHeight="1" x14ac:dyDescent="0.25">
      <c r="A84" t="s">
        <v>8</v>
      </c>
      <c r="B84" s="139">
        <v>13</v>
      </c>
      <c r="C84" s="140">
        <v>6</v>
      </c>
      <c r="D84" s="139" t="str">
        <f t="shared" si="84"/>
        <v>COUNTDOWN_WEST_O_1_23</v>
      </c>
      <c r="E84" s="140"/>
      <c r="F84" s="142" t="s">
        <v>33</v>
      </c>
      <c r="G84" s="140" t="s">
        <v>19</v>
      </c>
      <c r="H84" s="140" t="s">
        <v>40</v>
      </c>
      <c r="I84" s="140">
        <v>1</v>
      </c>
      <c r="J84" s="144"/>
      <c r="K84" s="144"/>
      <c r="L84" s="140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101"/>
      <c r="AD84" s="42"/>
      <c r="AE84" s="46"/>
      <c r="AF84" s="46"/>
      <c r="AG84" s="46"/>
      <c r="AH84" s="6"/>
      <c r="AI84" s="28"/>
      <c r="AJ84" s="133"/>
      <c r="AK84" s="133"/>
      <c r="AL84" s="133"/>
      <c r="AM84" s="46"/>
      <c r="AN84" s="56"/>
      <c r="AO84" s="56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5"/>
      <c r="CX84" s="5"/>
      <c r="CY84" s="5"/>
      <c r="CZ84" s="5"/>
    </row>
    <row r="85" spans="1:104" ht="15" customHeight="1" x14ac:dyDescent="0.25">
      <c r="B85" s="139">
        <v>14</v>
      </c>
      <c r="C85" s="139">
        <v>1</v>
      </c>
      <c r="D85" s="139" t="str">
        <f t="shared" si="84"/>
        <v>SORTING_WEST_L_2_23</v>
      </c>
      <c r="E85" s="139" t="s">
        <v>35</v>
      </c>
      <c r="F85" s="138" t="s">
        <v>45</v>
      </c>
      <c r="G85" s="140" t="s">
        <v>19</v>
      </c>
      <c r="H85" s="140" t="s">
        <v>13</v>
      </c>
      <c r="I85" s="140">
        <v>2</v>
      </c>
      <c r="J85" s="139"/>
      <c r="K85" s="184">
        <f>COUNT(AD85:BF85)</f>
        <v>9</v>
      </c>
      <c r="L85" s="139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101"/>
      <c r="AD85" s="8">
        <v>1</v>
      </c>
      <c r="AE85" s="3">
        <f>AD85+1</f>
        <v>2</v>
      </c>
      <c r="AF85" s="3">
        <f t="shared" ref="AF85:AU89" si="88">AE85+1</f>
        <v>3</v>
      </c>
      <c r="AG85" s="3">
        <f t="shared" si="88"/>
        <v>4</v>
      </c>
      <c r="AH85" s="3">
        <f t="shared" si="88"/>
        <v>5</v>
      </c>
      <c r="AI85" s="3">
        <f t="shared" si="88"/>
        <v>6</v>
      </c>
      <c r="AJ85" s="3">
        <f t="shared" si="88"/>
        <v>7</v>
      </c>
      <c r="AK85" s="3">
        <f t="shared" si="88"/>
        <v>8</v>
      </c>
      <c r="AL85" s="3">
        <f t="shared" si="88"/>
        <v>9</v>
      </c>
      <c r="AM85" s="4"/>
      <c r="AN85" s="4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5"/>
      <c r="CX85" s="5"/>
      <c r="CY85" s="5"/>
      <c r="CZ85" s="5"/>
    </row>
    <row r="86" spans="1:104" ht="15" customHeight="1" x14ac:dyDescent="0.25">
      <c r="B86" s="139">
        <v>14</v>
      </c>
      <c r="C86" s="139">
        <v>2</v>
      </c>
      <c r="D86" s="139" t="str">
        <f t="shared" si="84"/>
        <v>TRANSFER_WEST_L_2_23</v>
      </c>
      <c r="E86" s="139" t="s">
        <v>21</v>
      </c>
      <c r="F86" s="138" t="s">
        <v>21</v>
      </c>
      <c r="G86" s="140" t="s">
        <v>19</v>
      </c>
      <c r="H86" s="140" t="s">
        <v>13</v>
      </c>
      <c r="I86" s="140">
        <v>2</v>
      </c>
      <c r="J86" s="139"/>
      <c r="K86" s="184">
        <f>COUNT(AD86:BF86)</f>
        <v>11</v>
      </c>
      <c r="L86" s="139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101"/>
      <c r="AD86" s="8">
        <v>1</v>
      </c>
      <c r="AE86" s="3">
        <f>AD86+1</f>
        <v>2</v>
      </c>
      <c r="AF86" s="3">
        <f t="shared" si="88"/>
        <v>3</v>
      </c>
      <c r="AG86" s="3">
        <f t="shared" si="88"/>
        <v>4</v>
      </c>
      <c r="AH86" s="3">
        <f t="shared" si="88"/>
        <v>5</v>
      </c>
      <c r="AI86" s="3">
        <f t="shared" si="88"/>
        <v>6</v>
      </c>
      <c r="AJ86" s="3">
        <f t="shared" si="88"/>
        <v>7</v>
      </c>
      <c r="AK86" s="3">
        <f t="shared" si="88"/>
        <v>8</v>
      </c>
      <c r="AL86" s="3">
        <f t="shared" si="88"/>
        <v>9</v>
      </c>
      <c r="AM86" s="3">
        <f t="shared" si="88"/>
        <v>10</v>
      </c>
      <c r="AN86" s="3">
        <f t="shared" si="88"/>
        <v>11</v>
      </c>
      <c r="AO86" s="4"/>
      <c r="AP86" s="4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5"/>
      <c r="CX86" s="5"/>
      <c r="CY86" s="5"/>
      <c r="CZ86" s="5"/>
    </row>
    <row r="87" spans="1:104" ht="15" customHeight="1" x14ac:dyDescent="0.25">
      <c r="B87" s="139">
        <v>14</v>
      </c>
      <c r="C87" s="139">
        <v>3</v>
      </c>
      <c r="D87" s="139" t="str">
        <f t="shared" si="84"/>
        <v>PREPARE_WEST_L_2_23</v>
      </c>
      <c r="E87" s="139" t="s">
        <v>0</v>
      </c>
      <c r="F87" s="138" t="s">
        <v>46</v>
      </c>
      <c r="G87" s="140" t="s">
        <v>19</v>
      </c>
      <c r="H87" s="140" t="s">
        <v>13</v>
      </c>
      <c r="I87" s="140">
        <v>2</v>
      </c>
      <c r="J87" s="141"/>
      <c r="K87" s="184">
        <f>COUNT(M87:BF87)</f>
        <v>31</v>
      </c>
      <c r="L87" s="139"/>
      <c r="M87" s="3">
        <v>1</v>
      </c>
      <c r="N87" s="3">
        <f>M87+1</f>
        <v>2</v>
      </c>
      <c r="O87" s="3">
        <f t="shared" ref="O87:AL89" si="89">N87+1</f>
        <v>3</v>
      </c>
      <c r="P87" s="3">
        <f t="shared" si="89"/>
        <v>4</v>
      </c>
      <c r="Q87" s="3">
        <f t="shared" si="89"/>
        <v>5</v>
      </c>
      <c r="R87" s="3">
        <f t="shared" si="89"/>
        <v>6</v>
      </c>
      <c r="S87" s="3">
        <f t="shared" si="89"/>
        <v>7</v>
      </c>
      <c r="T87" s="3">
        <f t="shared" si="89"/>
        <v>8</v>
      </c>
      <c r="U87" s="3">
        <f t="shared" si="89"/>
        <v>9</v>
      </c>
      <c r="V87" s="3">
        <f t="shared" si="89"/>
        <v>10</v>
      </c>
      <c r="W87" s="3">
        <f t="shared" si="89"/>
        <v>11</v>
      </c>
      <c r="X87" s="3">
        <f t="shared" si="89"/>
        <v>12</v>
      </c>
      <c r="Y87" s="3">
        <f t="shared" si="89"/>
        <v>13</v>
      </c>
      <c r="Z87" s="3">
        <f t="shared" si="89"/>
        <v>14</v>
      </c>
      <c r="AA87" s="3">
        <f t="shared" si="89"/>
        <v>15</v>
      </c>
      <c r="AB87" s="3">
        <f t="shared" si="89"/>
        <v>16</v>
      </c>
      <c r="AC87" s="3">
        <f t="shared" si="89"/>
        <v>17</v>
      </c>
      <c r="AD87" s="3">
        <f t="shared" si="89"/>
        <v>18</v>
      </c>
      <c r="AE87" s="3">
        <f t="shared" si="89"/>
        <v>19</v>
      </c>
      <c r="AF87" s="3">
        <f t="shared" si="89"/>
        <v>20</v>
      </c>
      <c r="AG87" s="3">
        <f t="shared" si="89"/>
        <v>21</v>
      </c>
      <c r="AH87" s="3">
        <f t="shared" si="89"/>
        <v>22</v>
      </c>
      <c r="AI87" s="3">
        <f t="shared" si="89"/>
        <v>23</v>
      </c>
      <c r="AJ87" s="3">
        <f t="shared" si="89"/>
        <v>24</v>
      </c>
      <c r="AK87" s="3">
        <f t="shared" si="89"/>
        <v>25</v>
      </c>
      <c r="AL87" s="3">
        <f t="shared" si="89"/>
        <v>26</v>
      </c>
      <c r="AM87" s="3">
        <f t="shared" si="88"/>
        <v>27</v>
      </c>
      <c r="AN87" s="3">
        <f t="shared" si="88"/>
        <v>28</v>
      </c>
      <c r="AO87" s="3">
        <f t="shared" si="88"/>
        <v>29</v>
      </c>
      <c r="AP87" s="3">
        <f t="shared" si="88"/>
        <v>30</v>
      </c>
      <c r="AQ87" s="3">
        <f t="shared" si="88"/>
        <v>31</v>
      </c>
      <c r="AR87" s="4"/>
      <c r="AS87" s="4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5"/>
      <c r="CX87" s="5"/>
      <c r="CY87" s="5"/>
      <c r="CZ87" s="5"/>
    </row>
    <row r="88" spans="1:104" ht="15" customHeight="1" x14ac:dyDescent="0.25">
      <c r="B88" s="139">
        <v>14</v>
      </c>
      <c r="C88" s="139">
        <v>4</v>
      </c>
      <c r="D88" s="139" t="str">
        <f t="shared" si="84"/>
        <v>SUPPLY_WEST_L_2_23</v>
      </c>
      <c r="E88" s="139" t="s">
        <v>0</v>
      </c>
      <c r="F88" s="142" t="s">
        <v>0</v>
      </c>
      <c r="G88" s="140" t="s">
        <v>19</v>
      </c>
      <c r="H88" s="140" t="s">
        <v>13</v>
      </c>
      <c r="I88" s="140">
        <v>2</v>
      </c>
      <c r="J88" s="143"/>
      <c r="K88" s="184">
        <f>COUNT(AJ88:CC88)</f>
        <v>10</v>
      </c>
      <c r="L88" s="140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101"/>
      <c r="AD88" s="42"/>
      <c r="AE88" s="46"/>
      <c r="AF88" s="46"/>
      <c r="AG88" s="46"/>
      <c r="AH88" s="46"/>
      <c r="AI88" s="57"/>
      <c r="AJ88" s="86">
        <v>1</v>
      </c>
      <c r="AK88" s="86">
        <f>AJ88+1</f>
        <v>2</v>
      </c>
      <c r="AL88" s="86">
        <f t="shared" si="89"/>
        <v>3</v>
      </c>
      <c r="AM88" s="86">
        <f t="shared" si="88"/>
        <v>4</v>
      </c>
      <c r="AN88" s="86">
        <f t="shared" si="88"/>
        <v>5</v>
      </c>
      <c r="AO88" s="86">
        <f t="shared" si="88"/>
        <v>6</v>
      </c>
      <c r="AP88" s="86">
        <f t="shared" si="88"/>
        <v>7</v>
      </c>
      <c r="AQ88" s="86">
        <f t="shared" si="88"/>
        <v>8</v>
      </c>
      <c r="AR88" s="86">
        <f t="shared" si="88"/>
        <v>9</v>
      </c>
      <c r="AS88" s="86">
        <f t="shared" si="88"/>
        <v>10</v>
      </c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97"/>
      <c r="BG88" s="4"/>
      <c r="BH88" s="4"/>
      <c r="BI88" s="4"/>
      <c r="BJ88" s="4"/>
      <c r="BK88" s="4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5"/>
      <c r="CX88" s="5"/>
      <c r="CY88" s="5"/>
      <c r="CZ88" s="5"/>
    </row>
    <row r="89" spans="1:104" ht="15" customHeight="1" x14ac:dyDescent="0.25">
      <c r="B89" s="139">
        <v>14</v>
      </c>
      <c r="C89" s="140">
        <v>5</v>
      </c>
      <c r="D89" s="139" t="str">
        <f t="shared" si="84"/>
        <v>EMPTY_WEST_L_2_23</v>
      </c>
      <c r="E89" s="140" t="s">
        <v>0</v>
      </c>
      <c r="F89" s="142" t="s">
        <v>32</v>
      </c>
      <c r="G89" s="140" t="s">
        <v>19</v>
      </c>
      <c r="H89" s="140" t="s">
        <v>13</v>
      </c>
      <c r="I89" s="140">
        <v>2</v>
      </c>
      <c r="J89" s="139"/>
      <c r="K89" s="184">
        <f>COUNT(AJ89:CC89)</f>
        <v>28</v>
      </c>
      <c r="L89" s="139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101"/>
      <c r="AD89" s="42"/>
      <c r="AE89" s="46"/>
      <c r="AF89" s="46"/>
      <c r="AG89" s="46"/>
      <c r="AH89" s="46"/>
      <c r="AI89" s="57"/>
      <c r="AJ89" s="86">
        <v>1</v>
      </c>
      <c r="AK89" s="86">
        <f>AJ89+1</f>
        <v>2</v>
      </c>
      <c r="AL89" s="86">
        <f t="shared" si="89"/>
        <v>3</v>
      </c>
      <c r="AM89" s="86">
        <f t="shared" si="88"/>
        <v>4</v>
      </c>
      <c r="AN89" s="86">
        <f t="shared" si="88"/>
        <v>5</v>
      </c>
      <c r="AO89" s="86">
        <f t="shared" si="88"/>
        <v>6</v>
      </c>
      <c r="AP89" s="86">
        <f t="shared" si="88"/>
        <v>7</v>
      </c>
      <c r="AQ89" s="86">
        <f t="shared" si="88"/>
        <v>8</v>
      </c>
      <c r="AR89" s="86">
        <f t="shared" si="88"/>
        <v>9</v>
      </c>
      <c r="AS89" s="86">
        <f t="shared" si="88"/>
        <v>10</v>
      </c>
      <c r="AT89" s="86">
        <f t="shared" si="88"/>
        <v>11</v>
      </c>
      <c r="AU89" s="86">
        <f t="shared" si="88"/>
        <v>12</v>
      </c>
      <c r="AV89" s="86">
        <f t="shared" ref="AV89:BK89" si="90">AU89+1</f>
        <v>13</v>
      </c>
      <c r="AW89" s="86">
        <f t="shared" si="90"/>
        <v>14</v>
      </c>
      <c r="AX89" s="86">
        <f t="shared" si="90"/>
        <v>15</v>
      </c>
      <c r="AY89" s="86">
        <f t="shared" si="90"/>
        <v>16</v>
      </c>
      <c r="AZ89" s="86">
        <f t="shared" si="90"/>
        <v>17</v>
      </c>
      <c r="BA89" s="86">
        <f t="shared" si="90"/>
        <v>18</v>
      </c>
      <c r="BB89" s="86">
        <f t="shared" si="90"/>
        <v>19</v>
      </c>
      <c r="BC89" s="86">
        <f t="shared" si="90"/>
        <v>20</v>
      </c>
      <c r="BD89" s="86">
        <f t="shared" si="90"/>
        <v>21</v>
      </c>
      <c r="BE89" s="86">
        <f t="shared" si="90"/>
        <v>22</v>
      </c>
      <c r="BF89" s="86">
        <f t="shared" si="90"/>
        <v>23</v>
      </c>
      <c r="BG89" s="86">
        <f t="shared" si="90"/>
        <v>24</v>
      </c>
      <c r="BH89" s="86">
        <f t="shared" si="90"/>
        <v>25</v>
      </c>
      <c r="BI89" s="86">
        <f t="shared" si="90"/>
        <v>26</v>
      </c>
      <c r="BJ89" s="86">
        <f t="shared" si="90"/>
        <v>27</v>
      </c>
      <c r="BK89" s="86">
        <f t="shared" si="90"/>
        <v>28</v>
      </c>
      <c r="BL89" s="46"/>
      <c r="BM89" s="4"/>
      <c r="BN89" s="4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5"/>
      <c r="CX89" s="5"/>
      <c r="CY89" s="5"/>
      <c r="CZ89" s="5"/>
    </row>
    <row r="90" spans="1:104" ht="15" customHeight="1" x14ac:dyDescent="0.25">
      <c r="B90" s="139">
        <v>14</v>
      </c>
      <c r="C90" s="140">
        <v>6</v>
      </c>
      <c r="D90" s="139" t="str">
        <f t="shared" si="84"/>
        <v>COUNTDOWN_WEST_L_2_23</v>
      </c>
      <c r="E90" s="140"/>
      <c r="F90" s="142" t="s">
        <v>33</v>
      </c>
      <c r="G90" s="140" t="s">
        <v>19</v>
      </c>
      <c r="H90" s="140" t="s">
        <v>13</v>
      </c>
      <c r="I90" s="140">
        <v>2</v>
      </c>
      <c r="J90" s="144"/>
      <c r="K90" s="144"/>
      <c r="L90" s="140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101"/>
      <c r="AD90" s="8"/>
      <c r="AE90" s="3"/>
      <c r="AF90" s="3"/>
      <c r="AG90" s="3"/>
      <c r="AH90" s="3"/>
      <c r="AI90" s="31"/>
      <c r="AJ90" s="132"/>
      <c r="AK90" s="132"/>
      <c r="AL90" s="132"/>
      <c r="AM90" s="6"/>
      <c r="AN90" s="46"/>
      <c r="AO90" s="46"/>
      <c r="AP90" s="56"/>
      <c r="AQ90" s="56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5"/>
      <c r="CX90" s="5"/>
      <c r="CY90" s="5"/>
      <c r="CZ90" s="5"/>
    </row>
    <row r="91" spans="1:104" ht="15" customHeight="1" x14ac:dyDescent="0.25">
      <c r="B91" s="139">
        <v>16</v>
      </c>
      <c r="C91" s="139">
        <v>1</v>
      </c>
      <c r="D91" s="139" t="str">
        <f t="shared" si="84"/>
        <v>SORTING_WEST_N_1_23</v>
      </c>
      <c r="E91" s="139" t="s">
        <v>35</v>
      </c>
      <c r="F91" s="138" t="s">
        <v>45</v>
      </c>
      <c r="G91" s="140" t="s">
        <v>19</v>
      </c>
      <c r="H91" s="140" t="s">
        <v>15</v>
      </c>
      <c r="I91" s="140">
        <v>1</v>
      </c>
      <c r="J91" s="139"/>
      <c r="K91" s="184">
        <f>COUNT(AD91:BF91)</f>
        <v>11</v>
      </c>
      <c r="L91" s="139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101"/>
      <c r="AD91" s="8">
        <v>1</v>
      </c>
      <c r="AE91" s="3">
        <f>AD91+1</f>
        <v>2</v>
      </c>
      <c r="AF91" s="3">
        <f t="shared" ref="AF91:AU95" si="91">AE91+1</f>
        <v>3</v>
      </c>
      <c r="AG91" s="3">
        <f t="shared" si="91"/>
        <v>4</v>
      </c>
      <c r="AH91" s="3">
        <f t="shared" si="91"/>
        <v>5</v>
      </c>
      <c r="AI91" s="3">
        <f t="shared" si="91"/>
        <v>6</v>
      </c>
      <c r="AJ91" s="3">
        <f t="shared" si="91"/>
        <v>7</v>
      </c>
      <c r="AK91" s="3">
        <f t="shared" si="91"/>
        <v>8</v>
      </c>
      <c r="AL91" s="3">
        <f t="shared" si="91"/>
        <v>9</v>
      </c>
      <c r="AM91" s="3">
        <f t="shared" si="91"/>
        <v>10</v>
      </c>
      <c r="AN91" s="3">
        <f t="shared" si="91"/>
        <v>11</v>
      </c>
      <c r="AO91" s="4"/>
      <c r="AP91" s="4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5"/>
      <c r="CX91" s="5"/>
      <c r="CY91" s="5"/>
      <c r="CZ91" s="5"/>
    </row>
    <row r="92" spans="1:104" ht="15" customHeight="1" x14ac:dyDescent="0.25">
      <c r="B92" s="139">
        <v>16</v>
      </c>
      <c r="C92" s="139">
        <v>2</v>
      </c>
      <c r="D92" s="139" t="str">
        <f t="shared" si="84"/>
        <v>TRANSFER_WEST_N_1_23</v>
      </c>
      <c r="E92" s="139" t="s">
        <v>21</v>
      </c>
      <c r="F92" s="138" t="s">
        <v>21</v>
      </c>
      <c r="G92" s="140" t="s">
        <v>19</v>
      </c>
      <c r="H92" s="140" t="s">
        <v>15</v>
      </c>
      <c r="I92" s="140">
        <v>1</v>
      </c>
      <c r="J92" s="139"/>
      <c r="K92" s="184">
        <f>COUNT(AD92:BF92)</f>
        <v>13</v>
      </c>
      <c r="L92" s="139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101"/>
      <c r="AD92" s="8">
        <v>1</v>
      </c>
      <c r="AE92" s="3">
        <f>AD92+1</f>
        <v>2</v>
      </c>
      <c r="AF92" s="3">
        <f t="shared" si="91"/>
        <v>3</v>
      </c>
      <c r="AG92" s="3">
        <f t="shared" si="91"/>
        <v>4</v>
      </c>
      <c r="AH92" s="3">
        <f t="shared" si="91"/>
        <v>5</v>
      </c>
      <c r="AI92" s="3">
        <f t="shared" si="91"/>
        <v>6</v>
      </c>
      <c r="AJ92" s="3">
        <f t="shared" si="91"/>
        <v>7</v>
      </c>
      <c r="AK92" s="3">
        <f t="shared" si="91"/>
        <v>8</v>
      </c>
      <c r="AL92" s="3">
        <f t="shared" si="91"/>
        <v>9</v>
      </c>
      <c r="AM92" s="3">
        <f t="shared" si="91"/>
        <v>10</v>
      </c>
      <c r="AN92" s="3">
        <f t="shared" si="91"/>
        <v>11</v>
      </c>
      <c r="AO92" s="3">
        <f t="shared" si="91"/>
        <v>12</v>
      </c>
      <c r="AP92" s="3">
        <f t="shared" si="91"/>
        <v>13</v>
      </c>
      <c r="AQ92" s="4"/>
      <c r="AR92" s="4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5"/>
      <c r="CX92" s="5"/>
      <c r="CY92" s="5"/>
      <c r="CZ92" s="5"/>
    </row>
    <row r="93" spans="1:104" ht="15" customHeight="1" x14ac:dyDescent="0.25">
      <c r="B93" s="139">
        <v>16</v>
      </c>
      <c r="C93" s="139">
        <v>3</v>
      </c>
      <c r="D93" s="139" t="str">
        <f t="shared" si="84"/>
        <v>PREPARE_WEST_N_1_23</v>
      </c>
      <c r="E93" s="139" t="s">
        <v>0</v>
      </c>
      <c r="F93" s="138" t="s">
        <v>46</v>
      </c>
      <c r="G93" s="140" t="s">
        <v>19</v>
      </c>
      <c r="H93" s="140" t="s">
        <v>15</v>
      </c>
      <c r="I93" s="140">
        <v>1</v>
      </c>
      <c r="J93" s="141"/>
      <c r="K93" s="184">
        <f>COUNT(M93:BF93)</f>
        <v>33</v>
      </c>
      <c r="L93" s="139"/>
      <c r="M93" s="3">
        <v>1</v>
      </c>
      <c r="N93" s="3">
        <f>M93+1</f>
        <v>2</v>
      </c>
      <c r="O93" s="3">
        <f t="shared" ref="O93:AL95" si="92">N93+1</f>
        <v>3</v>
      </c>
      <c r="P93" s="3">
        <f t="shared" si="92"/>
        <v>4</v>
      </c>
      <c r="Q93" s="3">
        <f t="shared" si="92"/>
        <v>5</v>
      </c>
      <c r="R93" s="3">
        <f t="shared" si="92"/>
        <v>6</v>
      </c>
      <c r="S93" s="3">
        <f t="shared" si="92"/>
        <v>7</v>
      </c>
      <c r="T93" s="3">
        <f t="shared" si="92"/>
        <v>8</v>
      </c>
      <c r="U93" s="3">
        <f t="shared" si="92"/>
        <v>9</v>
      </c>
      <c r="V93" s="3">
        <f t="shared" si="92"/>
        <v>10</v>
      </c>
      <c r="W93" s="3">
        <f t="shared" si="92"/>
        <v>11</v>
      </c>
      <c r="X93" s="3">
        <f t="shared" si="92"/>
        <v>12</v>
      </c>
      <c r="Y93" s="3">
        <f t="shared" si="92"/>
        <v>13</v>
      </c>
      <c r="Z93" s="3">
        <f t="shared" si="92"/>
        <v>14</v>
      </c>
      <c r="AA93" s="3">
        <f t="shared" si="92"/>
        <v>15</v>
      </c>
      <c r="AB93" s="3">
        <f t="shared" si="92"/>
        <v>16</v>
      </c>
      <c r="AC93" s="3">
        <f t="shared" si="92"/>
        <v>17</v>
      </c>
      <c r="AD93" s="3">
        <f t="shared" si="92"/>
        <v>18</v>
      </c>
      <c r="AE93" s="3">
        <f t="shared" si="92"/>
        <v>19</v>
      </c>
      <c r="AF93" s="3">
        <f t="shared" si="92"/>
        <v>20</v>
      </c>
      <c r="AG93" s="3">
        <f t="shared" si="92"/>
        <v>21</v>
      </c>
      <c r="AH93" s="3">
        <f t="shared" si="92"/>
        <v>22</v>
      </c>
      <c r="AI93" s="3">
        <f t="shared" si="92"/>
        <v>23</v>
      </c>
      <c r="AJ93" s="3">
        <f t="shared" si="92"/>
        <v>24</v>
      </c>
      <c r="AK93" s="3">
        <f t="shared" si="92"/>
        <v>25</v>
      </c>
      <c r="AL93" s="3">
        <f t="shared" si="92"/>
        <v>26</v>
      </c>
      <c r="AM93" s="3">
        <f t="shared" si="91"/>
        <v>27</v>
      </c>
      <c r="AN93" s="3">
        <f t="shared" si="91"/>
        <v>28</v>
      </c>
      <c r="AO93" s="3">
        <f t="shared" si="91"/>
        <v>29</v>
      </c>
      <c r="AP93" s="3">
        <f t="shared" si="91"/>
        <v>30</v>
      </c>
      <c r="AQ93" s="3">
        <f t="shared" si="91"/>
        <v>31</v>
      </c>
      <c r="AR93" s="3">
        <f t="shared" si="91"/>
        <v>32</v>
      </c>
      <c r="AS93" s="3">
        <f t="shared" si="91"/>
        <v>33</v>
      </c>
      <c r="AT93" s="4"/>
      <c r="AU93" s="4"/>
      <c r="AV93" s="4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5"/>
      <c r="CX93" s="5"/>
      <c r="CY93" s="5"/>
      <c r="CZ93" s="5"/>
    </row>
    <row r="94" spans="1:104" ht="15" customHeight="1" x14ac:dyDescent="0.25">
      <c r="B94" s="139">
        <v>16</v>
      </c>
      <c r="C94" s="139">
        <v>4</v>
      </c>
      <c r="D94" s="139" t="str">
        <f t="shared" si="84"/>
        <v>SUPPLY_WEST_N_1_23</v>
      </c>
      <c r="E94" s="139" t="s">
        <v>0</v>
      </c>
      <c r="F94" s="142" t="s">
        <v>0</v>
      </c>
      <c r="G94" s="140" t="s">
        <v>19</v>
      </c>
      <c r="H94" s="140" t="s">
        <v>15</v>
      </c>
      <c r="I94" s="140">
        <v>1</v>
      </c>
      <c r="J94" s="143"/>
      <c r="K94" s="184">
        <f>COUNT(AJ94:CC94)</f>
        <v>13</v>
      </c>
      <c r="L94" s="140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101"/>
      <c r="AD94" s="42"/>
      <c r="AE94" s="46"/>
      <c r="AF94" s="46"/>
      <c r="AG94" s="46"/>
      <c r="AH94" s="46"/>
      <c r="AI94" s="57"/>
      <c r="AJ94" s="86">
        <v>1</v>
      </c>
      <c r="AK94" s="86">
        <f>AJ94+1</f>
        <v>2</v>
      </c>
      <c r="AL94" s="86">
        <f t="shared" si="92"/>
        <v>3</v>
      </c>
      <c r="AM94" s="86">
        <f t="shared" si="91"/>
        <v>4</v>
      </c>
      <c r="AN94" s="86">
        <f t="shared" si="91"/>
        <v>5</v>
      </c>
      <c r="AO94" s="86">
        <f t="shared" si="91"/>
        <v>6</v>
      </c>
      <c r="AP94" s="86">
        <f t="shared" si="91"/>
        <v>7</v>
      </c>
      <c r="AQ94" s="86">
        <f t="shared" si="91"/>
        <v>8</v>
      </c>
      <c r="AR94" s="86">
        <f t="shared" si="91"/>
        <v>9</v>
      </c>
      <c r="AS94" s="86">
        <f t="shared" si="91"/>
        <v>10</v>
      </c>
      <c r="AT94" s="86">
        <f t="shared" si="91"/>
        <v>11</v>
      </c>
      <c r="AU94" s="86">
        <f t="shared" si="91"/>
        <v>12</v>
      </c>
      <c r="AV94" s="86">
        <f t="shared" ref="AV94:BK95" si="93">AU94+1</f>
        <v>13</v>
      </c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97"/>
      <c r="BM94" s="4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5"/>
      <c r="CX94" s="5"/>
      <c r="CY94" s="5"/>
      <c r="CZ94" s="5"/>
    </row>
    <row r="95" spans="1:104" ht="15" customHeight="1" x14ac:dyDescent="0.25">
      <c r="B95" s="139">
        <v>16</v>
      </c>
      <c r="C95" s="140">
        <v>5</v>
      </c>
      <c r="D95" s="139" t="str">
        <f t="shared" si="84"/>
        <v>EMPTY_WEST_N_1_23</v>
      </c>
      <c r="E95" s="140" t="s">
        <v>0</v>
      </c>
      <c r="F95" s="142" t="s">
        <v>32</v>
      </c>
      <c r="G95" s="140" t="s">
        <v>19</v>
      </c>
      <c r="H95" s="140" t="s">
        <v>15</v>
      </c>
      <c r="I95" s="140">
        <v>1</v>
      </c>
      <c r="J95" s="139"/>
      <c r="K95" s="184">
        <f>COUNT(AJ95:CC95)</f>
        <v>30</v>
      </c>
      <c r="L95" s="139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101"/>
      <c r="AD95" s="42"/>
      <c r="AE95" s="46"/>
      <c r="AF95" s="46"/>
      <c r="AG95" s="46"/>
      <c r="AH95" s="46"/>
      <c r="AI95" s="57"/>
      <c r="AJ95" s="86">
        <v>1</v>
      </c>
      <c r="AK95" s="86">
        <f>AJ95+1</f>
        <v>2</v>
      </c>
      <c r="AL95" s="86">
        <f t="shared" si="92"/>
        <v>3</v>
      </c>
      <c r="AM95" s="86">
        <f t="shared" si="91"/>
        <v>4</v>
      </c>
      <c r="AN95" s="86">
        <f t="shared" si="91"/>
        <v>5</v>
      </c>
      <c r="AO95" s="86">
        <f t="shared" si="91"/>
        <v>6</v>
      </c>
      <c r="AP95" s="86">
        <f t="shared" si="91"/>
        <v>7</v>
      </c>
      <c r="AQ95" s="86">
        <f t="shared" si="91"/>
        <v>8</v>
      </c>
      <c r="AR95" s="86">
        <f t="shared" si="91"/>
        <v>9</v>
      </c>
      <c r="AS95" s="86">
        <f t="shared" si="91"/>
        <v>10</v>
      </c>
      <c r="AT95" s="86">
        <f t="shared" si="91"/>
        <v>11</v>
      </c>
      <c r="AU95" s="86">
        <f t="shared" si="91"/>
        <v>12</v>
      </c>
      <c r="AV95" s="86">
        <f t="shared" si="93"/>
        <v>13</v>
      </c>
      <c r="AW95" s="86">
        <f t="shared" si="93"/>
        <v>14</v>
      </c>
      <c r="AX95" s="86">
        <f t="shared" si="93"/>
        <v>15</v>
      </c>
      <c r="AY95" s="86">
        <f t="shared" si="93"/>
        <v>16</v>
      </c>
      <c r="AZ95" s="86">
        <f t="shared" si="93"/>
        <v>17</v>
      </c>
      <c r="BA95" s="86">
        <f t="shared" si="93"/>
        <v>18</v>
      </c>
      <c r="BB95" s="86">
        <f t="shared" si="93"/>
        <v>19</v>
      </c>
      <c r="BC95" s="86">
        <f t="shared" si="93"/>
        <v>20</v>
      </c>
      <c r="BD95" s="86">
        <f t="shared" si="93"/>
        <v>21</v>
      </c>
      <c r="BE95" s="86">
        <f t="shared" si="93"/>
        <v>22</v>
      </c>
      <c r="BF95" s="86">
        <f t="shared" si="93"/>
        <v>23</v>
      </c>
      <c r="BG95" s="86">
        <f t="shared" si="93"/>
        <v>24</v>
      </c>
      <c r="BH95" s="86">
        <f t="shared" si="93"/>
        <v>25</v>
      </c>
      <c r="BI95" s="86">
        <f t="shared" si="93"/>
        <v>26</v>
      </c>
      <c r="BJ95" s="86">
        <f t="shared" si="93"/>
        <v>27</v>
      </c>
      <c r="BK95" s="86">
        <f t="shared" si="93"/>
        <v>28</v>
      </c>
      <c r="BL95" s="86">
        <f t="shared" ref="BL95:BM95" si="94">BK95+1</f>
        <v>29</v>
      </c>
      <c r="BM95" s="86">
        <f t="shared" si="94"/>
        <v>30</v>
      </c>
      <c r="BN95" s="46"/>
      <c r="BO95" s="4"/>
      <c r="BP95" s="4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5"/>
      <c r="CX95" s="5"/>
      <c r="CY95" s="5"/>
      <c r="CZ95" s="5"/>
    </row>
    <row r="96" spans="1:104" ht="15" customHeight="1" x14ac:dyDescent="0.25">
      <c r="B96" s="139">
        <v>16</v>
      </c>
      <c r="C96" s="140">
        <v>6</v>
      </c>
      <c r="D96" s="139" t="str">
        <f t="shared" si="84"/>
        <v>COUNTDOWN_WEST_N_1_23</v>
      </c>
      <c r="E96" s="140"/>
      <c r="F96" s="142" t="s">
        <v>33</v>
      </c>
      <c r="G96" s="140" t="s">
        <v>19</v>
      </c>
      <c r="H96" s="140" t="s">
        <v>15</v>
      </c>
      <c r="I96" s="140">
        <v>1</v>
      </c>
      <c r="J96" s="144"/>
      <c r="K96" s="144"/>
      <c r="L96" s="140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101"/>
      <c r="AD96" s="42"/>
      <c r="AE96" s="46"/>
      <c r="AF96" s="46"/>
      <c r="AG96" s="46"/>
      <c r="AH96" s="46"/>
      <c r="AI96" s="57"/>
      <c r="AJ96" s="133"/>
      <c r="AK96" s="133"/>
      <c r="AL96" s="133"/>
      <c r="AM96" s="46"/>
      <c r="AN96" s="46"/>
      <c r="AO96" s="46"/>
      <c r="AP96" s="6"/>
      <c r="AQ96" s="6"/>
      <c r="AR96" s="46"/>
      <c r="AS96" s="46"/>
      <c r="AT96" s="56"/>
      <c r="AU96" s="56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5"/>
      <c r="CX96" s="5"/>
      <c r="CY96" s="5"/>
      <c r="CZ96" s="5"/>
    </row>
    <row r="97" spans="1:104" ht="15" customHeight="1" x14ac:dyDescent="0.25">
      <c r="B97" s="139">
        <v>17</v>
      </c>
      <c r="C97" s="139">
        <v>1</v>
      </c>
      <c r="D97" s="139" t="str">
        <f t="shared" si="84"/>
        <v>SORTING_WEST_J_2_23</v>
      </c>
      <c r="E97" s="139" t="s">
        <v>35</v>
      </c>
      <c r="F97" s="138" t="s">
        <v>45</v>
      </c>
      <c r="G97" s="140" t="s">
        <v>19</v>
      </c>
      <c r="H97" s="140" t="s">
        <v>11</v>
      </c>
      <c r="I97" s="140">
        <v>2</v>
      </c>
      <c r="J97" s="139"/>
      <c r="K97" s="184">
        <f>COUNT(AD97:BF97)</f>
        <v>13</v>
      </c>
      <c r="L97" s="139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101"/>
      <c r="AD97" s="8">
        <v>1</v>
      </c>
      <c r="AE97" s="3">
        <f>AD97+1</f>
        <v>2</v>
      </c>
      <c r="AF97" s="3">
        <f t="shared" ref="AF97:AR98" si="95">AE97+1</f>
        <v>3</v>
      </c>
      <c r="AG97" s="3">
        <f t="shared" si="95"/>
        <v>4</v>
      </c>
      <c r="AH97" s="3">
        <f t="shared" si="95"/>
        <v>5</v>
      </c>
      <c r="AI97" s="3">
        <f t="shared" si="95"/>
        <v>6</v>
      </c>
      <c r="AJ97" s="3">
        <f t="shared" si="95"/>
        <v>7</v>
      </c>
      <c r="AK97" s="3">
        <f t="shared" si="95"/>
        <v>8</v>
      </c>
      <c r="AL97" s="3">
        <f t="shared" si="95"/>
        <v>9</v>
      </c>
      <c r="AM97" s="3">
        <f t="shared" si="95"/>
        <v>10</v>
      </c>
      <c r="AN97" s="3">
        <f t="shared" si="95"/>
        <v>11</v>
      </c>
      <c r="AO97" s="3">
        <f t="shared" si="95"/>
        <v>12</v>
      </c>
      <c r="AP97" s="3">
        <f t="shared" si="95"/>
        <v>13</v>
      </c>
      <c r="AQ97" s="4"/>
      <c r="AR97" s="4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5"/>
      <c r="CX97" s="5"/>
      <c r="CY97" s="5"/>
      <c r="CZ97" s="5"/>
    </row>
    <row r="98" spans="1:104" ht="15" customHeight="1" x14ac:dyDescent="0.25">
      <c r="B98" s="139">
        <v>17</v>
      </c>
      <c r="C98" s="139">
        <v>2</v>
      </c>
      <c r="D98" s="139" t="str">
        <f t="shared" si="84"/>
        <v>TRANSFER_WEST_J_2_23</v>
      </c>
      <c r="E98" s="139" t="s">
        <v>21</v>
      </c>
      <c r="F98" s="138" t="s">
        <v>21</v>
      </c>
      <c r="G98" s="140" t="s">
        <v>19</v>
      </c>
      <c r="H98" s="140" t="s">
        <v>11</v>
      </c>
      <c r="I98" s="140">
        <v>2</v>
      </c>
      <c r="J98" s="139"/>
      <c r="K98" s="184">
        <f>COUNT(AD98:BF98)</f>
        <v>15</v>
      </c>
      <c r="L98" s="139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101"/>
      <c r="AD98" s="8">
        <v>1</v>
      </c>
      <c r="AE98" s="3">
        <f>AD98+1</f>
        <v>2</v>
      </c>
      <c r="AF98" s="3">
        <f t="shared" si="95"/>
        <v>3</v>
      </c>
      <c r="AG98" s="3">
        <f t="shared" si="95"/>
        <v>4</v>
      </c>
      <c r="AH98" s="3">
        <f t="shared" si="95"/>
        <v>5</v>
      </c>
      <c r="AI98" s="3">
        <f t="shared" si="95"/>
        <v>6</v>
      </c>
      <c r="AJ98" s="3">
        <f t="shared" si="95"/>
        <v>7</v>
      </c>
      <c r="AK98" s="3">
        <f t="shared" si="95"/>
        <v>8</v>
      </c>
      <c r="AL98" s="3">
        <f t="shared" si="95"/>
        <v>9</v>
      </c>
      <c r="AM98" s="3">
        <f t="shared" si="95"/>
        <v>10</v>
      </c>
      <c r="AN98" s="3">
        <f t="shared" si="95"/>
        <v>11</v>
      </c>
      <c r="AO98" s="3">
        <f t="shared" si="95"/>
        <v>12</v>
      </c>
      <c r="AP98" s="3">
        <f t="shared" si="95"/>
        <v>13</v>
      </c>
      <c r="AQ98" s="3">
        <f t="shared" si="95"/>
        <v>14</v>
      </c>
      <c r="AR98" s="3">
        <f t="shared" si="95"/>
        <v>15</v>
      </c>
      <c r="AS98" s="4"/>
      <c r="AT98" s="4"/>
      <c r="AU98" s="4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5"/>
      <c r="CX98" s="5"/>
      <c r="CY98" s="5"/>
      <c r="CZ98" s="5"/>
    </row>
    <row r="99" spans="1:104" ht="15" customHeight="1" x14ac:dyDescent="0.25">
      <c r="B99" s="139">
        <v>17</v>
      </c>
      <c r="C99" s="139">
        <v>3</v>
      </c>
      <c r="D99" s="139" t="str">
        <f t="shared" si="84"/>
        <v>PREPARE_WEST_J_2_23</v>
      </c>
      <c r="E99" s="139" t="s">
        <v>0</v>
      </c>
      <c r="F99" s="138" t="s">
        <v>46</v>
      </c>
      <c r="G99" s="140" t="s">
        <v>19</v>
      </c>
      <c r="H99" s="140" t="s">
        <v>11</v>
      </c>
      <c r="I99" s="140">
        <v>2</v>
      </c>
      <c r="J99" s="141"/>
      <c r="K99" s="184">
        <f>COUNT(M99:BF99)</f>
        <v>36</v>
      </c>
      <c r="L99" s="139"/>
      <c r="M99" s="3">
        <v>1</v>
      </c>
      <c r="N99" s="3">
        <f>M99+1</f>
        <v>2</v>
      </c>
      <c r="O99" s="3">
        <f t="shared" ref="O99:AV101" si="96">N99+1</f>
        <v>3</v>
      </c>
      <c r="P99" s="3">
        <f t="shared" si="96"/>
        <v>4</v>
      </c>
      <c r="Q99" s="3">
        <f t="shared" si="96"/>
        <v>5</v>
      </c>
      <c r="R99" s="3">
        <f t="shared" si="96"/>
        <v>6</v>
      </c>
      <c r="S99" s="3">
        <f t="shared" si="96"/>
        <v>7</v>
      </c>
      <c r="T99" s="3">
        <f t="shared" si="96"/>
        <v>8</v>
      </c>
      <c r="U99" s="3">
        <f t="shared" si="96"/>
        <v>9</v>
      </c>
      <c r="V99" s="3">
        <f t="shared" si="96"/>
        <v>10</v>
      </c>
      <c r="W99" s="3">
        <f t="shared" si="96"/>
        <v>11</v>
      </c>
      <c r="X99" s="3">
        <f t="shared" si="96"/>
        <v>12</v>
      </c>
      <c r="Y99" s="3">
        <f t="shared" si="96"/>
        <v>13</v>
      </c>
      <c r="Z99" s="3">
        <f t="shared" si="96"/>
        <v>14</v>
      </c>
      <c r="AA99" s="3">
        <f t="shared" si="96"/>
        <v>15</v>
      </c>
      <c r="AB99" s="3">
        <f t="shared" si="96"/>
        <v>16</v>
      </c>
      <c r="AC99" s="3">
        <f t="shared" si="96"/>
        <v>17</v>
      </c>
      <c r="AD99" s="3">
        <f t="shared" si="96"/>
        <v>18</v>
      </c>
      <c r="AE99" s="3">
        <f t="shared" si="96"/>
        <v>19</v>
      </c>
      <c r="AF99" s="3">
        <f t="shared" si="96"/>
        <v>20</v>
      </c>
      <c r="AG99" s="3">
        <f t="shared" si="96"/>
        <v>21</v>
      </c>
      <c r="AH99" s="3">
        <f t="shared" si="96"/>
        <v>22</v>
      </c>
      <c r="AI99" s="3">
        <f t="shared" si="96"/>
        <v>23</v>
      </c>
      <c r="AJ99" s="3">
        <f t="shared" si="96"/>
        <v>24</v>
      </c>
      <c r="AK99" s="3">
        <f t="shared" si="96"/>
        <v>25</v>
      </c>
      <c r="AL99" s="3">
        <f t="shared" si="96"/>
        <v>26</v>
      </c>
      <c r="AM99" s="3">
        <f t="shared" si="96"/>
        <v>27</v>
      </c>
      <c r="AN99" s="3">
        <f t="shared" si="96"/>
        <v>28</v>
      </c>
      <c r="AO99" s="3">
        <f t="shared" si="96"/>
        <v>29</v>
      </c>
      <c r="AP99" s="3">
        <f t="shared" si="96"/>
        <v>30</v>
      </c>
      <c r="AQ99" s="3">
        <f t="shared" si="96"/>
        <v>31</v>
      </c>
      <c r="AR99" s="3">
        <f t="shared" si="96"/>
        <v>32</v>
      </c>
      <c r="AS99" s="3">
        <f t="shared" si="96"/>
        <v>33</v>
      </c>
      <c r="AT99" s="3">
        <f t="shared" si="96"/>
        <v>34</v>
      </c>
      <c r="AU99" s="3">
        <f t="shared" si="96"/>
        <v>35</v>
      </c>
      <c r="AV99" s="3">
        <f t="shared" si="96"/>
        <v>36</v>
      </c>
      <c r="AW99" s="4"/>
      <c r="AX99" s="4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5"/>
      <c r="CX99" s="5"/>
      <c r="CY99" s="5"/>
      <c r="CZ99" s="5"/>
    </row>
    <row r="100" spans="1:104" ht="15" customHeight="1" x14ac:dyDescent="0.25">
      <c r="B100" s="139">
        <v>17</v>
      </c>
      <c r="C100" s="139">
        <v>4</v>
      </c>
      <c r="D100" s="139" t="str">
        <f t="shared" si="84"/>
        <v>SUPPLY_WEST_J_2_23</v>
      </c>
      <c r="E100" s="139" t="s">
        <v>0</v>
      </c>
      <c r="F100" s="142" t="s">
        <v>0</v>
      </c>
      <c r="G100" s="140" t="s">
        <v>19</v>
      </c>
      <c r="H100" s="140" t="s">
        <v>11</v>
      </c>
      <c r="I100" s="140">
        <v>2</v>
      </c>
      <c r="J100" s="143"/>
      <c r="K100" s="184">
        <f>COUNT(AJ100:CC100)</f>
        <v>15</v>
      </c>
      <c r="L100" s="140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101"/>
      <c r="AD100" s="42"/>
      <c r="AE100" s="46"/>
      <c r="AF100" s="46"/>
      <c r="AG100" s="46"/>
      <c r="AH100" s="46"/>
      <c r="AI100" s="57"/>
      <c r="AJ100" s="86">
        <v>1</v>
      </c>
      <c r="AK100" s="86">
        <f>AJ100+1</f>
        <v>2</v>
      </c>
      <c r="AL100" s="86">
        <f t="shared" si="96"/>
        <v>3</v>
      </c>
      <c r="AM100" s="86">
        <f t="shared" si="96"/>
        <v>4</v>
      </c>
      <c r="AN100" s="86">
        <f t="shared" si="96"/>
        <v>5</v>
      </c>
      <c r="AO100" s="86">
        <f t="shared" si="96"/>
        <v>6</v>
      </c>
      <c r="AP100" s="86">
        <f t="shared" si="96"/>
        <v>7</v>
      </c>
      <c r="AQ100" s="86">
        <f t="shared" si="96"/>
        <v>8</v>
      </c>
      <c r="AR100" s="86">
        <f t="shared" si="96"/>
        <v>9</v>
      </c>
      <c r="AS100" s="86">
        <f t="shared" si="96"/>
        <v>10</v>
      </c>
      <c r="AT100" s="86">
        <f t="shared" si="96"/>
        <v>11</v>
      </c>
      <c r="AU100" s="86">
        <f t="shared" si="96"/>
        <v>12</v>
      </c>
      <c r="AV100" s="86">
        <f t="shared" ref="AV100:BK101" si="97">AU100+1</f>
        <v>13</v>
      </c>
      <c r="AW100" s="86">
        <f t="shared" si="97"/>
        <v>14</v>
      </c>
      <c r="AX100" s="86">
        <f t="shared" si="97"/>
        <v>15</v>
      </c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97"/>
      <c r="BO100" s="4"/>
      <c r="BP100" s="4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5"/>
      <c r="CX100" s="5"/>
      <c r="CY100" s="5"/>
      <c r="CZ100" s="5"/>
    </row>
    <row r="101" spans="1:104" ht="15" customHeight="1" x14ac:dyDescent="0.25">
      <c r="B101" s="139">
        <v>17</v>
      </c>
      <c r="C101" s="140">
        <v>5</v>
      </c>
      <c r="D101" s="139" t="str">
        <f t="shared" si="84"/>
        <v>EMPTY_WEST_J_2_23</v>
      </c>
      <c r="E101" s="140" t="s">
        <v>0</v>
      </c>
      <c r="F101" s="142" t="s">
        <v>32</v>
      </c>
      <c r="G101" s="140" t="s">
        <v>19</v>
      </c>
      <c r="H101" s="140" t="s">
        <v>11</v>
      </c>
      <c r="I101" s="140">
        <v>2</v>
      </c>
      <c r="J101" s="139"/>
      <c r="K101" s="184">
        <f>COUNT(AJ101:CC101)</f>
        <v>33</v>
      </c>
      <c r="L101" s="139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101"/>
      <c r="AD101" s="42"/>
      <c r="AE101" s="46"/>
      <c r="AF101" s="46"/>
      <c r="AG101" s="46"/>
      <c r="AH101" s="46"/>
      <c r="AI101" s="57"/>
      <c r="AJ101" s="86">
        <v>1</v>
      </c>
      <c r="AK101" s="86">
        <f>AJ101+1</f>
        <v>2</v>
      </c>
      <c r="AL101" s="86">
        <f t="shared" si="96"/>
        <v>3</v>
      </c>
      <c r="AM101" s="86">
        <f t="shared" si="96"/>
        <v>4</v>
      </c>
      <c r="AN101" s="86">
        <f t="shared" si="96"/>
        <v>5</v>
      </c>
      <c r="AO101" s="86">
        <f t="shared" si="96"/>
        <v>6</v>
      </c>
      <c r="AP101" s="86">
        <f t="shared" si="96"/>
        <v>7</v>
      </c>
      <c r="AQ101" s="86">
        <f t="shared" si="96"/>
        <v>8</v>
      </c>
      <c r="AR101" s="86">
        <f t="shared" si="96"/>
        <v>9</v>
      </c>
      <c r="AS101" s="86">
        <f t="shared" si="96"/>
        <v>10</v>
      </c>
      <c r="AT101" s="86">
        <f t="shared" si="96"/>
        <v>11</v>
      </c>
      <c r="AU101" s="86">
        <f t="shared" si="96"/>
        <v>12</v>
      </c>
      <c r="AV101" s="86">
        <f t="shared" si="97"/>
        <v>13</v>
      </c>
      <c r="AW101" s="86">
        <f t="shared" si="97"/>
        <v>14</v>
      </c>
      <c r="AX101" s="86">
        <f t="shared" si="97"/>
        <v>15</v>
      </c>
      <c r="AY101" s="86">
        <f t="shared" si="97"/>
        <v>16</v>
      </c>
      <c r="AZ101" s="86">
        <f t="shared" si="97"/>
        <v>17</v>
      </c>
      <c r="BA101" s="86">
        <f t="shared" si="97"/>
        <v>18</v>
      </c>
      <c r="BB101" s="86">
        <f t="shared" si="97"/>
        <v>19</v>
      </c>
      <c r="BC101" s="86">
        <f t="shared" si="97"/>
        <v>20</v>
      </c>
      <c r="BD101" s="86">
        <f t="shared" si="97"/>
        <v>21</v>
      </c>
      <c r="BE101" s="86">
        <f t="shared" si="97"/>
        <v>22</v>
      </c>
      <c r="BF101" s="86">
        <f t="shared" si="97"/>
        <v>23</v>
      </c>
      <c r="BG101" s="86">
        <f t="shared" si="97"/>
        <v>24</v>
      </c>
      <c r="BH101" s="86">
        <f t="shared" si="97"/>
        <v>25</v>
      </c>
      <c r="BI101" s="86">
        <f t="shared" si="97"/>
        <v>26</v>
      </c>
      <c r="BJ101" s="86">
        <f t="shared" si="97"/>
        <v>27</v>
      </c>
      <c r="BK101" s="86">
        <f t="shared" si="97"/>
        <v>28</v>
      </c>
      <c r="BL101" s="86">
        <f t="shared" ref="BL101:BP101" si="98">BK101+1</f>
        <v>29</v>
      </c>
      <c r="BM101" s="86">
        <f t="shared" si="98"/>
        <v>30</v>
      </c>
      <c r="BN101" s="86">
        <f t="shared" si="98"/>
        <v>31</v>
      </c>
      <c r="BO101" s="86">
        <f t="shared" si="98"/>
        <v>32</v>
      </c>
      <c r="BP101" s="86">
        <f t="shared" si="98"/>
        <v>33</v>
      </c>
      <c r="BQ101" s="46"/>
      <c r="BR101" s="4"/>
      <c r="BS101" s="4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5"/>
      <c r="CX101" s="5"/>
      <c r="CY101" s="5"/>
      <c r="CZ101" s="5"/>
    </row>
    <row r="102" spans="1:104" ht="15" customHeight="1" x14ac:dyDescent="0.25">
      <c r="B102" s="139">
        <v>17</v>
      </c>
      <c r="C102" s="140">
        <v>6</v>
      </c>
      <c r="D102" s="139" t="str">
        <f t="shared" si="84"/>
        <v>COUNTDOWN_WEST_J_2_23</v>
      </c>
      <c r="E102" s="140"/>
      <c r="F102" s="142" t="s">
        <v>33</v>
      </c>
      <c r="G102" s="140" t="s">
        <v>19</v>
      </c>
      <c r="H102" s="140" t="s">
        <v>11</v>
      </c>
      <c r="I102" s="140">
        <v>2</v>
      </c>
      <c r="J102" s="144"/>
      <c r="K102" s="144"/>
      <c r="L102" s="140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101"/>
      <c r="AD102" s="8"/>
      <c r="AE102" s="3"/>
      <c r="AF102" s="3"/>
      <c r="AG102" s="3"/>
      <c r="AH102" s="3"/>
      <c r="AI102" s="31"/>
      <c r="AJ102" s="86"/>
      <c r="AK102" s="86"/>
      <c r="AL102" s="86"/>
      <c r="AM102" s="3"/>
      <c r="AN102" s="3"/>
      <c r="AO102" s="3"/>
      <c r="AP102" s="3"/>
      <c r="AQ102" s="3"/>
      <c r="AR102" s="6"/>
      <c r="AS102" s="6"/>
      <c r="AT102" s="46"/>
      <c r="AU102" s="46"/>
      <c r="AV102" s="56"/>
      <c r="AW102" s="56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5"/>
      <c r="CX102" s="5"/>
      <c r="CY102" s="5"/>
      <c r="CZ102" s="5"/>
    </row>
    <row r="103" spans="1:104" ht="15" customHeight="1" x14ac:dyDescent="0.25">
      <c r="B103" s="139">
        <v>18</v>
      </c>
      <c r="C103" s="139">
        <v>1</v>
      </c>
      <c r="D103" s="139" t="str">
        <f t="shared" si="84"/>
        <v>SORTING_WEST_Q_1_23</v>
      </c>
      <c r="E103" s="139" t="s">
        <v>35</v>
      </c>
      <c r="F103" s="138" t="s">
        <v>45</v>
      </c>
      <c r="G103" s="140" t="s">
        <v>19</v>
      </c>
      <c r="H103" s="140" t="s">
        <v>59</v>
      </c>
      <c r="I103" s="140">
        <v>1</v>
      </c>
      <c r="J103" s="143"/>
      <c r="K103" s="184">
        <f>COUNT(AD103:BF103)</f>
        <v>15</v>
      </c>
      <c r="L103" s="140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101"/>
      <c r="AD103" s="8">
        <v>1</v>
      </c>
      <c r="AE103" s="3">
        <f>AD103+1</f>
        <v>2</v>
      </c>
      <c r="AF103" s="3">
        <f t="shared" ref="AF103:AU104" si="99">AE103+1</f>
        <v>3</v>
      </c>
      <c r="AG103" s="3">
        <f t="shared" si="99"/>
        <v>4</v>
      </c>
      <c r="AH103" s="3">
        <f t="shared" si="99"/>
        <v>5</v>
      </c>
      <c r="AI103" s="3">
        <f t="shared" si="99"/>
        <v>6</v>
      </c>
      <c r="AJ103" s="3">
        <f t="shared" si="99"/>
        <v>7</v>
      </c>
      <c r="AK103" s="3">
        <f t="shared" si="99"/>
        <v>8</v>
      </c>
      <c r="AL103" s="3">
        <f t="shared" si="99"/>
        <v>9</v>
      </c>
      <c r="AM103" s="3">
        <f t="shared" si="99"/>
        <v>10</v>
      </c>
      <c r="AN103" s="3">
        <f t="shared" si="99"/>
        <v>11</v>
      </c>
      <c r="AO103" s="3">
        <f t="shared" si="99"/>
        <v>12</v>
      </c>
      <c r="AP103" s="3">
        <f t="shared" si="99"/>
        <v>13</v>
      </c>
      <c r="AQ103" s="3">
        <f t="shared" si="99"/>
        <v>14</v>
      </c>
      <c r="AR103" s="3">
        <f t="shared" si="99"/>
        <v>15</v>
      </c>
      <c r="AS103" s="4"/>
      <c r="AT103" s="4"/>
      <c r="AU103" s="4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5"/>
      <c r="CX103" s="5"/>
      <c r="CY103" s="5"/>
      <c r="CZ103" s="5"/>
    </row>
    <row r="104" spans="1:104" ht="15" customHeight="1" x14ac:dyDescent="0.25">
      <c r="B104" s="139">
        <v>18</v>
      </c>
      <c r="C104" s="139">
        <v>2</v>
      </c>
      <c r="D104" s="139" t="str">
        <f t="shared" si="84"/>
        <v>TRANSFER_WEST_Q_1_23</v>
      </c>
      <c r="E104" s="139" t="s">
        <v>21</v>
      </c>
      <c r="F104" s="138" t="s">
        <v>21</v>
      </c>
      <c r="G104" s="140" t="s">
        <v>19</v>
      </c>
      <c r="H104" s="140" t="s">
        <v>59</v>
      </c>
      <c r="I104" s="140">
        <v>1</v>
      </c>
      <c r="J104" s="143"/>
      <c r="K104" s="184">
        <f>COUNT(AD104:BF104)</f>
        <v>18</v>
      </c>
      <c r="L104" s="140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101"/>
      <c r="AD104" s="8">
        <v>1</v>
      </c>
      <c r="AE104" s="3">
        <f>AD104+1</f>
        <v>2</v>
      </c>
      <c r="AF104" s="3">
        <f t="shared" si="99"/>
        <v>3</v>
      </c>
      <c r="AG104" s="3">
        <f t="shared" si="99"/>
        <v>4</v>
      </c>
      <c r="AH104" s="3">
        <f t="shared" si="99"/>
        <v>5</v>
      </c>
      <c r="AI104" s="3">
        <f t="shared" si="99"/>
        <v>6</v>
      </c>
      <c r="AJ104" s="3">
        <f t="shared" si="99"/>
        <v>7</v>
      </c>
      <c r="AK104" s="3">
        <f t="shared" si="99"/>
        <v>8</v>
      </c>
      <c r="AL104" s="3">
        <f t="shared" si="99"/>
        <v>9</v>
      </c>
      <c r="AM104" s="3">
        <f t="shared" si="99"/>
        <v>10</v>
      </c>
      <c r="AN104" s="3">
        <f t="shared" si="99"/>
        <v>11</v>
      </c>
      <c r="AO104" s="3">
        <f t="shared" si="99"/>
        <v>12</v>
      </c>
      <c r="AP104" s="3">
        <f t="shared" si="99"/>
        <v>13</v>
      </c>
      <c r="AQ104" s="3">
        <f t="shared" si="99"/>
        <v>14</v>
      </c>
      <c r="AR104" s="3">
        <f t="shared" si="99"/>
        <v>15</v>
      </c>
      <c r="AS104" s="3">
        <f t="shared" si="99"/>
        <v>16</v>
      </c>
      <c r="AT104" s="3">
        <f t="shared" si="99"/>
        <v>17</v>
      </c>
      <c r="AU104" s="3">
        <f t="shared" si="99"/>
        <v>18</v>
      </c>
      <c r="AV104" s="4"/>
      <c r="AW104" s="4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5"/>
      <c r="CX104" s="5"/>
      <c r="CY104" s="5"/>
      <c r="CZ104" s="5"/>
    </row>
    <row r="105" spans="1:104" ht="15" customHeight="1" x14ac:dyDescent="0.25">
      <c r="B105" s="139">
        <v>18</v>
      </c>
      <c r="C105" s="139">
        <v>3</v>
      </c>
      <c r="D105" s="139" t="str">
        <f t="shared" si="84"/>
        <v>PREPARE_WEST_Q_1_23</v>
      </c>
      <c r="E105" s="139" t="s">
        <v>0</v>
      </c>
      <c r="F105" s="138" t="s">
        <v>46</v>
      </c>
      <c r="G105" s="140" t="s">
        <v>19</v>
      </c>
      <c r="H105" s="140" t="s">
        <v>59</v>
      </c>
      <c r="I105" s="140">
        <v>1</v>
      </c>
      <c r="J105" s="143"/>
      <c r="K105" s="184">
        <f>COUNT(M105:BF105)</f>
        <v>38</v>
      </c>
      <c r="L105" s="140"/>
      <c r="M105" s="3">
        <v>1</v>
      </c>
      <c r="N105" s="3">
        <f>M105+1</f>
        <v>2</v>
      </c>
      <c r="O105" s="3">
        <f t="shared" ref="O105:AX107" si="100">N105+1</f>
        <v>3</v>
      </c>
      <c r="P105" s="3">
        <f t="shared" si="100"/>
        <v>4</v>
      </c>
      <c r="Q105" s="3">
        <f t="shared" si="100"/>
        <v>5</v>
      </c>
      <c r="R105" s="3">
        <f t="shared" si="100"/>
        <v>6</v>
      </c>
      <c r="S105" s="3">
        <f t="shared" si="100"/>
        <v>7</v>
      </c>
      <c r="T105" s="3">
        <f t="shared" si="100"/>
        <v>8</v>
      </c>
      <c r="U105" s="3">
        <f t="shared" si="100"/>
        <v>9</v>
      </c>
      <c r="V105" s="3">
        <f t="shared" si="100"/>
        <v>10</v>
      </c>
      <c r="W105" s="3">
        <f t="shared" si="100"/>
        <v>11</v>
      </c>
      <c r="X105" s="3">
        <f t="shared" si="100"/>
        <v>12</v>
      </c>
      <c r="Y105" s="3">
        <f t="shared" si="100"/>
        <v>13</v>
      </c>
      <c r="Z105" s="3">
        <f t="shared" si="100"/>
        <v>14</v>
      </c>
      <c r="AA105" s="3">
        <f t="shared" si="100"/>
        <v>15</v>
      </c>
      <c r="AB105" s="3">
        <f t="shared" si="100"/>
        <v>16</v>
      </c>
      <c r="AC105" s="3">
        <f t="shared" si="100"/>
        <v>17</v>
      </c>
      <c r="AD105" s="3">
        <f t="shared" si="100"/>
        <v>18</v>
      </c>
      <c r="AE105" s="3">
        <f t="shared" si="100"/>
        <v>19</v>
      </c>
      <c r="AF105" s="3">
        <f t="shared" si="100"/>
        <v>20</v>
      </c>
      <c r="AG105" s="3">
        <f t="shared" si="100"/>
        <v>21</v>
      </c>
      <c r="AH105" s="3">
        <f t="shared" si="100"/>
        <v>22</v>
      </c>
      <c r="AI105" s="3">
        <f t="shared" si="100"/>
        <v>23</v>
      </c>
      <c r="AJ105" s="3">
        <f t="shared" si="100"/>
        <v>24</v>
      </c>
      <c r="AK105" s="3">
        <f t="shared" si="100"/>
        <v>25</v>
      </c>
      <c r="AL105" s="3">
        <f t="shared" si="100"/>
        <v>26</v>
      </c>
      <c r="AM105" s="3">
        <f t="shared" si="100"/>
        <v>27</v>
      </c>
      <c r="AN105" s="3">
        <f t="shared" si="100"/>
        <v>28</v>
      </c>
      <c r="AO105" s="3">
        <f t="shared" si="100"/>
        <v>29</v>
      </c>
      <c r="AP105" s="3">
        <f t="shared" si="100"/>
        <v>30</v>
      </c>
      <c r="AQ105" s="3">
        <f t="shared" si="100"/>
        <v>31</v>
      </c>
      <c r="AR105" s="3">
        <f t="shared" si="100"/>
        <v>32</v>
      </c>
      <c r="AS105" s="3">
        <f t="shared" si="100"/>
        <v>33</v>
      </c>
      <c r="AT105" s="3">
        <f t="shared" si="100"/>
        <v>34</v>
      </c>
      <c r="AU105" s="3">
        <f t="shared" si="100"/>
        <v>35</v>
      </c>
      <c r="AV105" s="3">
        <f t="shared" si="100"/>
        <v>36</v>
      </c>
      <c r="AW105" s="3">
        <f t="shared" si="100"/>
        <v>37</v>
      </c>
      <c r="AX105" s="3">
        <f t="shared" si="100"/>
        <v>38</v>
      </c>
      <c r="AY105" s="4"/>
      <c r="AZ105" s="4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5"/>
      <c r="CX105" s="5"/>
      <c r="CY105" s="5"/>
      <c r="CZ105" s="5"/>
    </row>
    <row r="106" spans="1:104" ht="15" customHeight="1" x14ac:dyDescent="0.25">
      <c r="B106" s="139">
        <v>18</v>
      </c>
      <c r="C106" s="139">
        <v>4</v>
      </c>
      <c r="D106" s="139" t="str">
        <f t="shared" si="84"/>
        <v>SUPPLY_WEST_Q_1_23</v>
      </c>
      <c r="E106" s="139" t="s">
        <v>0</v>
      </c>
      <c r="F106" s="142" t="s">
        <v>0</v>
      </c>
      <c r="G106" s="140" t="s">
        <v>19</v>
      </c>
      <c r="H106" s="140" t="s">
        <v>59</v>
      </c>
      <c r="I106" s="140">
        <v>1</v>
      </c>
      <c r="J106" s="143"/>
      <c r="K106" s="184">
        <f>COUNT(AJ106:CC106)</f>
        <v>17</v>
      </c>
      <c r="L106" s="140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101"/>
      <c r="AD106" s="42"/>
      <c r="AE106" s="46"/>
      <c r="AF106" s="46"/>
      <c r="AG106" s="46"/>
      <c r="AH106" s="46"/>
      <c r="AI106" s="101"/>
      <c r="AJ106" s="86">
        <v>1</v>
      </c>
      <c r="AK106" s="86">
        <f>AJ106+1</f>
        <v>2</v>
      </c>
      <c r="AL106" s="86">
        <f t="shared" si="100"/>
        <v>3</v>
      </c>
      <c r="AM106" s="86">
        <f t="shared" si="100"/>
        <v>4</v>
      </c>
      <c r="AN106" s="86">
        <f t="shared" si="100"/>
        <v>5</v>
      </c>
      <c r="AO106" s="86">
        <f t="shared" si="100"/>
        <v>6</v>
      </c>
      <c r="AP106" s="86">
        <f t="shared" si="100"/>
        <v>7</v>
      </c>
      <c r="AQ106" s="86">
        <f t="shared" si="100"/>
        <v>8</v>
      </c>
      <c r="AR106" s="86">
        <f t="shared" si="100"/>
        <v>9</v>
      </c>
      <c r="AS106" s="86">
        <f t="shared" si="100"/>
        <v>10</v>
      </c>
      <c r="AT106" s="86">
        <f t="shared" si="100"/>
        <v>11</v>
      </c>
      <c r="AU106" s="86">
        <f t="shared" si="100"/>
        <v>12</v>
      </c>
      <c r="AV106" s="86">
        <f t="shared" si="100"/>
        <v>13</v>
      </c>
      <c r="AW106" s="86">
        <f t="shared" si="100"/>
        <v>14</v>
      </c>
      <c r="AX106" s="86">
        <f t="shared" ref="AX106:BM107" si="101">AW106+1</f>
        <v>15</v>
      </c>
      <c r="AY106" s="86">
        <f t="shared" si="101"/>
        <v>16</v>
      </c>
      <c r="AZ106" s="86">
        <f t="shared" si="101"/>
        <v>17</v>
      </c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97"/>
      <c r="BQ106" s="4"/>
      <c r="BR106" s="4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5"/>
      <c r="CX106" s="5"/>
      <c r="CY106" s="5"/>
      <c r="CZ106" s="5"/>
    </row>
    <row r="107" spans="1:104" ht="15" customHeight="1" x14ac:dyDescent="0.25">
      <c r="B107" s="139">
        <v>18</v>
      </c>
      <c r="C107" s="140">
        <v>5</v>
      </c>
      <c r="D107" s="139" t="str">
        <f t="shared" si="84"/>
        <v>EMPTY_WEST_Q_1_23</v>
      </c>
      <c r="E107" s="140" t="s">
        <v>0</v>
      </c>
      <c r="F107" s="142" t="s">
        <v>32</v>
      </c>
      <c r="G107" s="140" t="s">
        <v>19</v>
      </c>
      <c r="H107" s="140" t="s">
        <v>59</v>
      </c>
      <c r="I107" s="140">
        <v>1</v>
      </c>
      <c r="J107" s="143"/>
      <c r="K107" s="184">
        <f>COUNT(AJ107:CC107)</f>
        <v>35</v>
      </c>
      <c r="L107" s="140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101"/>
      <c r="AD107" s="42"/>
      <c r="AE107" s="46"/>
      <c r="AF107" s="46"/>
      <c r="AG107" s="46"/>
      <c r="AH107" s="46"/>
      <c r="AI107" s="57"/>
      <c r="AJ107" s="86">
        <v>1</v>
      </c>
      <c r="AK107" s="86">
        <f>AJ107+1</f>
        <v>2</v>
      </c>
      <c r="AL107" s="86">
        <f t="shared" si="100"/>
        <v>3</v>
      </c>
      <c r="AM107" s="86">
        <f t="shared" si="100"/>
        <v>4</v>
      </c>
      <c r="AN107" s="86">
        <f t="shared" si="100"/>
        <v>5</v>
      </c>
      <c r="AO107" s="86">
        <f t="shared" si="100"/>
        <v>6</v>
      </c>
      <c r="AP107" s="86">
        <f t="shared" si="100"/>
        <v>7</v>
      </c>
      <c r="AQ107" s="86">
        <f t="shared" si="100"/>
        <v>8</v>
      </c>
      <c r="AR107" s="86">
        <f t="shared" si="100"/>
        <v>9</v>
      </c>
      <c r="AS107" s="86">
        <f t="shared" si="100"/>
        <v>10</v>
      </c>
      <c r="AT107" s="86">
        <f t="shared" si="100"/>
        <v>11</v>
      </c>
      <c r="AU107" s="86">
        <f t="shared" si="100"/>
        <v>12</v>
      </c>
      <c r="AV107" s="86">
        <f t="shared" si="100"/>
        <v>13</v>
      </c>
      <c r="AW107" s="86">
        <f t="shared" si="100"/>
        <v>14</v>
      </c>
      <c r="AX107" s="86">
        <f t="shared" si="101"/>
        <v>15</v>
      </c>
      <c r="AY107" s="86">
        <f t="shared" si="101"/>
        <v>16</v>
      </c>
      <c r="AZ107" s="86">
        <f t="shared" si="101"/>
        <v>17</v>
      </c>
      <c r="BA107" s="86">
        <f t="shared" si="101"/>
        <v>18</v>
      </c>
      <c r="BB107" s="86">
        <f t="shared" si="101"/>
        <v>19</v>
      </c>
      <c r="BC107" s="86">
        <f t="shared" si="101"/>
        <v>20</v>
      </c>
      <c r="BD107" s="86">
        <f t="shared" si="101"/>
        <v>21</v>
      </c>
      <c r="BE107" s="86">
        <f t="shared" si="101"/>
        <v>22</v>
      </c>
      <c r="BF107" s="86">
        <f t="shared" si="101"/>
        <v>23</v>
      </c>
      <c r="BG107" s="86">
        <f t="shared" si="101"/>
        <v>24</v>
      </c>
      <c r="BH107" s="86">
        <f t="shared" si="101"/>
        <v>25</v>
      </c>
      <c r="BI107" s="86">
        <f t="shared" si="101"/>
        <v>26</v>
      </c>
      <c r="BJ107" s="86">
        <f t="shared" si="101"/>
        <v>27</v>
      </c>
      <c r="BK107" s="86">
        <f t="shared" si="101"/>
        <v>28</v>
      </c>
      <c r="BL107" s="86">
        <f t="shared" si="101"/>
        <v>29</v>
      </c>
      <c r="BM107" s="86">
        <f t="shared" si="101"/>
        <v>30</v>
      </c>
      <c r="BN107" s="86">
        <f t="shared" ref="BN107:BR107" si="102">BM107+1</f>
        <v>31</v>
      </c>
      <c r="BO107" s="86">
        <f t="shared" si="102"/>
        <v>32</v>
      </c>
      <c r="BP107" s="86">
        <f t="shared" si="102"/>
        <v>33</v>
      </c>
      <c r="BQ107" s="86">
        <f t="shared" si="102"/>
        <v>34</v>
      </c>
      <c r="BR107" s="86">
        <f t="shared" si="102"/>
        <v>35</v>
      </c>
      <c r="BS107" s="46"/>
      <c r="BT107" s="4"/>
      <c r="BU107" s="4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5"/>
      <c r="CX107" s="5"/>
      <c r="CY107" s="5"/>
      <c r="CZ107" s="5"/>
    </row>
    <row r="108" spans="1:104" ht="15" customHeight="1" x14ac:dyDescent="0.25">
      <c r="B108" s="139">
        <v>18</v>
      </c>
      <c r="C108" s="140">
        <v>6</v>
      </c>
      <c r="D108" s="139" t="str">
        <f t="shared" si="84"/>
        <v>COUNTDOWN_WEST_Q_1_23</v>
      </c>
      <c r="E108" s="140"/>
      <c r="F108" s="142" t="s">
        <v>33</v>
      </c>
      <c r="G108" s="140" t="s">
        <v>19</v>
      </c>
      <c r="H108" s="140" t="s">
        <v>59</v>
      </c>
      <c r="I108" s="140">
        <v>1</v>
      </c>
      <c r="J108" s="144"/>
      <c r="K108" s="144"/>
      <c r="L108" s="140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101"/>
      <c r="AD108" s="42"/>
      <c r="AE108" s="46"/>
      <c r="AF108" s="46"/>
      <c r="AG108" s="46"/>
      <c r="AH108" s="46"/>
      <c r="AI108" s="101"/>
      <c r="AJ108" s="133"/>
      <c r="AK108" s="133"/>
      <c r="AL108" s="133"/>
      <c r="AM108" s="46"/>
      <c r="AN108" s="46"/>
      <c r="AO108" s="46"/>
      <c r="AP108" s="46"/>
      <c r="AQ108" s="46"/>
      <c r="AR108" s="46"/>
      <c r="AS108" s="46"/>
      <c r="AT108" s="6"/>
      <c r="AU108" s="6"/>
      <c r="AV108" s="46"/>
      <c r="AW108" s="46"/>
      <c r="AX108" s="56"/>
      <c r="AY108" s="56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5"/>
      <c r="CX108" s="5"/>
      <c r="CY108" s="5"/>
      <c r="CZ108" s="5"/>
    </row>
    <row r="109" spans="1:104" ht="15" customHeight="1" x14ac:dyDescent="0.25">
      <c r="A109" t="s">
        <v>7</v>
      </c>
      <c r="B109" s="139">
        <v>19</v>
      </c>
      <c r="C109" s="139">
        <v>1</v>
      </c>
      <c r="D109" s="139" t="str">
        <f t="shared" si="84"/>
        <v>SORTING_WEST_F_2_23</v>
      </c>
      <c r="E109" s="139" t="s">
        <v>35</v>
      </c>
      <c r="F109" s="138" t="s">
        <v>45</v>
      </c>
      <c r="G109" s="140" t="s">
        <v>19</v>
      </c>
      <c r="H109" s="140" t="s">
        <v>7</v>
      </c>
      <c r="I109" s="140">
        <v>2</v>
      </c>
      <c r="J109" s="139"/>
      <c r="K109" s="184">
        <f>COUNT(AD109:BF109)</f>
        <v>18</v>
      </c>
      <c r="L109" s="139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101"/>
      <c r="AD109" s="8">
        <v>1</v>
      </c>
      <c r="AE109" s="3">
        <f>AD109+1</f>
        <v>2</v>
      </c>
      <c r="AF109" s="3">
        <f t="shared" ref="AF109:AU110" si="103">AE109+1</f>
        <v>3</v>
      </c>
      <c r="AG109" s="3">
        <f t="shared" si="103"/>
        <v>4</v>
      </c>
      <c r="AH109" s="3">
        <f t="shared" si="103"/>
        <v>5</v>
      </c>
      <c r="AI109" s="3">
        <f t="shared" si="103"/>
        <v>6</v>
      </c>
      <c r="AJ109" s="3">
        <f t="shared" si="103"/>
        <v>7</v>
      </c>
      <c r="AK109" s="3">
        <f t="shared" si="103"/>
        <v>8</v>
      </c>
      <c r="AL109" s="3">
        <f t="shared" si="103"/>
        <v>9</v>
      </c>
      <c r="AM109" s="3">
        <f t="shared" si="103"/>
        <v>10</v>
      </c>
      <c r="AN109" s="3">
        <f t="shared" si="103"/>
        <v>11</v>
      </c>
      <c r="AO109" s="3">
        <f t="shared" si="103"/>
        <v>12</v>
      </c>
      <c r="AP109" s="3">
        <f t="shared" si="103"/>
        <v>13</v>
      </c>
      <c r="AQ109" s="3">
        <f t="shared" si="103"/>
        <v>14</v>
      </c>
      <c r="AR109" s="3">
        <f t="shared" si="103"/>
        <v>15</v>
      </c>
      <c r="AS109" s="3">
        <f t="shared" si="103"/>
        <v>16</v>
      </c>
      <c r="AT109" s="3">
        <f t="shared" si="103"/>
        <v>17</v>
      </c>
      <c r="AU109" s="3">
        <f t="shared" si="103"/>
        <v>18</v>
      </c>
      <c r="AV109" s="4"/>
      <c r="AW109" s="4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5"/>
      <c r="CX109" s="5"/>
      <c r="CY109" s="5"/>
      <c r="CZ109" s="5"/>
    </row>
    <row r="110" spans="1:104" ht="15" customHeight="1" x14ac:dyDescent="0.25">
      <c r="A110" t="s">
        <v>7</v>
      </c>
      <c r="B110" s="139">
        <v>19</v>
      </c>
      <c r="C110" s="139">
        <v>2</v>
      </c>
      <c r="D110" s="139" t="str">
        <f t="shared" si="84"/>
        <v>TRANSFER_WEST_F_2_23</v>
      </c>
      <c r="E110" s="139" t="s">
        <v>21</v>
      </c>
      <c r="F110" s="138" t="s">
        <v>21</v>
      </c>
      <c r="G110" s="140" t="s">
        <v>19</v>
      </c>
      <c r="H110" s="140" t="s">
        <v>7</v>
      </c>
      <c r="I110" s="140">
        <v>2</v>
      </c>
      <c r="J110" s="139"/>
      <c r="K110" s="184">
        <f>COUNT(AD110:BF110)</f>
        <v>20</v>
      </c>
      <c r="L110" s="139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101"/>
      <c r="AD110" s="8">
        <v>1</v>
      </c>
      <c r="AE110" s="3">
        <f>AD110+1</f>
        <v>2</v>
      </c>
      <c r="AF110" s="3">
        <f t="shared" si="103"/>
        <v>3</v>
      </c>
      <c r="AG110" s="3">
        <f t="shared" si="103"/>
        <v>4</v>
      </c>
      <c r="AH110" s="3">
        <f t="shared" si="103"/>
        <v>5</v>
      </c>
      <c r="AI110" s="3">
        <f t="shared" si="103"/>
        <v>6</v>
      </c>
      <c r="AJ110" s="3">
        <f t="shared" si="103"/>
        <v>7</v>
      </c>
      <c r="AK110" s="3">
        <f t="shared" si="103"/>
        <v>8</v>
      </c>
      <c r="AL110" s="3">
        <f t="shared" si="103"/>
        <v>9</v>
      </c>
      <c r="AM110" s="3">
        <f t="shared" si="103"/>
        <v>10</v>
      </c>
      <c r="AN110" s="3">
        <f t="shared" si="103"/>
        <v>11</v>
      </c>
      <c r="AO110" s="3">
        <f t="shared" si="103"/>
        <v>12</v>
      </c>
      <c r="AP110" s="3">
        <f t="shared" si="103"/>
        <v>13</v>
      </c>
      <c r="AQ110" s="3">
        <f t="shared" si="103"/>
        <v>14</v>
      </c>
      <c r="AR110" s="3">
        <f t="shared" si="103"/>
        <v>15</v>
      </c>
      <c r="AS110" s="3">
        <f t="shared" si="103"/>
        <v>16</v>
      </c>
      <c r="AT110" s="3">
        <f t="shared" si="103"/>
        <v>17</v>
      </c>
      <c r="AU110" s="3">
        <f t="shared" si="103"/>
        <v>18</v>
      </c>
      <c r="AV110" s="3">
        <f t="shared" ref="AV110:BK113" si="104">AU110+1</f>
        <v>19</v>
      </c>
      <c r="AW110" s="3">
        <f t="shared" si="104"/>
        <v>20</v>
      </c>
      <c r="AX110" s="4"/>
      <c r="AY110" s="4"/>
      <c r="AZ110" s="4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5"/>
      <c r="CX110" s="5"/>
      <c r="CY110" s="5"/>
      <c r="CZ110" s="5"/>
    </row>
    <row r="111" spans="1:104" ht="15" customHeight="1" x14ac:dyDescent="0.25">
      <c r="A111" t="s">
        <v>7</v>
      </c>
      <c r="B111" s="139">
        <v>19</v>
      </c>
      <c r="C111" s="139">
        <v>3</v>
      </c>
      <c r="D111" s="139" t="str">
        <f t="shared" si="84"/>
        <v>PREPARE_WEST_F_2_23</v>
      </c>
      <c r="E111" s="139" t="s">
        <v>0</v>
      </c>
      <c r="F111" s="138" t="s">
        <v>46</v>
      </c>
      <c r="G111" s="140" t="s">
        <v>19</v>
      </c>
      <c r="H111" s="140" t="s">
        <v>7</v>
      </c>
      <c r="I111" s="140">
        <v>2</v>
      </c>
      <c r="J111" s="141"/>
      <c r="K111" s="184">
        <f>COUNT(M111:BF111)</f>
        <v>39</v>
      </c>
      <c r="L111" s="139"/>
      <c r="M111" s="3">
        <v>1</v>
      </c>
      <c r="N111" s="3">
        <f>M111+1</f>
        <v>2</v>
      </c>
      <c r="O111" s="3">
        <f t="shared" ref="O111:AV113" si="105">N111+1</f>
        <v>3</v>
      </c>
      <c r="P111" s="3">
        <f t="shared" si="105"/>
        <v>4</v>
      </c>
      <c r="Q111" s="3">
        <f t="shared" si="105"/>
        <v>5</v>
      </c>
      <c r="R111" s="3">
        <f t="shared" si="105"/>
        <v>6</v>
      </c>
      <c r="S111" s="3">
        <f t="shared" si="105"/>
        <v>7</v>
      </c>
      <c r="T111" s="3">
        <f t="shared" si="105"/>
        <v>8</v>
      </c>
      <c r="U111" s="3">
        <f t="shared" si="105"/>
        <v>9</v>
      </c>
      <c r="V111" s="3">
        <f t="shared" si="105"/>
        <v>10</v>
      </c>
      <c r="W111" s="3">
        <f t="shared" si="105"/>
        <v>11</v>
      </c>
      <c r="X111" s="3">
        <f t="shared" si="105"/>
        <v>12</v>
      </c>
      <c r="Y111" s="3">
        <f t="shared" si="105"/>
        <v>13</v>
      </c>
      <c r="Z111" s="3">
        <f t="shared" si="105"/>
        <v>14</v>
      </c>
      <c r="AA111" s="3">
        <f t="shared" si="105"/>
        <v>15</v>
      </c>
      <c r="AB111" s="3">
        <f t="shared" si="105"/>
        <v>16</v>
      </c>
      <c r="AC111" s="3">
        <f t="shared" si="105"/>
        <v>17</v>
      </c>
      <c r="AD111" s="3">
        <f t="shared" si="105"/>
        <v>18</v>
      </c>
      <c r="AE111" s="3">
        <f t="shared" si="105"/>
        <v>19</v>
      </c>
      <c r="AF111" s="3">
        <f t="shared" si="105"/>
        <v>20</v>
      </c>
      <c r="AG111" s="3">
        <f t="shared" si="105"/>
        <v>21</v>
      </c>
      <c r="AH111" s="3">
        <f t="shared" si="105"/>
        <v>22</v>
      </c>
      <c r="AI111" s="3">
        <f t="shared" si="105"/>
        <v>23</v>
      </c>
      <c r="AJ111" s="3">
        <f t="shared" si="105"/>
        <v>24</v>
      </c>
      <c r="AK111" s="3">
        <f t="shared" si="105"/>
        <v>25</v>
      </c>
      <c r="AL111" s="3">
        <f t="shared" si="105"/>
        <v>26</v>
      </c>
      <c r="AM111" s="3">
        <f t="shared" si="105"/>
        <v>27</v>
      </c>
      <c r="AN111" s="3">
        <f t="shared" si="105"/>
        <v>28</v>
      </c>
      <c r="AO111" s="3">
        <f t="shared" si="105"/>
        <v>29</v>
      </c>
      <c r="AP111" s="3">
        <f t="shared" si="105"/>
        <v>30</v>
      </c>
      <c r="AQ111" s="3">
        <f t="shared" si="105"/>
        <v>31</v>
      </c>
      <c r="AR111" s="3">
        <f t="shared" si="105"/>
        <v>32</v>
      </c>
      <c r="AS111" s="3">
        <f t="shared" si="105"/>
        <v>33</v>
      </c>
      <c r="AT111" s="3">
        <f t="shared" si="105"/>
        <v>34</v>
      </c>
      <c r="AU111" s="3">
        <f t="shared" si="105"/>
        <v>35</v>
      </c>
      <c r="AV111" s="3">
        <f t="shared" si="105"/>
        <v>36</v>
      </c>
      <c r="AW111" s="3">
        <f t="shared" si="104"/>
        <v>37</v>
      </c>
      <c r="AX111" s="3">
        <f t="shared" si="104"/>
        <v>38</v>
      </c>
      <c r="AY111" s="3">
        <f t="shared" si="104"/>
        <v>39</v>
      </c>
      <c r="AZ111" s="4"/>
      <c r="BA111" s="4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5"/>
      <c r="CX111" s="5"/>
      <c r="CY111" s="5"/>
      <c r="CZ111" s="5"/>
    </row>
    <row r="112" spans="1:104" ht="15" customHeight="1" x14ac:dyDescent="0.25">
      <c r="A112" t="s">
        <v>7</v>
      </c>
      <c r="B112" s="139">
        <v>19</v>
      </c>
      <c r="C112" s="139">
        <v>4</v>
      </c>
      <c r="D112" s="139" t="str">
        <f t="shared" si="84"/>
        <v>SUPPLY_WEST_F_2_23</v>
      </c>
      <c r="E112" s="139" t="s">
        <v>0</v>
      </c>
      <c r="F112" s="142" t="s">
        <v>0</v>
      </c>
      <c r="G112" s="140" t="s">
        <v>19</v>
      </c>
      <c r="H112" s="140" t="s">
        <v>7</v>
      </c>
      <c r="I112" s="140">
        <v>2</v>
      </c>
      <c r="J112" s="143"/>
      <c r="K112" s="184">
        <f>COUNT(AJ112:CC112)</f>
        <v>18</v>
      </c>
      <c r="L112" s="140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101"/>
      <c r="AD112" s="42"/>
      <c r="AE112" s="46"/>
      <c r="AF112" s="46"/>
      <c r="AG112" s="46"/>
      <c r="AH112" s="46"/>
      <c r="AI112" s="57"/>
      <c r="AJ112" s="86">
        <v>1</v>
      </c>
      <c r="AK112" s="86">
        <f>AJ112+1</f>
        <v>2</v>
      </c>
      <c r="AL112" s="86">
        <f t="shared" si="105"/>
        <v>3</v>
      </c>
      <c r="AM112" s="86">
        <f t="shared" si="105"/>
        <v>4</v>
      </c>
      <c r="AN112" s="86">
        <f t="shared" si="105"/>
        <v>5</v>
      </c>
      <c r="AO112" s="86">
        <f t="shared" si="105"/>
        <v>6</v>
      </c>
      <c r="AP112" s="86">
        <f t="shared" si="105"/>
        <v>7</v>
      </c>
      <c r="AQ112" s="86">
        <f t="shared" si="105"/>
        <v>8</v>
      </c>
      <c r="AR112" s="86">
        <f t="shared" si="105"/>
        <v>9</v>
      </c>
      <c r="AS112" s="86">
        <f t="shared" si="105"/>
        <v>10</v>
      </c>
      <c r="AT112" s="86">
        <f t="shared" si="105"/>
        <v>11</v>
      </c>
      <c r="AU112" s="86">
        <f t="shared" si="105"/>
        <v>12</v>
      </c>
      <c r="AV112" s="86">
        <f t="shared" si="105"/>
        <v>13</v>
      </c>
      <c r="AW112" s="86">
        <f t="shared" si="104"/>
        <v>14</v>
      </c>
      <c r="AX112" s="86">
        <f t="shared" si="104"/>
        <v>15</v>
      </c>
      <c r="AY112" s="86">
        <f t="shared" si="104"/>
        <v>16</v>
      </c>
      <c r="AZ112" s="86">
        <f t="shared" si="104"/>
        <v>17</v>
      </c>
      <c r="BA112" s="86">
        <f t="shared" si="104"/>
        <v>18</v>
      </c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97"/>
      <c r="BT112" s="4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5"/>
      <c r="CX112" s="5"/>
      <c r="CY112" s="5"/>
      <c r="CZ112" s="5"/>
    </row>
    <row r="113" spans="1:104" ht="15" customHeight="1" x14ac:dyDescent="0.25">
      <c r="A113" t="s">
        <v>7</v>
      </c>
      <c r="B113" s="139">
        <v>19</v>
      </c>
      <c r="C113" s="140">
        <v>5</v>
      </c>
      <c r="D113" s="139" t="str">
        <f t="shared" si="84"/>
        <v>EMPTY_WEST_F_2_23</v>
      </c>
      <c r="E113" s="140" t="s">
        <v>0</v>
      </c>
      <c r="F113" s="142" t="s">
        <v>32</v>
      </c>
      <c r="G113" s="140" t="s">
        <v>19</v>
      </c>
      <c r="H113" s="140" t="s">
        <v>7</v>
      </c>
      <c r="I113" s="140">
        <v>2</v>
      </c>
      <c r="J113" s="139"/>
      <c r="K113" s="184">
        <f>COUNT(AJ113:CC113)</f>
        <v>37</v>
      </c>
      <c r="L113" s="139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101"/>
      <c r="AD113" s="42"/>
      <c r="AE113" s="46"/>
      <c r="AF113" s="46"/>
      <c r="AG113" s="46"/>
      <c r="AH113" s="46"/>
      <c r="AI113" s="57"/>
      <c r="AJ113" s="86">
        <v>1</v>
      </c>
      <c r="AK113" s="86">
        <f>AJ113+1</f>
        <v>2</v>
      </c>
      <c r="AL113" s="86">
        <f t="shared" si="105"/>
        <v>3</v>
      </c>
      <c r="AM113" s="86">
        <f t="shared" si="105"/>
        <v>4</v>
      </c>
      <c r="AN113" s="86">
        <f t="shared" si="105"/>
        <v>5</v>
      </c>
      <c r="AO113" s="86">
        <f t="shared" si="105"/>
        <v>6</v>
      </c>
      <c r="AP113" s="86">
        <f t="shared" si="105"/>
        <v>7</v>
      </c>
      <c r="AQ113" s="86">
        <f t="shared" si="105"/>
        <v>8</v>
      </c>
      <c r="AR113" s="86">
        <f t="shared" si="105"/>
        <v>9</v>
      </c>
      <c r="AS113" s="86">
        <f t="shared" si="105"/>
        <v>10</v>
      </c>
      <c r="AT113" s="86">
        <f t="shared" si="105"/>
        <v>11</v>
      </c>
      <c r="AU113" s="86">
        <f t="shared" si="105"/>
        <v>12</v>
      </c>
      <c r="AV113" s="86">
        <f t="shared" si="105"/>
        <v>13</v>
      </c>
      <c r="AW113" s="86">
        <f t="shared" si="104"/>
        <v>14</v>
      </c>
      <c r="AX113" s="86">
        <f t="shared" si="104"/>
        <v>15</v>
      </c>
      <c r="AY113" s="86">
        <f t="shared" si="104"/>
        <v>16</v>
      </c>
      <c r="AZ113" s="86">
        <f t="shared" si="104"/>
        <v>17</v>
      </c>
      <c r="BA113" s="86">
        <f t="shared" si="104"/>
        <v>18</v>
      </c>
      <c r="BB113" s="86">
        <f t="shared" si="104"/>
        <v>19</v>
      </c>
      <c r="BC113" s="86">
        <f t="shared" si="104"/>
        <v>20</v>
      </c>
      <c r="BD113" s="86">
        <f t="shared" si="104"/>
        <v>21</v>
      </c>
      <c r="BE113" s="86">
        <f t="shared" si="104"/>
        <v>22</v>
      </c>
      <c r="BF113" s="86">
        <f t="shared" si="104"/>
        <v>23</v>
      </c>
      <c r="BG113" s="86">
        <f t="shared" si="104"/>
        <v>24</v>
      </c>
      <c r="BH113" s="86">
        <f t="shared" si="104"/>
        <v>25</v>
      </c>
      <c r="BI113" s="86">
        <f t="shared" si="104"/>
        <v>26</v>
      </c>
      <c r="BJ113" s="86">
        <f t="shared" si="104"/>
        <v>27</v>
      </c>
      <c r="BK113" s="86">
        <f t="shared" si="104"/>
        <v>28</v>
      </c>
      <c r="BL113" s="86">
        <f t="shared" ref="BL113:BT113" si="106">BK113+1</f>
        <v>29</v>
      </c>
      <c r="BM113" s="86">
        <f t="shared" si="106"/>
        <v>30</v>
      </c>
      <c r="BN113" s="86">
        <f t="shared" si="106"/>
        <v>31</v>
      </c>
      <c r="BO113" s="86">
        <f t="shared" si="106"/>
        <v>32</v>
      </c>
      <c r="BP113" s="86">
        <f t="shared" si="106"/>
        <v>33</v>
      </c>
      <c r="BQ113" s="86">
        <f t="shared" si="106"/>
        <v>34</v>
      </c>
      <c r="BR113" s="86">
        <f t="shared" si="106"/>
        <v>35</v>
      </c>
      <c r="BS113" s="86">
        <f t="shared" si="106"/>
        <v>36</v>
      </c>
      <c r="BT113" s="86">
        <f t="shared" si="106"/>
        <v>37</v>
      </c>
      <c r="BU113" s="46"/>
      <c r="BV113" s="4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5"/>
      <c r="CX113" s="5"/>
      <c r="CY113" s="5"/>
      <c r="CZ113" s="5"/>
    </row>
    <row r="114" spans="1:104" ht="15" customHeight="1" x14ac:dyDescent="0.25">
      <c r="A114" t="s">
        <v>7</v>
      </c>
      <c r="B114" s="139">
        <v>19</v>
      </c>
      <c r="C114" s="140">
        <v>6</v>
      </c>
      <c r="D114" s="139" t="str">
        <f t="shared" si="84"/>
        <v>COUNTDOWN_WEST_F_2_23</v>
      </c>
      <c r="E114" s="140"/>
      <c r="F114" s="142" t="s">
        <v>33</v>
      </c>
      <c r="G114" s="140" t="s">
        <v>19</v>
      </c>
      <c r="H114" s="140" t="s">
        <v>7</v>
      </c>
      <c r="I114" s="140">
        <v>2</v>
      </c>
      <c r="J114" s="144"/>
      <c r="K114" s="144"/>
      <c r="L114" s="140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101"/>
      <c r="AD114" s="8"/>
      <c r="AE114" s="3"/>
      <c r="AF114" s="3"/>
      <c r="AG114" s="3"/>
      <c r="AH114" s="3"/>
      <c r="AI114" s="31"/>
      <c r="AJ114" s="86"/>
      <c r="AK114" s="86"/>
      <c r="AL114" s="86"/>
      <c r="AM114" s="3"/>
      <c r="AN114" s="3"/>
      <c r="AO114" s="3"/>
      <c r="AP114" s="3"/>
      <c r="AQ114" s="3"/>
      <c r="AR114" s="3"/>
      <c r="AS114" s="3"/>
      <c r="AT114" s="3"/>
      <c r="AU114" s="3"/>
      <c r="AV114" s="6"/>
      <c r="AW114" s="6"/>
      <c r="AX114" s="46"/>
      <c r="AY114" s="46"/>
      <c r="AZ114" s="46"/>
      <c r="BA114" s="56"/>
      <c r="BB114" s="56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5"/>
      <c r="CX114" s="5"/>
      <c r="CY114" s="5"/>
      <c r="CZ114" s="5"/>
    </row>
    <row r="115" spans="1:104" ht="15" customHeight="1" x14ac:dyDescent="0.25">
      <c r="A115" t="s">
        <v>14</v>
      </c>
      <c r="B115" s="139">
        <v>20</v>
      </c>
      <c r="C115" s="139">
        <v>1</v>
      </c>
      <c r="D115" s="139" t="str">
        <f t="shared" si="84"/>
        <v>SORTING_WEST_M_1_23</v>
      </c>
      <c r="E115" s="139" t="s">
        <v>35</v>
      </c>
      <c r="F115" s="138" t="s">
        <v>45</v>
      </c>
      <c r="G115" s="140" t="s">
        <v>19</v>
      </c>
      <c r="H115" s="140" t="s">
        <v>14</v>
      </c>
      <c r="I115" s="140">
        <v>1</v>
      </c>
      <c r="J115" s="139"/>
      <c r="K115" s="184">
        <f>COUNT(AD115:BF115)</f>
        <v>20</v>
      </c>
      <c r="L115" s="139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101"/>
      <c r="AD115" s="8">
        <v>1</v>
      </c>
      <c r="AE115" s="3">
        <f>AD115+1</f>
        <v>2</v>
      </c>
      <c r="AF115" s="3">
        <f t="shared" ref="AF115:AW116" si="107">AE115+1</f>
        <v>3</v>
      </c>
      <c r="AG115" s="3">
        <f t="shared" si="107"/>
        <v>4</v>
      </c>
      <c r="AH115" s="3">
        <f t="shared" si="107"/>
        <v>5</v>
      </c>
      <c r="AI115" s="3">
        <f t="shared" si="107"/>
        <v>6</v>
      </c>
      <c r="AJ115" s="3">
        <f t="shared" si="107"/>
        <v>7</v>
      </c>
      <c r="AK115" s="3">
        <f t="shared" si="107"/>
        <v>8</v>
      </c>
      <c r="AL115" s="3">
        <f t="shared" si="107"/>
        <v>9</v>
      </c>
      <c r="AM115" s="3">
        <f t="shared" si="107"/>
        <v>10</v>
      </c>
      <c r="AN115" s="3">
        <f t="shared" si="107"/>
        <v>11</v>
      </c>
      <c r="AO115" s="3">
        <f t="shared" si="107"/>
        <v>12</v>
      </c>
      <c r="AP115" s="3">
        <f t="shared" si="107"/>
        <v>13</v>
      </c>
      <c r="AQ115" s="3">
        <f t="shared" si="107"/>
        <v>14</v>
      </c>
      <c r="AR115" s="3">
        <f t="shared" si="107"/>
        <v>15</v>
      </c>
      <c r="AS115" s="3">
        <f t="shared" si="107"/>
        <v>16</v>
      </c>
      <c r="AT115" s="3">
        <f t="shared" si="107"/>
        <v>17</v>
      </c>
      <c r="AU115" s="3">
        <f t="shared" si="107"/>
        <v>18</v>
      </c>
      <c r="AV115" s="3">
        <f t="shared" si="107"/>
        <v>19</v>
      </c>
      <c r="AW115" s="3">
        <f t="shared" si="107"/>
        <v>20</v>
      </c>
      <c r="AX115" s="4"/>
      <c r="AY115" s="4"/>
      <c r="AZ115" s="4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5"/>
      <c r="CX115" s="5"/>
      <c r="CY115" s="5"/>
      <c r="CZ115" s="5"/>
    </row>
    <row r="116" spans="1:104" ht="15" customHeight="1" x14ac:dyDescent="0.25">
      <c r="A116" t="s">
        <v>14</v>
      </c>
      <c r="B116" s="139">
        <v>20</v>
      </c>
      <c r="C116" s="139">
        <v>2</v>
      </c>
      <c r="D116" s="139" t="str">
        <f t="shared" si="84"/>
        <v>TRANSFER_WEST_M_1_23</v>
      </c>
      <c r="E116" s="139" t="s">
        <v>21</v>
      </c>
      <c r="F116" s="138" t="s">
        <v>21</v>
      </c>
      <c r="G116" s="140" t="s">
        <v>19</v>
      </c>
      <c r="H116" s="140" t="s">
        <v>14</v>
      </c>
      <c r="I116" s="140">
        <v>1</v>
      </c>
      <c r="J116" s="139"/>
      <c r="K116" s="184">
        <f>COUNT(AD116:BF116)</f>
        <v>23</v>
      </c>
      <c r="L116" s="139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101"/>
      <c r="AD116" s="8">
        <v>1</v>
      </c>
      <c r="AE116" s="3">
        <f>AD116+1</f>
        <v>2</v>
      </c>
      <c r="AF116" s="3">
        <f t="shared" si="107"/>
        <v>3</v>
      </c>
      <c r="AG116" s="3">
        <f t="shared" si="107"/>
        <v>4</v>
      </c>
      <c r="AH116" s="3">
        <f t="shared" si="107"/>
        <v>5</v>
      </c>
      <c r="AI116" s="3">
        <f t="shared" si="107"/>
        <v>6</v>
      </c>
      <c r="AJ116" s="3">
        <f t="shared" si="107"/>
        <v>7</v>
      </c>
      <c r="AK116" s="3">
        <f t="shared" si="107"/>
        <v>8</v>
      </c>
      <c r="AL116" s="3">
        <f t="shared" si="107"/>
        <v>9</v>
      </c>
      <c r="AM116" s="3">
        <f t="shared" si="107"/>
        <v>10</v>
      </c>
      <c r="AN116" s="3">
        <f t="shared" si="107"/>
        <v>11</v>
      </c>
      <c r="AO116" s="3">
        <f t="shared" si="107"/>
        <v>12</v>
      </c>
      <c r="AP116" s="3">
        <f t="shared" si="107"/>
        <v>13</v>
      </c>
      <c r="AQ116" s="3">
        <f t="shared" si="107"/>
        <v>14</v>
      </c>
      <c r="AR116" s="3">
        <f t="shared" si="107"/>
        <v>15</v>
      </c>
      <c r="AS116" s="3">
        <f t="shared" si="107"/>
        <v>16</v>
      </c>
      <c r="AT116" s="3">
        <f t="shared" si="107"/>
        <v>17</v>
      </c>
      <c r="AU116" s="3">
        <f t="shared" si="107"/>
        <v>18</v>
      </c>
      <c r="AV116" s="3">
        <f t="shared" si="107"/>
        <v>19</v>
      </c>
      <c r="AW116" s="3">
        <f t="shared" si="107"/>
        <v>20</v>
      </c>
      <c r="AX116" s="3">
        <f t="shared" ref="AX116:BM119" si="108">AW116+1</f>
        <v>21</v>
      </c>
      <c r="AY116" s="3">
        <f t="shared" si="108"/>
        <v>22</v>
      </c>
      <c r="AZ116" s="3">
        <f t="shared" si="108"/>
        <v>23</v>
      </c>
      <c r="BA116" s="4"/>
      <c r="BB116" s="4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5"/>
      <c r="CX116" s="5"/>
      <c r="CY116" s="5"/>
      <c r="CZ116" s="5"/>
    </row>
    <row r="117" spans="1:104" ht="15" customHeight="1" x14ac:dyDescent="0.25">
      <c r="A117" t="s">
        <v>14</v>
      </c>
      <c r="B117" s="139">
        <v>20</v>
      </c>
      <c r="C117" s="139">
        <v>3</v>
      </c>
      <c r="D117" s="139" t="str">
        <f t="shared" si="84"/>
        <v>PREPARE_WEST_M_1_23</v>
      </c>
      <c r="E117" s="139" t="s">
        <v>0</v>
      </c>
      <c r="F117" s="138" t="s">
        <v>46</v>
      </c>
      <c r="G117" s="140" t="s">
        <v>19</v>
      </c>
      <c r="H117" s="140" t="s">
        <v>14</v>
      </c>
      <c r="I117" s="140">
        <v>1</v>
      </c>
      <c r="J117" s="141"/>
      <c r="K117" s="184">
        <f>COUNT(M117:BF117)</f>
        <v>42</v>
      </c>
      <c r="L117" s="139"/>
      <c r="M117" s="3">
        <v>1</v>
      </c>
      <c r="N117" s="3">
        <f>M117+1</f>
        <v>2</v>
      </c>
      <c r="O117" s="3">
        <f t="shared" ref="O117:AW119" si="109">N117+1</f>
        <v>3</v>
      </c>
      <c r="P117" s="3">
        <f t="shared" si="109"/>
        <v>4</v>
      </c>
      <c r="Q117" s="3">
        <f t="shared" si="109"/>
        <v>5</v>
      </c>
      <c r="R117" s="3">
        <f t="shared" si="109"/>
        <v>6</v>
      </c>
      <c r="S117" s="3">
        <f t="shared" si="109"/>
        <v>7</v>
      </c>
      <c r="T117" s="3">
        <f t="shared" si="109"/>
        <v>8</v>
      </c>
      <c r="U117" s="3">
        <f t="shared" si="109"/>
        <v>9</v>
      </c>
      <c r="V117" s="3">
        <f t="shared" si="109"/>
        <v>10</v>
      </c>
      <c r="W117" s="3">
        <f t="shared" si="109"/>
        <v>11</v>
      </c>
      <c r="X117" s="3">
        <f t="shared" si="109"/>
        <v>12</v>
      </c>
      <c r="Y117" s="3">
        <f t="shared" si="109"/>
        <v>13</v>
      </c>
      <c r="Z117" s="3">
        <f t="shared" si="109"/>
        <v>14</v>
      </c>
      <c r="AA117" s="3">
        <f t="shared" si="109"/>
        <v>15</v>
      </c>
      <c r="AB117" s="3">
        <f t="shared" si="109"/>
        <v>16</v>
      </c>
      <c r="AC117" s="3">
        <f t="shared" si="109"/>
        <v>17</v>
      </c>
      <c r="AD117" s="3">
        <f t="shared" si="109"/>
        <v>18</v>
      </c>
      <c r="AE117" s="3">
        <f t="shared" si="109"/>
        <v>19</v>
      </c>
      <c r="AF117" s="3">
        <f t="shared" si="109"/>
        <v>20</v>
      </c>
      <c r="AG117" s="3">
        <f t="shared" si="109"/>
        <v>21</v>
      </c>
      <c r="AH117" s="3">
        <f t="shared" si="109"/>
        <v>22</v>
      </c>
      <c r="AI117" s="3">
        <f t="shared" si="109"/>
        <v>23</v>
      </c>
      <c r="AJ117" s="3">
        <f t="shared" si="109"/>
        <v>24</v>
      </c>
      <c r="AK117" s="3">
        <f t="shared" si="109"/>
        <v>25</v>
      </c>
      <c r="AL117" s="3">
        <f t="shared" si="109"/>
        <v>26</v>
      </c>
      <c r="AM117" s="3">
        <f t="shared" si="109"/>
        <v>27</v>
      </c>
      <c r="AN117" s="3">
        <f t="shared" si="109"/>
        <v>28</v>
      </c>
      <c r="AO117" s="3">
        <f t="shared" si="109"/>
        <v>29</v>
      </c>
      <c r="AP117" s="3">
        <f t="shared" si="109"/>
        <v>30</v>
      </c>
      <c r="AQ117" s="3">
        <f t="shared" si="109"/>
        <v>31</v>
      </c>
      <c r="AR117" s="3">
        <f t="shared" si="109"/>
        <v>32</v>
      </c>
      <c r="AS117" s="3">
        <f t="shared" si="109"/>
        <v>33</v>
      </c>
      <c r="AT117" s="3">
        <f t="shared" si="109"/>
        <v>34</v>
      </c>
      <c r="AU117" s="3">
        <f t="shared" si="109"/>
        <v>35</v>
      </c>
      <c r="AV117" s="3">
        <f t="shared" si="109"/>
        <v>36</v>
      </c>
      <c r="AW117" s="3">
        <f t="shared" si="109"/>
        <v>37</v>
      </c>
      <c r="AX117" s="3">
        <f t="shared" si="108"/>
        <v>38</v>
      </c>
      <c r="AY117" s="3">
        <f t="shared" si="108"/>
        <v>39</v>
      </c>
      <c r="AZ117" s="3">
        <f t="shared" si="108"/>
        <v>40</v>
      </c>
      <c r="BA117" s="3">
        <f t="shared" si="108"/>
        <v>41</v>
      </c>
      <c r="BB117" s="3">
        <f t="shared" si="108"/>
        <v>42</v>
      </c>
      <c r="BC117" s="4"/>
      <c r="BD117" s="4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5"/>
      <c r="CX117" s="5"/>
      <c r="CY117" s="5"/>
      <c r="CZ117" s="5"/>
    </row>
    <row r="118" spans="1:104" ht="15" customHeight="1" x14ac:dyDescent="0.25">
      <c r="A118" t="s">
        <v>14</v>
      </c>
      <c r="B118" s="139">
        <v>20</v>
      </c>
      <c r="C118" s="139">
        <v>4</v>
      </c>
      <c r="D118" s="139" t="str">
        <f t="shared" si="84"/>
        <v>SUPPLY_WEST_M_1_23</v>
      </c>
      <c r="E118" s="139" t="s">
        <v>0</v>
      </c>
      <c r="F118" s="142" t="s">
        <v>0</v>
      </c>
      <c r="G118" s="140" t="s">
        <v>19</v>
      </c>
      <c r="H118" s="140" t="s">
        <v>14</v>
      </c>
      <c r="I118" s="140">
        <v>1</v>
      </c>
      <c r="J118" s="143"/>
      <c r="K118" s="184">
        <f>COUNT(AJ118:CC118)</f>
        <v>21</v>
      </c>
      <c r="L118" s="140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101"/>
      <c r="AD118" s="42"/>
      <c r="AE118" s="46"/>
      <c r="AF118" s="46"/>
      <c r="AG118" s="46"/>
      <c r="AH118" s="46"/>
      <c r="AI118" s="57"/>
      <c r="AJ118" s="86">
        <v>1</v>
      </c>
      <c r="AK118" s="86">
        <f>AJ118+1</f>
        <v>2</v>
      </c>
      <c r="AL118" s="86">
        <f t="shared" si="109"/>
        <v>3</v>
      </c>
      <c r="AM118" s="86">
        <f t="shared" si="109"/>
        <v>4</v>
      </c>
      <c r="AN118" s="86">
        <f t="shared" si="109"/>
        <v>5</v>
      </c>
      <c r="AO118" s="86">
        <f t="shared" si="109"/>
        <v>6</v>
      </c>
      <c r="AP118" s="86">
        <f t="shared" si="109"/>
        <v>7</v>
      </c>
      <c r="AQ118" s="86">
        <f t="shared" si="109"/>
        <v>8</v>
      </c>
      <c r="AR118" s="86">
        <f t="shared" si="109"/>
        <v>9</v>
      </c>
      <c r="AS118" s="86">
        <f t="shared" si="109"/>
        <v>10</v>
      </c>
      <c r="AT118" s="86">
        <f t="shared" si="109"/>
        <v>11</v>
      </c>
      <c r="AU118" s="86">
        <f t="shared" si="109"/>
        <v>12</v>
      </c>
      <c r="AV118" s="86">
        <f t="shared" si="109"/>
        <v>13</v>
      </c>
      <c r="AW118" s="86">
        <f t="shared" si="109"/>
        <v>14</v>
      </c>
      <c r="AX118" s="86">
        <f t="shared" si="108"/>
        <v>15</v>
      </c>
      <c r="AY118" s="86">
        <f t="shared" si="108"/>
        <v>16</v>
      </c>
      <c r="AZ118" s="86">
        <f t="shared" si="108"/>
        <v>17</v>
      </c>
      <c r="BA118" s="86">
        <f t="shared" si="108"/>
        <v>18</v>
      </c>
      <c r="BB118" s="86">
        <f t="shared" si="108"/>
        <v>19</v>
      </c>
      <c r="BC118" s="86">
        <f t="shared" si="108"/>
        <v>20</v>
      </c>
      <c r="BD118" s="86">
        <f t="shared" si="108"/>
        <v>21</v>
      </c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97"/>
      <c r="BV118" s="4"/>
      <c r="BW118" s="4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5"/>
      <c r="CX118" s="5"/>
      <c r="CY118" s="5"/>
      <c r="CZ118" s="5"/>
    </row>
    <row r="119" spans="1:104" ht="15" customHeight="1" x14ac:dyDescent="0.25">
      <c r="A119" t="s">
        <v>14</v>
      </c>
      <c r="B119" s="139">
        <v>20</v>
      </c>
      <c r="C119" s="140">
        <v>5</v>
      </c>
      <c r="D119" s="139" t="str">
        <f t="shared" si="84"/>
        <v>EMPTY_WEST_M_1_23</v>
      </c>
      <c r="E119" s="140" t="s">
        <v>0</v>
      </c>
      <c r="F119" s="142" t="s">
        <v>32</v>
      </c>
      <c r="G119" s="140" t="s">
        <v>19</v>
      </c>
      <c r="H119" s="140" t="s">
        <v>14</v>
      </c>
      <c r="I119" s="140">
        <v>1</v>
      </c>
      <c r="J119" s="139"/>
      <c r="K119" s="184">
        <f>COUNT(AJ119:CC119)</f>
        <v>40</v>
      </c>
      <c r="L119" s="139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101"/>
      <c r="AD119" s="42"/>
      <c r="AE119" s="46"/>
      <c r="AF119" s="46"/>
      <c r="AG119" s="46"/>
      <c r="AH119" s="46"/>
      <c r="AI119" s="57"/>
      <c r="AJ119" s="86">
        <v>1</v>
      </c>
      <c r="AK119" s="86">
        <f>AJ119+1</f>
        <v>2</v>
      </c>
      <c r="AL119" s="86">
        <f t="shared" si="109"/>
        <v>3</v>
      </c>
      <c r="AM119" s="86">
        <f t="shared" si="109"/>
        <v>4</v>
      </c>
      <c r="AN119" s="86">
        <f t="shared" si="109"/>
        <v>5</v>
      </c>
      <c r="AO119" s="86">
        <f t="shared" si="109"/>
        <v>6</v>
      </c>
      <c r="AP119" s="86">
        <f t="shared" si="109"/>
        <v>7</v>
      </c>
      <c r="AQ119" s="86">
        <f t="shared" si="109"/>
        <v>8</v>
      </c>
      <c r="AR119" s="86">
        <f t="shared" si="109"/>
        <v>9</v>
      </c>
      <c r="AS119" s="86">
        <f t="shared" si="109"/>
        <v>10</v>
      </c>
      <c r="AT119" s="86">
        <f t="shared" si="109"/>
        <v>11</v>
      </c>
      <c r="AU119" s="86">
        <f t="shared" si="109"/>
        <v>12</v>
      </c>
      <c r="AV119" s="86">
        <f t="shared" si="109"/>
        <v>13</v>
      </c>
      <c r="AW119" s="86">
        <f t="shared" si="109"/>
        <v>14</v>
      </c>
      <c r="AX119" s="86">
        <f t="shared" si="108"/>
        <v>15</v>
      </c>
      <c r="AY119" s="86">
        <f t="shared" si="108"/>
        <v>16</v>
      </c>
      <c r="AZ119" s="86">
        <f t="shared" si="108"/>
        <v>17</v>
      </c>
      <c r="BA119" s="86">
        <f t="shared" si="108"/>
        <v>18</v>
      </c>
      <c r="BB119" s="86">
        <f t="shared" si="108"/>
        <v>19</v>
      </c>
      <c r="BC119" s="86">
        <f t="shared" si="108"/>
        <v>20</v>
      </c>
      <c r="BD119" s="86">
        <f t="shared" si="108"/>
        <v>21</v>
      </c>
      <c r="BE119" s="86">
        <f t="shared" si="108"/>
        <v>22</v>
      </c>
      <c r="BF119" s="86">
        <f t="shared" si="108"/>
        <v>23</v>
      </c>
      <c r="BG119" s="86">
        <f t="shared" si="108"/>
        <v>24</v>
      </c>
      <c r="BH119" s="86">
        <f t="shared" si="108"/>
        <v>25</v>
      </c>
      <c r="BI119" s="86">
        <f t="shared" si="108"/>
        <v>26</v>
      </c>
      <c r="BJ119" s="86">
        <f t="shared" si="108"/>
        <v>27</v>
      </c>
      <c r="BK119" s="86">
        <f t="shared" si="108"/>
        <v>28</v>
      </c>
      <c r="BL119" s="86">
        <f t="shared" si="108"/>
        <v>29</v>
      </c>
      <c r="BM119" s="86">
        <f t="shared" si="108"/>
        <v>30</v>
      </c>
      <c r="BN119" s="86">
        <f t="shared" ref="BN119:BW119" si="110">BM119+1</f>
        <v>31</v>
      </c>
      <c r="BO119" s="86">
        <f t="shared" si="110"/>
        <v>32</v>
      </c>
      <c r="BP119" s="86">
        <f t="shared" si="110"/>
        <v>33</v>
      </c>
      <c r="BQ119" s="86">
        <f t="shared" si="110"/>
        <v>34</v>
      </c>
      <c r="BR119" s="86">
        <f t="shared" si="110"/>
        <v>35</v>
      </c>
      <c r="BS119" s="86">
        <f t="shared" si="110"/>
        <v>36</v>
      </c>
      <c r="BT119" s="86">
        <f t="shared" si="110"/>
        <v>37</v>
      </c>
      <c r="BU119" s="86">
        <f t="shared" si="110"/>
        <v>38</v>
      </c>
      <c r="BV119" s="86">
        <f t="shared" si="110"/>
        <v>39</v>
      </c>
      <c r="BW119" s="86">
        <f t="shared" si="110"/>
        <v>40</v>
      </c>
      <c r="BX119" s="46"/>
      <c r="BY119" s="4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5"/>
      <c r="CX119" s="5"/>
      <c r="CY119" s="5"/>
      <c r="CZ119" s="5"/>
    </row>
    <row r="120" spans="1:104" ht="15.75" customHeight="1" thickBot="1" x14ac:dyDescent="0.3">
      <c r="A120" t="s">
        <v>14</v>
      </c>
      <c r="B120" s="139">
        <v>20</v>
      </c>
      <c r="C120" s="140">
        <v>6</v>
      </c>
      <c r="D120" s="139" t="str">
        <f t="shared" si="84"/>
        <v>COUNTDOWN_WEST_M_1_23</v>
      </c>
      <c r="E120" s="140"/>
      <c r="F120" s="142" t="s">
        <v>33</v>
      </c>
      <c r="G120" s="140" t="s">
        <v>19</v>
      </c>
      <c r="H120" s="140" t="s">
        <v>14</v>
      </c>
      <c r="I120" s="140">
        <v>1</v>
      </c>
      <c r="J120" s="144"/>
      <c r="K120" s="144"/>
      <c r="L120" s="140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101"/>
      <c r="AD120" s="221"/>
      <c r="AE120" s="83"/>
      <c r="AF120" s="83"/>
      <c r="AG120" s="83"/>
      <c r="AH120" s="83"/>
      <c r="AI120" s="222"/>
      <c r="AJ120" s="133"/>
      <c r="AK120" s="133"/>
      <c r="AL120" s="133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6"/>
      <c r="AY120" s="6"/>
      <c r="AZ120" s="6"/>
      <c r="BA120" s="46"/>
      <c r="BB120" s="46"/>
      <c r="BC120" s="56"/>
      <c r="BD120" s="56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5"/>
      <c r="CX120" s="5"/>
      <c r="CY120" s="5"/>
      <c r="CZ120" s="5"/>
    </row>
  </sheetData>
  <mergeCells count="2">
    <mergeCell ref="AB2:AE2"/>
    <mergeCell ref="AH2:A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D120"/>
  <sheetViews>
    <sheetView topLeftCell="C1" zoomScale="85" zoomScaleNormal="85" workbookViewId="0">
      <selection activeCell="AM11" sqref="AM11"/>
    </sheetView>
  </sheetViews>
  <sheetFormatPr defaultRowHeight="15" x14ac:dyDescent="0.25"/>
  <cols>
    <col min="1" max="1" width="3" customWidth="1"/>
    <col min="2" max="2" width="6.85546875" bestFit="1" customWidth="1"/>
    <col min="3" max="3" width="14.42578125" customWidth="1"/>
    <col min="4" max="4" width="32.5703125" bestFit="1" customWidth="1"/>
    <col min="5" max="5" width="17.28515625" bestFit="1" customWidth="1"/>
    <col min="6" max="6" width="14.85546875" bestFit="1" customWidth="1"/>
    <col min="7" max="7" width="6.7109375" bestFit="1" customWidth="1"/>
    <col min="9" max="9" width="4.7109375" bestFit="1" customWidth="1"/>
    <col min="10" max="11" width="8.140625" customWidth="1"/>
    <col min="13" max="108" width="3.7109375" customWidth="1"/>
  </cols>
  <sheetData>
    <row r="1" spans="2:108" ht="21" x14ac:dyDescent="0.25">
      <c r="B1" s="44" t="s">
        <v>60</v>
      </c>
      <c r="D1" s="335">
        <v>24</v>
      </c>
      <c r="E1" s="334" t="s">
        <v>66</v>
      </c>
    </row>
    <row r="2" spans="2:108" x14ac:dyDescent="0.25">
      <c r="AB2" s="360" t="s">
        <v>43</v>
      </c>
      <c r="AC2" s="361"/>
      <c r="AD2" s="361"/>
      <c r="AE2" s="361"/>
      <c r="AF2" s="362"/>
      <c r="AI2" s="360" t="s">
        <v>44</v>
      </c>
      <c r="AJ2" s="361"/>
      <c r="AK2" s="361"/>
      <c r="AL2" s="361"/>
      <c r="AM2" s="361"/>
      <c r="AN2" s="362"/>
    </row>
    <row r="3" spans="2:108" x14ac:dyDescent="0.25">
      <c r="AC3" s="172"/>
      <c r="AD3" s="188"/>
      <c r="AJ3" s="174"/>
      <c r="AK3" s="2"/>
      <c r="AL3" s="2"/>
      <c r="AM3" s="2"/>
    </row>
    <row r="4" spans="2:108" ht="18.75" customHeight="1" thickBot="1" x14ac:dyDescent="0.3">
      <c r="B4" s="135" t="s">
        <v>26</v>
      </c>
      <c r="C4" s="135" t="s">
        <v>25</v>
      </c>
      <c r="D4" s="135"/>
      <c r="E4" s="135" t="s">
        <v>34</v>
      </c>
      <c r="F4" s="135" t="s">
        <v>29</v>
      </c>
      <c r="G4" s="135" t="s">
        <v>17</v>
      </c>
      <c r="H4" s="135" t="s">
        <v>1</v>
      </c>
      <c r="I4" s="135" t="s">
        <v>20</v>
      </c>
      <c r="J4" s="135" t="s">
        <v>30</v>
      </c>
      <c r="K4" s="135" t="s">
        <v>31</v>
      </c>
      <c r="L4" s="135" t="s">
        <v>27</v>
      </c>
      <c r="AC4" s="173"/>
      <c r="AD4" s="353"/>
      <c r="AJ4" s="354"/>
    </row>
    <row r="5" spans="2:108" ht="18.75" customHeight="1" x14ac:dyDescent="0.25">
      <c r="B5" s="136"/>
      <c r="C5" s="136"/>
      <c r="D5" s="136"/>
      <c r="E5" s="136"/>
      <c r="F5" s="136"/>
      <c r="G5" s="136"/>
      <c r="H5" s="136"/>
      <c r="I5" s="145"/>
      <c r="J5" s="136"/>
      <c r="K5" s="136">
        <v>17</v>
      </c>
      <c r="L5" s="137" t="s">
        <v>37</v>
      </c>
      <c r="M5" s="4">
        <v>24</v>
      </c>
      <c r="N5" s="4">
        <v>23</v>
      </c>
      <c r="O5" s="4">
        <v>22</v>
      </c>
      <c r="P5" s="4">
        <v>21</v>
      </c>
      <c r="Q5" s="4">
        <v>20</v>
      </c>
      <c r="R5" s="4">
        <v>19</v>
      </c>
      <c r="S5" s="4">
        <v>18</v>
      </c>
      <c r="T5" s="4">
        <v>17</v>
      </c>
      <c r="U5" s="4">
        <v>16</v>
      </c>
      <c r="V5" s="4">
        <v>15</v>
      </c>
      <c r="W5" s="4">
        <v>14</v>
      </c>
      <c r="X5" s="4">
        <v>13</v>
      </c>
      <c r="Y5" s="4">
        <v>12</v>
      </c>
      <c r="Z5" s="4">
        <v>11</v>
      </c>
      <c r="AA5" s="4">
        <v>10</v>
      </c>
      <c r="AB5" s="4">
        <v>9</v>
      </c>
      <c r="AC5" s="97">
        <v>8</v>
      </c>
      <c r="AD5" s="97">
        <v>7</v>
      </c>
      <c r="AE5" s="11">
        <v>6</v>
      </c>
      <c r="AF5" s="12">
        <v>5</v>
      </c>
      <c r="AG5" s="12">
        <v>4</v>
      </c>
      <c r="AH5" s="12">
        <v>3</v>
      </c>
      <c r="AI5" s="12">
        <v>2</v>
      </c>
      <c r="AJ5" s="18">
        <v>1</v>
      </c>
      <c r="AK5" s="95">
        <v>24</v>
      </c>
      <c r="AL5" s="95">
        <v>23</v>
      </c>
      <c r="AM5" s="95">
        <v>22</v>
      </c>
      <c r="AN5" s="95">
        <v>21</v>
      </c>
      <c r="AO5" s="40">
        <v>20</v>
      </c>
      <c r="AP5" s="40">
        <v>19</v>
      </c>
      <c r="AQ5" s="40">
        <v>18</v>
      </c>
      <c r="AR5" s="40">
        <v>17</v>
      </c>
      <c r="AS5" s="40">
        <v>16</v>
      </c>
      <c r="AT5" s="40">
        <v>15</v>
      </c>
      <c r="AU5" s="40">
        <v>14</v>
      </c>
      <c r="AV5" s="40">
        <v>13</v>
      </c>
      <c r="AW5" s="40">
        <v>12</v>
      </c>
      <c r="AX5" s="40">
        <v>11</v>
      </c>
      <c r="AY5" s="40">
        <v>10</v>
      </c>
      <c r="AZ5" s="40">
        <v>9</v>
      </c>
      <c r="BA5" s="40">
        <v>8</v>
      </c>
      <c r="BB5" s="40">
        <v>7</v>
      </c>
      <c r="BC5" s="40">
        <v>6</v>
      </c>
      <c r="BD5" s="40">
        <v>5</v>
      </c>
      <c r="BE5" s="40">
        <v>4</v>
      </c>
      <c r="BF5" s="40">
        <v>3</v>
      </c>
      <c r="BG5" s="40">
        <v>2</v>
      </c>
      <c r="BH5" s="40">
        <v>1</v>
      </c>
      <c r="BI5" s="37">
        <v>24</v>
      </c>
      <c r="BJ5" s="37">
        <v>23</v>
      </c>
      <c r="BK5" s="37">
        <v>22</v>
      </c>
      <c r="BL5" s="37">
        <v>21</v>
      </c>
      <c r="BM5" s="37">
        <v>20</v>
      </c>
      <c r="BN5" s="37">
        <v>19</v>
      </c>
      <c r="BO5" s="37">
        <v>18</v>
      </c>
      <c r="BP5" s="37">
        <v>17</v>
      </c>
      <c r="BQ5" s="37">
        <v>16</v>
      </c>
      <c r="BR5" s="37">
        <v>15</v>
      </c>
      <c r="BS5" s="37">
        <v>14</v>
      </c>
      <c r="BT5" s="37">
        <v>13</v>
      </c>
      <c r="BU5" s="37">
        <v>12</v>
      </c>
      <c r="BV5" s="37">
        <v>11</v>
      </c>
      <c r="BW5" s="37">
        <v>10</v>
      </c>
      <c r="BX5" s="37">
        <v>9</v>
      </c>
      <c r="BY5" s="37">
        <v>8</v>
      </c>
      <c r="BZ5" s="37">
        <v>7</v>
      </c>
      <c r="CA5" s="37">
        <v>6</v>
      </c>
      <c r="CB5" s="37">
        <v>5</v>
      </c>
      <c r="CC5" s="37">
        <v>4</v>
      </c>
      <c r="CD5" s="37">
        <v>3</v>
      </c>
      <c r="CE5" s="37">
        <v>2</v>
      </c>
      <c r="CF5" s="37">
        <v>1</v>
      </c>
      <c r="CG5" s="88">
        <v>24</v>
      </c>
      <c r="CH5" s="88">
        <v>23</v>
      </c>
      <c r="CI5" s="88">
        <v>22</v>
      </c>
      <c r="CJ5" s="88">
        <v>21</v>
      </c>
      <c r="CK5" s="88">
        <v>20</v>
      </c>
      <c r="CL5" s="88">
        <v>19</v>
      </c>
      <c r="CM5" s="88">
        <v>18</v>
      </c>
      <c r="CN5" s="88">
        <v>17</v>
      </c>
      <c r="CO5" s="88">
        <v>16</v>
      </c>
      <c r="CP5" s="88">
        <v>15</v>
      </c>
      <c r="CQ5" s="88">
        <v>14</v>
      </c>
      <c r="CR5" s="88">
        <v>13</v>
      </c>
      <c r="CS5" s="88">
        <v>12</v>
      </c>
      <c r="CT5" s="88">
        <v>11</v>
      </c>
      <c r="CU5" s="88">
        <v>10</v>
      </c>
      <c r="CV5" s="88">
        <v>9</v>
      </c>
      <c r="CW5" s="88">
        <v>8</v>
      </c>
      <c r="CX5" s="88">
        <v>7</v>
      </c>
      <c r="CY5" s="88">
        <v>6</v>
      </c>
      <c r="CZ5" s="88">
        <v>5</v>
      </c>
      <c r="DA5" s="88">
        <v>4</v>
      </c>
      <c r="DB5" s="88">
        <v>3</v>
      </c>
      <c r="DC5" s="88">
        <v>2</v>
      </c>
      <c r="DD5" s="88">
        <v>1</v>
      </c>
    </row>
    <row r="6" spans="2:108" ht="18.75" customHeight="1" x14ac:dyDescent="0.25">
      <c r="B6" s="146">
        <v>0</v>
      </c>
      <c r="C6" s="146">
        <v>0</v>
      </c>
      <c r="D6" s="146"/>
      <c r="E6" s="146"/>
      <c r="F6" s="147" t="s">
        <v>23</v>
      </c>
      <c r="G6" s="146"/>
      <c r="H6" s="149"/>
      <c r="I6" s="148"/>
      <c r="J6" s="149"/>
      <c r="K6" s="150"/>
      <c r="L6" s="150"/>
      <c r="M6" s="4">
        <v>17</v>
      </c>
      <c r="N6" s="4">
        <v>16</v>
      </c>
      <c r="O6" s="4">
        <v>15</v>
      </c>
      <c r="P6" s="4">
        <v>14</v>
      </c>
      <c r="Q6" s="4">
        <v>13</v>
      </c>
      <c r="R6" s="4">
        <v>12</v>
      </c>
      <c r="S6" s="4">
        <v>11</v>
      </c>
      <c r="T6" s="4">
        <v>10</v>
      </c>
      <c r="U6" s="4">
        <v>9</v>
      </c>
      <c r="V6" s="4">
        <v>8</v>
      </c>
      <c r="W6" s="4">
        <v>7</v>
      </c>
      <c r="X6" s="4">
        <v>6</v>
      </c>
      <c r="Y6" s="4">
        <v>5</v>
      </c>
      <c r="Z6" s="4">
        <v>4</v>
      </c>
      <c r="AA6" s="4">
        <v>3</v>
      </c>
      <c r="AB6" s="97">
        <v>2</v>
      </c>
      <c r="AC6" s="97">
        <v>1</v>
      </c>
      <c r="AD6" s="96">
        <v>24</v>
      </c>
      <c r="AE6" s="39">
        <v>23</v>
      </c>
      <c r="AF6" s="40">
        <v>22</v>
      </c>
      <c r="AG6" s="40">
        <v>21</v>
      </c>
      <c r="AH6" s="95">
        <v>20</v>
      </c>
      <c r="AI6" s="40">
        <v>19</v>
      </c>
      <c r="AJ6" s="41">
        <v>18</v>
      </c>
      <c r="AK6" s="95">
        <v>17</v>
      </c>
      <c r="AL6" s="95">
        <v>16</v>
      </c>
      <c r="AM6" s="40">
        <v>15</v>
      </c>
      <c r="AN6" s="40">
        <v>14</v>
      </c>
      <c r="AO6" s="95">
        <v>13</v>
      </c>
      <c r="AP6" s="40">
        <v>12</v>
      </c>
      <c r="AQ6" s="40">
        <v>11</v>
      </c>
      <c r="AR6" s="95">
        <v>10</v>
      </c>
      <c r="AS6" s="40">
        <v>9</v>
      </c>
      <c r="AT6" s="40">
        <v>8</v>
      </c>
      <c r="AU6" s="95">
        <v>7</v>
      </c>
      <c r="AV6" s="40">
        <v>6</v>
      </c>
      <c r="AW6" s="40">
        <v>5</v>
      </c>
      <c r="AX6" s="95">
        <v>4</v>
      </c>
      <c r="AY6" s="40">
        <v>3</v>
      </c>
      <c r="AZ6" s="40">
        <v>2</v>
      </c>
      <c r="BA6" s="95">
        <v>1</v>
      </c>
      <c r="BB6" s="37">
        <v>24</v>
      </c>
      <c r="BC6" s="37">
        <v>23</v>
      </c>
      <c r="BD6" s="37">
        <v>22</v>
      </c>
      <c r="BE6" s="37">
        <v>21</v>
      </c>
      <c r="BF6" s="37">
        <v>20</v>
      </c>
      <c r="BG6" s="37">
        <v>19</v>
      </c>
      <c r="BH6" s="37">
        <v>18</v>
      </c>
      <c r="BI6" s="37">
        <v>17</v>
      </c>
      <c r="BJ6" s="37">
        <v>16</v>
      </c>
      <c r="BK6" s="37">
        <v>15</v>
      </c>
      <c r="BL6" s="37">
        <v>14</v>
      </c>
      <c r="BM6" s="37">
        <v>13</v>
      </c>
      <c r="BN6" s="37">
        <v>12</v>
      </c>
      <c r="BO6" s="37">
        <v>11</v>
      </c>
      <c r="BP6" s="37">
        <v>10</v>
      </c>
      <c r="BQ6" s="37">
        <v>9</v>
      </c>
      <c r="BR6" s="37">
        <v>8</v>
      </c>
      <c r="BS6" s="37">
        <v>7</v>
      </c>
      <c r="BT6" s="37">
        <v>6</v>
      </c>
      <c r="BU6" s="37">
        <v>5</v>
      </c>
      <c r="BV6" s="37">
        <v>4</v>
      </c>
      <c r="BW6" s="37">
        <v>3</v>
      </c>
      <c r="BX6" s="37">
        <v>2</v>
      </c>
      <c r="BY6" s="37">
        <v>1</v>
      </c>
      <c r="BZ6" s="88">
        <v>24</v>
      </c>
      <c r="CA6" s="88">
        <v>23</v>
      </c>
      <c r="CB6" s="88">
        <v>22</v>
      </c>
      <c r="CC6" s="88">
        <v>21</v>
      </c>
      <c r="CD6" s="88">
        <v>20</v>
      </c>
      <c r="CE6" s="88">
        <v>19</v>
      </c>
      <c r="CF6" s="88">
        <v>18</v>
      </c>
      <c r="CG6" s="88">
        <v>17</v>
      </c>
      <c r="CH6" s="88">
        <v>16</v>
      </c>
      <c r="CI6" s="88">
        <v>15</v>
      </c>
      <c r="CJ6" s="88">
        <v>14</v>
      </c>
      <c r="CK6" s="88">
        <v>13</v>
      </c>
      <c r="CL6" s="88">
        <v>12</v>
      </c>
      <c r="CM6" s="88">
        <v>11</v>
      </c>
      <c r="CN6" s="88">
        <v>10</v>
      </c>
      <c r="CO6" s="88">
        <v>9</v>
      </c>
      <c r="CP6" s="88">
        <v>8</v>
      </c>
      <c r="CQ6" s="88">
        <v>7</v>
      </c>
      <c r="CR6" s="88">
        <v>6</v>
      </c>
      <c r="CS6" s="88">
        <v>5</v>
      </c>
      <c r="CT6" s="88">
        <v>4</v>
      </c>
      <c r="CU6" s="88">
        <v>3</v>
      </c>
      <c r="CV6" s="88">
        <v>2</v>
      </c>
      <c r="CW6" s="88">
        <v>1</v>
      </c>
      <c r="CX6" s="5">
        <v>24</v>
      </c>
      <c r="CY6" s="5">
        <v>23</v>
      </c>
      <c r="CZ6" s="5">
        <v>22</v>
      </c>
      <c r="DA6" s="5">
        <v>21</v>
      </c>
      <c r="DB6" s="5">
        <v>20</v>
      </c>
      <c r="DC6" s="5">
        <v>19</v>
      </c>
      <c r="DD6" s="5">
        <v>18</v>
      </c>
    </row>
    <row r="7" spans="2:108" ht="15" customHeight="1" x14ac:dyDescent="0.25">
      <c r="B7" s="139">
        <v>1</v>
      </c>
      <c r="C7" s="139">
        <v>1</v>
      </c>
      <c r="D7" s="139" t="str">
        <f>F7&amp;"_"&amp;G7&amp;"_"&amp;H7&amp;"_"&amp;I7&amp;"_"&amp;$D$1</f>
        <v>SORTING_EAST_UNP_1_24</v>
      </c>
      <c r="E7" s="139" t="s">
        <v>35</v>
      </c>
      <c r="F7" s="138" t="s">
        <v>45</v>
      </c>
      <c r="G7" s="140" t="s">
        <v>18</v>
      </c>
      <c r="H7" s="140" t="s">
        <v>42</v>
      </c>
      <c r="I7" s="140">
        <v>1</v>
      </c>
      <c r="J7" s="139"/>
      <c r="K7" s="184">
        <f>COUNT(AD7:BH7)</f>
        <v>0</v>
      </c>
      <c r="L7" s="139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101"/>
      <c r="AC7" s="101"/>
      <c r="AD7" s="97"/>
      <c r="AE7" s="9"/>
      <c r="AF7" s="4"/>
      <c r="AG7" s="3"/>
      <c r="AH7" s="3"/>
      <c r="AI7" s="3"/>
      <c r="AJ7" s="31"/>
      <c r="AK7" s="86"/>
      <c r="AL7" s="86"/>
      <c r="AM7" s="86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5"/>
      <c r="DB7" s="5"/>
      <c r="DC7" s="5"/>
      <c r="DD7" s="5"/>
    </row>
    <row r="8" spans="2:108" ht="15" customHeight="1" x14ac:dyDescent="0.25">
      <c r="B8" s="139">
        <v>1</v>
      </c>
      <c r="C8" s="139">
        <v>2</v>
      </c>
      <c r="D8" s="139" t="str">
        <f t="shared" ref="D8:D77" si="0">F8&amp;"_"&amp;G8&amp;"_"&amp;H8&amp;"_"&amp;I8&amp;"_"&amp;$D$1</f>
        <v>TRANSFER_EAST_UNP_1_24</v>
      </c>
      <c r="E8" s="139" t="s">
        <v>21</v>
      </c>
      <c r="F8" s="138" t="s">
        <v>21</v>
      </c>
      <c r="G8" s="140" t="s">
        <v>18</v>
      </c>
      <c r="H8" s="140" t="s">
        <v>42</v>
      </c>
      <c r="I8" s="140">
        <v>1</v>
      </c>
      <c r="J8" s="139"/>
      <c r="K8" s="184">
        <f>COUNT(AE8:BH8)</f>
        <v>1</v>
      </c>
      <c r="L8" s="139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101"/>
      <c r="AC8" s="101"/>
      <c r="AD8" s="30">
        <v>1</v>
      </c>
      <c r="AE8" s="8">
        <v>2</v>
      </c>
      <c r="AF8" s="4"/>
      <c r="AG8" s="4"/>
      <c r="AH8" s="4"/>
      <c r="AI8" s="3"/>
      <c r="AJ8" s="31"/>
      <c r="AK8" s="86"/>
      <c r="AL8" s="86"/>
      <c r="AM8" s="86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5"/>
      <c r="DB8" s="5"/>
      <c r="DC8" s="5"/>
      <c r="DD8" s="5"/>
    </row>
    <row r="9" spans="2:108" ht="15" customHeight="1" x14ac:dyDescent="0.25">
      <c r="B9" s="139">
        <v>1</v>
      </c>
      <c r="C9" s="139">
        <v>3</v>
      </c>
      <c r="D9" s="139" t="str">
        <f t="shared" si="0"/>
        <v>PREPARE_EAST_UNP_1_24</v>
      </c>
      <c r="E9" s="139" t="s">
        <v>0</v>
      </c>
      <c r="F9" s="138" t="s">
        <v>46</v>
      </c>
      <c r="G9" s="140" t="s">
        <v>18</v>
      </c>
      <c r="H9" s="140" t="s">
        <v>42</v>
      </c>
      <c r="I9" s="140">
        <v>1</v>
      </c>
      <c r="J9" s="141"/>
      <c r="K9" s="184">
        <f>COUNT(M9:BH9)</f>
        <v>21</v>
      </c>
      <c r="L9" s="139"/>
      <c r="M9" s="3">
        <v>1</v>
      </c>
      <c r="N9" s="3">
        <f>M9+1</f>
        <v>2</v>
      </c>
      <c r="O9" s="3">
        <f t="shared" ref="O9:AC9" si="1">N9+1</f>
        <v>3</v>
      </c>
      <c r="P9" s="3">
        <f t="shared" si="1"/>
        <v>4</v>
      </c>
      <c r="Q9" s="3">
        <f t="shared" si="1"/>
        <v>5</v>
      </c>
      <c r="R9" s="3">
        <f t="shared" si="1"/>
        <v>6</v>
      </c>
      <c r="S9" s="3">
        <f t="shared" si="1"/>
        <v>7</v>
      </c>
      <c r="T9" s="3">
        <f t="shared" si="1"/>
        <v>8</v>
      </c>
      <c r="U9" s="3">
        <f t="shared" si="1"/>
        <v>9</v>
      </c>
      <c r="V9" s="3">
        <f t="shared" si="1"/>
        <v>10</v>
      </c>
      <c r="W9" s="3">
        <f t="shared" si="1"/>
        <v>11</v>
      </c>
      <c r="X9" s="3">
        <f t="shared" si="1"/>
        <v>12</v>
      </c>
      <c r="Y9" s="3">
        <f t="shared" si="1"/>
        <v>13</v>
      </c>
      <c r="Z9" s="3">
        <f t="shared" si="1"/>
        <v>14</v>
      </c>
      <c r="AA9" s="3">
        <f t="shared" si="1"/>
        <v>15</v>
      </c>
      <c r="AB9" s="3">
        <f t="shared" si="1"/>
        <v>16</v>
      </c>
      <c r="AC9" s="30">
        <f t="shared" si="1"/>
        <v>17</v>
      </c>
      <c r="AD9" s="30">
        <f t="shared" ref="AD9" si="2">AC9+1</f>
        <v>18</v>
      </c>
      <c r="AE9" s="288">
        <f t="shared" ref="AE9" si="3">AD9+1</f>
        <v>19</v>
      </c>
      <c r="AF9" s="30">
        <f t="shared" ref="AF9" si="4">AE9+1</f>
        <v>20</v>
      </c>
      <c r="AG9" s="30">
        <f t="shared" ref="AG9" si="5">AF9+1</f>
        <v>21</v>
      </c>
      <c r="AH9" s="4"/>
      <c r="AI9" s="4"/>
      <c r="AJ9" s="21"/>
      <c r="AK9" s="86"/>
      <c r="AL9" s="86"/>
      <c r="AM9" s="86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5"/>
      <c r="DB9" s="5"/>
      <c r="DC9" s="5"/>
      <c r="DD9" s="5"/>
    </row>
    <row r="10" spans="2:108" ht="15" customHeight="1" x14ac:dyDescent="0.25">
      <c r="B10" s="139">
        <v>1</v>
      </c>
      <c r="C10" s="139">
        <v>4</v>
      </c>
      <c r="D10" s="139" t="str">
        <f t="shared" si="0"/>
        <v>SUPPLY_EAST_UNP_1_24</v>
      </c>
      <c r="E10" s="139" t="s">
        <v>0</v>
      </c>
      <c r="F10" s="142" t="s">
        <v>0</v>
      </c>
      <c r="G10" s="140" t="s">
        <v>18</v>
      </c>
      <c r="H10" s="140" t="s">
        <v>42</v>
      </c>
      <c r="I10" s="140">
        <v>1</v>
      </c>
      <c r="J10" s="143"/>
      <c r="K10" s="184">
        <f>COUNT(AK10:CF10)</f>
        <v>0</v>
      </c>
      <c r="L10" s="140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101"/>
      <c r="AC10" s="101"/>
      <c r="AD10" s="101"/>
      <c r="AE10" s="42"/>
      <c r="AF10" s="46"/>
      <c r="AG10" s="46"/>
      <c r="AH10" s="46"/>
      <c r="AI10" s="46"/>
      <c r="AJ10" s="57"/>
      <c r="AK10" s="93"/>
      <c r="AL10" s="93"/>
      <c r="AM10" s="93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97"/>
      <c r="BB10" s="97"/>
      <c r="BC10" s="4"/>
      <c r="BD10" s="4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5"/>
      <c r="DB10" s="5"/>
      <c r="DC10" s="5"/>
      <c r="DD10" s="5"/>
    </row>
    <row r="11" spans="2:108" ht="15" customHeight="1" x14ac:dyDescent="0.25">
      <c r="B11" s="139">
        <v>1</v>
      </c>
      <c r="C11" s="140">
        <v>5</v>
      </c>
      <c r="D11" s="139" t="str">
        <f t="shared" si="0"/>
        <v>EMPTY_EAST_UNP_1_24</v>
      </c>
      <c r="E11" s="140" t="s">
        <v>0</v>
      </c>
      <c r="F11" s="142" t="s">
        <v>32</v>
      </c>
      <c r="G11" s="140" t="s">
        <v>18</v>
      </c>
      <c r="H11" s="140" t="s">
        <v>42</v>
      </c>
      <c r="I11" s="140">
        <v>1</v>
      </c>
      <c r="J11" s="139"/>
      <c r="K11" s="184">
        <f>COUNT(AK11:CF11)</f>
        <v>19</v>
      </c>
      <c r="L11" s="139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101"/>
      <c r="AC11" s="101"/>
      <c r="AD11" s="101"/>
      <c r="AE11" s="42"/>
      <c r="AF11" s="46"/>
      <c r="AG11" s="46"/>
      <c r="AH11" s="46"/>
      <c r="AI11" s="46"/>
      <c r="AJ11" s="57"/>
      <c r="AK11" s="86">
        <v>1</v>
      </c>
      <c r="AL11" s="86">
        <f>AK11+1</f>
        <v>2</v>
      </c>
      <c r="AM11" s="86">
        <f t="shared" ref="AM11:BD11" si="6">AL11+1</f>
        <v>3</v>
      </c>
      <c r="AN11" s="86">
        <f t="shared" si="6"/>
        <v>4</v>
      </c>
      <c r="AO11" s="86">
        <f t="shared" si="6"/>
        <v>5</v>
      </c>
      <c r="AP11" s="86">
        <f t="shared" si="6"/>
        <v>6</v>
      </c>
      <c r="AQ11" s="86">
        <f t="shared" si="6"/>
        <v>7</v>
      </c>
      <c r="AR11" s="86">
        <f t="shared" si="6"/>
        <v>8</v>
      </c>
      <c r="AS11" s="86">
        <f t="shared" si="6"/>
        <v>9</v>
      </c>
      <c r="AT11" s="86">
        <f t="shared" si="6"/>
        <v>10</v>
      </c>
      <c r="AU11" s="86">
        <f t="shared" si="6"/>
        <v>11</v>
      </c>
      <c r="AV11" s="86">
        <f t="shared" si="6"/>
        <v>12</v>
      </c>
      <c r="AW11" s="86">
        <f t="shared" si="6"/>
        <v>13</v>
      </c>
      <c r="AX11" s="86">
        <f t="shared" si="6"/>
        <v>14</v>
      </c>
      <c r="AY11" s="86">
        <f t="shared" si="6"/>
        <v>15</v>
      </c>
      <c r="AZ11" s="86">
        <f t="shared" si="6"/>
        <v>16</v>
      </c>
      <c r="BA11" s="86">
        <f t="shared" si="6"/>
        <v>17</v>
      </c>
      <c r="BB11" s="86"/>
      <c r="BC11" s="86">
        <f>BA11+1</f>
        <v>18</v>
      </c>
      <c r="BD11" s="86">
        <f t="shared" si="6"/>
        <v>19</v>
      </c>
      <c r="BE11" s="46"/>
      <c r="BF11" s="4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5"/>
      <c r="DB11" s="5"/>
      <c r="DC11" s="5"/>
      <c r="DD11" s="5"/>
    </row>
    <row r="12" spans="2:108" ht="15" customHeight="1" x14ac:dyDescent="0.25">
      <c r="B12" s="139">
        <v>1</v>
      </c>
      <c r="C12" s="140">
        <v>6</v>
      </c>
      <c r="D12" s="139" t="str">
        <f t="shared" si="0"/>
        <v>COUNTDOWN_EAST_UNP_1_24</v>
      </c>
      <c r="E12" s="140"/>
      <c r="F12" s="142" t="s">
        <v>33</v>
      </c>
      <c r="G12" s="140" t="s">
        <v>18</v>
      </c>
      <c r="H12" s="140" t="s">
        <v>42</v>
      </c>
      <c r="I12" s="140">
        <v>1</v>
      </c>
      <c r="J12" s="144"/>
      <c r="K12" s="144"/>
      <c r="L12" s="140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101"/>
      <c r="AC12" s="101"/>
      <c r="AD12" s="101"/>
      <c r="AE12" s="29"/>
      <c r="AF12" s="6"/>
      <c r="AG12" s="46"/>
      <c r="AH12" s="46"/>
      <c r="AI12" s="56"/>
      <c r="AJ12" s="59"/>
      <c r="AK12" s="86"/>
      <c r="AL12" s="86"/>
      <c r="AM12" s="86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5"/>
      <c r="DB12" s="5"/>
      <c r="DC12" s="5"/>
      <c r="DD12" s="5"/>
    </row>
    <row r="13" spans="2:108" ht="15" customHeight="1" x14ac:dyDescent="0.25">
      <c r="B13" s="139">
        <v>2</v>
      </c>
      <c r="C13" s="139">
        <v>1</v>
      </c>
      <c r="D13" s="139" t="str">
        <f t="shared" si="0"/>
        <v>SORTING_EAST_A_2_24</v>
      </c>
      <c r="E13" s="139" t="s">
        <v>35</v>
      </c>
      <c r="F13" s="138" t="s">
        <v>45</v>
      </c>
      <c r="G13" s="140" t="s">
        <v>18</v>
      </c>
      <c r="H13" s="140" t="s">
        <v>2</v>
      </c>
      <c r="I13" s="140">
        <v>2</v>
      </c>
      <c r="J13" s="139"/>
      <c r="K13" s="184">
        <f>COUNT(AE13:BH13)</f>
        <v>2</v>
      </c>
      <c r="L13" s="139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101"/>
      <c r="AC13" s="101"/>
      <c r="AD13" s="101"/>
      <c r="AE13" s="8">
        <v>1</v>
      </c>
      <c r="AF13" s="3">
        <f>AE13+1</f>
        <v>2</v>
      </c>
      <c r="AG13" s="4"/>
      <c r="AH13" s="4"/>
      <c r="AI13" s="3"/>
      <c r="AJ13" s="31"/>
      <c r="AK13" s="86"/>
      <c r="AL13" s="86"/>
      <c r="AM13" s="86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5"/>
      <c r="DB13" s="5"/>
      <c r="DC13" s="5"/>
      <c r="DD13" s="5"/>
    </row>
    <row r="14" spans="2:108" ht="15" customHeight="1" x14ac:dyDescent="0.25">
      <c r="B14" s="139">
        <v>2</v>
      </c>
      <c r="C14" s="139">
        <v>2</v>
      </c>
      <c r="D14" s="139" t="str">
        <f t="shared" si="0"/>
        <v>TRANSFER_EAST_A_2_24</v>
      </c>
      <c r="E14" s="139" t="s">
        <v>21</v>
      </c>
      <c r="F14" s="138" t="s">
        <v>21</v>
      </c>
      <c r="G14" s="140" t="s">
        <v>18</v>
      </c>
      <c r="H14" s="140" t="s">
        <v>2</v>
      </c>
      <c r="I14" s="140">
        <v>2</v>
      </c>
      <c r="J14" s="139"/>
      <c r="K14" s="184">
        <f>COUNT(AE14:BH14)</f>
        <v>4</v>
      </c>
      <c r="L14" s="139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101"/>
      <c r="AC14" s="101"/>
      <c r="AD14" s="101"/>
      <c r="AE14" s="8">
        <v>1</v>
      </c>
      <c r="AF14" s="3">
        <f t="shared" ref="AF14:AK15" si="7">AE14+1</f>
        <v>2</v>
      </c>
      <c r="AG14" s="3">
        <f t="shared" si="7"/>
        <v>3</v>
      </c>
      <c r="AH14" s="3">
        <f t="shared" si="7"/>
        <v>4</v>
      </c>
      <c r="AI14" s="21"/>
      <c r="AJ14" s="31"/>
      <c r="AK14" s="86"/>
      <c r="AL14" s="86"/>
      <c r="AM14" s="86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5"/>
      <c r="DB14" s="5"/>
      <c r="DC14" s="5"/>
      <c r="DD14" s="5"/>
    </row>
    <row r="15" spans="2:108" ht="15" customHeight="1" x14ac:dyDescent="0.25">
      <c r="B15" s="139">
        <v>2</v>
      </c>
      <c r="C15" s="139">
        <v>3</v>
      </c>
      <c r="D15" s="139" t="str">
        <f t="shared" si="0"/>
        <v>PREPARE_EAST_A_2_24</v>
      </c>
      <c r="E15" s="139" t="s">
        <v>0</v>
      </c>
      <c r="F15" s="138" t="s">
        <v>46</v>
      </c>
      <c r="G15" s="140" t="s">
        <v>18</v>
      </c>
      <c r="H15" s="140" t="s">
        <v>2</v>
      </c>
      <c r="I15" s="140">
        <v>2</v>
      </c>
      <c r="J15" s="141"/>
      <c r="K15" s="184">
        <f>COUNT(M15:BH15)</f>
        <v>24</v>
      </c>
      <c r="L15" s="139"/>
      <c r="M15" s="3">
        <v>1</v>
      </c>
      <c r="N15" s="3">
        <f>M15+1</f>
        <v>2</v>
      </c>
      <c r="O15" s="3">
        <f t="shared" ref="O15:AC15" si="8">N15+1</f>
        <v>3</v>
      </c>
      <c r="P15" s="3">
        <f t="shared" si="8"/>
        <v>4</v>
      </c>
      <c r="Q15" s="3">
        <f t="shared" si="8"/>
        <v>5</v>
      </c>
      <c r="R15" s="3">
        <f t="shared" si="8"/>
        <v>6</v>
      </c>
      <c r="S15" s="3">
        <f t="shared" si="8"/>
        <v>7</v>
      </c>
      <c r="T15" s="3">
        <f t="shared" si="8"/>
        <v>8</v>
      </c>
      <c r="U15" s="3">
        <f t="shared" si="8"/>
        <v>9</v>
      </c>
      <c r="V15" s="3">
        <f t="shared" si="8"/>
        <v>10</v>
      </c>
      <c r="W15" s="3">
        <f t="shared" si="8"/>
        <v>11</v>
      </c>
      <c r="X15" s="3">
        <f t="shared" si="8"/>
        <v>12</v>
      </c>
      <c r="Y15" s="3">
        <f t="shared" si="8"/>
        <v>13</v>
      </c>
      <c r="Z15" s="3">
        <f t="shared" si="8"/>
        <v>14</v>
      </c>
      <c r="AA15" s="3">
        <f t="shared" si="8"/>
        <v>15</v>
      </c>
      <c r="AB15" s="3">
        <f t="shared" si="8"/>
        <v>16</v>
      </c>
      <c r="AC15" s="30">
        <f t="shared" si="8"/>
        <v>17</v>
      </c>
      <c r="AD15" s="30"/>
      <c r="AE15" s="8">
        <f>AC15+1</f>
        <v>18</v>
      </c>
      <c r="AF15" s="3">
        <f t="shared" si="7"/>
        <v>19</v>
      </c>
      <c r="AG15" s="3">
        <f t="shared" si="7"/>
        <v>20</v>
      </c>
      <c r="AH15" s="3">
        <f t="shared" si="7"/>
        <v>21</v>
      </c>
      <c r="AI15" s="3">
        <f t="shared" si="7"/>
        <v>22</v>
      </c>
      <c r="AJ15" s="31">
        <f t="shared" si="7"/>
        <v>23</v>
      </c>
      <c r="AK15" s="86">
        <f t="shared" si="7"/>
        <v>24</v>
      </c>
      <c r="AL15" s="93"/>
      <c r="AM15" s="93"/>
      <c r="AN15" s="4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5"/>
      <c r="DB15" s="5"/>
      <c r="DC15" s="5"/>
      <c r="DD15" s="5"/>
    </row>
    <row r="16" spans="2:108" ht="15" customHeight="1" x14ac:dyDescent="0.25">
      <c r="B16" s="139">
        <v>2</v>
      </c>
      <c r="C16" s="139">
        <v>4</v>
      </c>
      <c r="D16" s="139" t="str">
        <f t="shared" si="0"/>
        <v>SUPPLY_EAST_A_2_24</v>
      </c>
      <c r="E16" s="139" t="s">
        <v>0</v>
      </c>
      <c r="F16" s="142" t="s">
        <v>0</v>
      </c>
      <c r="G16" s="140" t="s">
        <v>18</v>
      </c>
      <c r="H16" s="140" t="s">
        <v>2</v>
      </c>
      <c r="I16" s="140">
        <v>2</v>
      </c>
      <c r="J16" s="143"/>
      <c r="K16" s="184">
        <f>COUNT(AK16:CF16)</f>
        <v>4</v>
      </c>
      <c r="L16" s="140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101"/>
      <c r="AC16" s="101"/>
      <c r="AD16" s="101"/>
      <c r="AE16" s="42"/>
      <c r="AF16" s="46"/>
      <c r="AG16" s="46"/>
      <c r="AH16" s="46"/>
      <c r="AI16" s="46"/>
      <c r="AJ16" s="57"/>
      <c r="AK16" s="86">
        <v>1</v>
      </c>
      <c r="AL16" s="86">
        <f>AK16+1</f>
        <v>2</v>
      </c>
      <c r="AM16" s="86">
        <f t="shared" ref="AM16:BA17" si="9">AL16+1</f>
        <v>3</v>
      </c>
      <c r="AN16" s="86">
        <f t="shared" si="9"/>
        <v>4</v>
      </c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97"/>
      <c r="BE16" s="4"/>
      <c r="BF16" s="4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5"/>
      <c r="DB16" s="5"/>
      <c r="DC16" s="5"/>
      <c r="DD16" s="5"/>
    </row>
    <row r="17" spans="1:108" ht="15" customHeight="1" x14ac:dyDescent="0.25">
      <c r="B17" s="139">
        <v>2</v>
      </c>
      <c r="C17" s="140">
        <v>5</v>
      </c>
      <c r="D17" s="139" t="str">
        <f t="shared" si="0"/>
        <v>EMPTY_EAST_A_2_24</v>
      </c>
      <c r="E17" s="140" t="s">
        <v>0</v>
      </c>
      <c r="F17" s="142" t="s">
        <v>32</v>
      </c>
      <c r="G17" s="140" t="s">
        <v>18</v>
      </c>
      <c r="H17" s="140" t="s">
        <v>2</v>
      </c>
      <c r="I17" s="140">
        <v>2</v>
      </c>
      <c r="J17" s="139"/>
      <c r="K17" s="184">
        <f>COUNT(AK17:CF17)</f>
        <v>21</v>
      </c>
      <c r="L17" s="139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101"/>
      <c r="AC17" s="101"/>
      <c r="AD17" s="101"/>
      <c r="AE17" s="42"/>
      <c r="AF17" s="46"/>
      <c r="AG17" s="46"/>
      <c r="AH17" s="46"/>
      <c r="AI17" s="46"/>
      <c r="AJ17" s="57"/>
      <c r="AK17" s="86">
        <v>1</v>
      </c>
      <c r="AL17" s="86">
        <f>AK17+1</f>
        <v>2</v>
      </c>
      <c r="AM17" s="86">
        <f t="shared" si="9"/>
        <v>3</v>
      </c>
      <c r="AN17" s="86">
        <f t="shared" si="9"/>
        <v>4</v>
      </c>
      <c r="AO17" s="86">
        <f t="shared" si="9"/>
        <v>5</v>
      </c>
      <c r="AP17" s="86">
        <f t="shared" si="9"/>
        <v>6</v>
      </c>
      <c r="AQ17" s="86">
        <f t="shared" si="9"/>
        <v>7</v>
      </c>
      <c r="AR17" s="86">
        <f t="shared" si="9"/>
        <v>8</v>
      </c>
      <c r="AS17" s="86">
        <f t="shared" si="9"/>
        <v>9</v>
      </c>
      <c r="AT17" s="86">
        <f t="shared" si="9"/>
        <v>10</v>
      </c>
      <c r="AU17" s="86">
        <f t="shared" si="9"/>
        <v>11</v>
      </c>
      <c r="AV17" s="86">
        <f t="shared" si="9"/>
        <v>12</v>
      </c>
      <c r="AW17" s="86">
        <f t="shared" si="9"/>
        <v>13</v>
      </c>
      <c r="AX17" s="86">
        <f t="shared" si="9"/>
        <v>14</v>
      </c>
      <c r="AY17" s="86">
        <f t="shared" si="9"/>
        <v>15</v>
      </c>
      <c r="AZ17" s="86">
        <f t="shared" si="9"/>
        <v>16</v>
      </c>
      <c r="BA17" s="86">
        <f t="shared" si="9"/>
        <v>17</v>
      </c>
      <c r="BB17" s="86"/>
      <c r="BC17" s="86">
        <f>BA17+1</f>
        <v>18</v>
      </c>
      <c r="BD17" s="86">
        <f t="shared" ref="BD17:BF17" si="10">BC17+1</f>
        <v>19</v>
      </c>
      <c r="BE17" s="86">
        <f t="shared" si="10"/>
        <v>20</v>
      </c>
      <c r="BF17" s="86">
        <f t="shared" si="10"/>
        <v>21</v>
      </c>
      <c r="BG17" s="46"/>
      <c r="BH17" s="4"/>
      <c r="BI17" s="4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5"/>
      <c r="DB17" s="5"/>
      <c r="DC17" s="5"/>
      <c r="DD17" s="5"/>
    </row>
    <row r="18" spans="1:108" ht="15" customHeight="1" x14ac:dyDescent="0.25">
      <c r="B18" s="139">
        <v>2</v>
      </c>
      <c r="C18" s="140">
        <v>6</v>
      </c>
      <c r="D18" s="139" t="str">
        <f t="shared" si="0"/>
        <v>COUNTDOWN_EAST_A_2_24</v>
      </c>
      <c r="E18" s="140"/>
      <c r="F18" s="142" t="s">
        <v>33</v>
      </c>
      <c r="G18" s="140" t="s">
        <v>18</v>
      </c>
      <c r="H18" s="140" t="s">
        <v>2</v>
      </c>
      <c r="I18" s="140">
        <v>2</v>
      </c>
      <c r="J18" s="144"/>
      <c r="K18" s="144"/>
      <c r="L18" s="140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101"/>
      <c r="AC18" s="101"/>
      <c r="AD18" s="101"/>
      <c r="AE18" s="8"/>
      <c r="AF18" s="3"/>
      <c r="AG18" s="6"/>
      <c r="AH18" s="6"/>
      <c r="AI18" s="46"/>
      <c r="AJ18" s="57"/>
      <c r="AK18" s="134"/>
      <c r="AL18" s="134"/>
      <c r="AM18" s="134"/>
      <c r="AN18" s="56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5"/>
      <c r="DB18" s="5"/>
      <c r="DC18" s="5"/>
      <c r="DD18" s="5"/>
    </row>
    <row r="19" spans="1:108" ht="15" customHeight="1" x14ac:dyDescent="0.25">
      <c r="B19" s="139"/>
      <c r="C19" s="140"/>
      <c r="D19" s="139" t="str">
        <f t="shared" si="0"/>
        <v>SORTING_EAST_C/U_1_24</v>
      </c>
      <c r="E19" s="139" t="s">
        <v>35</v>
      </c>
      <c r="F19" s="138" t="s">
        <v>45</v>
      </c>
      <c r="G19" s="140" t="s">
        <v>18</v>
      </c>
      <c r="H19" s="140" t="s">
        <v>67</v>
      </c>
      <c r="I19" s="140">
        <v>1</v>
      </c>
      <c r="J19" s="139"/>
      <c r="K19" s="184">
        <f>COUNT(AE19:BH19)</f>
        <v>4</v>
      </c>
      <c r="L19" s="140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101"/>
      <c r="AC19" s="101"/>
      <c r="AD19" s="101"/>
      <c r="AE19" s="8">
        <v>1</v>
      </c>
      <c r="AF19" s="3">
        <f>AE19+1</f>
        <v>2</v>
      </c>
      <c r="AG19" s="3">
        <f t="shared" ref="AG19:AK21" si="11">AF19+1</f>
        <v>3</v>
      </c>
      <c r="AH19" s="3">
        <f t="shared" si="11"/>
        <v>4</v>
      </c>
      <c r="AI19" s="4"/>
      <c r="AJ19" s="31"/>
      <c r="AK19" s="86"/>
      <c r="AL19" s="86"/>
      <c r="AM19" s="86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5"/>
      <c r="DB19" s="5"/>
      <c r="DC19" s="5"/>
      <c r="DD19" s="5"/>
    </row>
    <row r="20" spans="1:108" ht="15" customHeight="1" x14ac:dyDescent="0.25">
      <c r="B20" s="139"/>
      <c r="C20" s="140"/>
      <c r="D20" s="139" t="str">
        <f t="shared" si="0"/>
        <v>TRANSFER_EAST_C/U_1_24</v>
      </c>
      <c r="E20" s="139" t="s">
        <v>21</v>
      </c>
      <c r="F20" s="138" t="s">
        <v>21</v>
      </c>
      <c r="G20" s="140" t="s">
        <v>18</v>
      </c>
      <c r="H20" s="140" t="s">
        <v>67</v>
      </c>
      <c r="I20" s="140">
        <v>1</v>
      </c>
      <c r="J20" s="139"/>
      <c r="K20" s="184">
        <f>COUNT(AE20:BH20)</f>
        <v>5</v>
      </c>
      <c r="L20" s="140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101"/>
      <c r="AC20" s="101"/>
      <c r="AD20" s="101"/>
      <c r="AE20" s="8">
        <v>1</v>
      </c>
      <c r="AF20" s="3">
        <f t="shared" ref="AF20:AF21" si="12">AE20+1</f>
        <v>2</v>
      </c>
      <c r="AG20" s="3">
        <f t="shared" si="11"/>
        <v>3</v>
      </c>
      <c r="AH20" s="3">
        <f t="shared" si="11"/>
        <v>4</v>
      </c>
      <c r="AI20" s="3">
        <f t="shared" si="11"/>
        <v>5</v>
      </c>
      <c r="AJ20" s="21"/>
      <c r="AK20" s="93"/>
      <c r="AL20" s="93"/>
      <c r="AM20" s="9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5"/>
      <c r="DB20" s="5"/>
      <c r="DC20" s="5"/>
      <c r="DD20" s="5"/>
    </row>
    <row r="21" spans="1:108" ht="15" customHeight="1" x14ac:dyDescent="0.25">
      <c r="B21" s="139"/>
      <c r="C21" s="140"/>
      <c r="D21" s="139" t="str">
        <f t="shared" si="0"/>
        <v>PREPARE_EAST_C/U_1_24</v>
      </c>
      <c r="E21" s="139" t="s">
        <v>0</v>
      </c>
      <c r="F21" s="138" t="s">
        <v>46</v>
      </c>
      <c r="G21" s="140" t="s">
        <v>18</v>
      </c>
      <c r="H21" s="140" t="s">
        <v>67</v>
      </c>
      <c r="I21" s="140">
        <v>1</v>
      </c>
      <c r="J21" s="141"/>
      <c r="K21" s="184">
        <f>COUNT(M21:BH21)</f>
        <v>24</v>
      </c>
      <c r="L21" s="140"/>
      <c r="M21" s="3">
        <v>1</v>
      </c>
      <c r="N21" s="3">
        <f>M21+1</f>
        <v>2</v>
      </c>
      <c r="O21" s="3">
        <f t="shared" ref="O21:AC21" si="13">N21+1</f>
        <v>3</v>
      </c>
      <c r="P21" s="3">
        <f t="shared" si="13"/>
        <v>4</v>
      </c>
      <c r="Q21" s="3">
        <f t="shared" si="13"/>
        <v>5</v>
      </c>
      <c r="R21" s="3">
        <f t="shared" si="13"/>
        <v>6</v>
      </c>
      <c r="S21" s="3">
        <f t="shared" si="13"/>
        <v>7</v>
      </c>
      <c r="T21" s="3">
        <f t="shared" si="13"/>
        <v>8</v>
      </c>
      <c r="U21" s="3">
        <f t="shared" si="13"/>
        <v>9</v>
      </c>
      <c r="V21" s="3">
        <f t="shared" si="13"/>
        <v>10</v>
      </c>
      <c r="W21" s="3">
        <f t="shared" si="13"/>
        <v>11</v>
      </c>
      <c r="X21" s="3">
        <f t="shared" si="13"/>
        <v>12</v>
      </c>
      <c r="Y21" s="3">
        <f t="shared" si="13"/>
        <v>13</v>
      </c>
      <c r="Z21" s="3">
        <f t="shared" si="13"/>
        <v>14</v>
      </c>
      <c r="AA21" s="3">
        <f t="shared" si="13"/>
        <v>15</v>
      </c>
      <c r="AB21" s="3">
        <f t="shared" si="13"/>
        <v>16</v>
      </c>
      <c r="AC21" s="30">
        <f t="shared" si="13"/>
        <v>17</v>
      </c>
      <c r="AD21" s="30"/>
      <c r="AE21" s="8">
        <f>AC21+1</f>
        <v>18</v>
      </c>
      <c r="AF21" s="3">
        <f t="shared" si="12"/>
        <v>19</v>
      </c>
      <c r="AG21" s="3">
        <f t="shared" si="11"/>
        <v>20</v>
      </c>
      <c r="AH21" s="3">
        <f t="shared" si="11"/>
        <v>21</v>
      </c>
      <c r="AI21" s="3">
        <f t="shared" si="11"/>
        <v>22</v>
      </c>
      <c r="AJ21" s="31">
        <f t="shared" si="11"/>
        <v>23</v>
      </c>
      <c r="AK21" s="86">
        <f t="shared" si="11"/>
        <v>24</v>
      </c>
      <c r="AL21" s="93"/>
      <c r="AM21" s="93"/>
      <c r="AN21" s="4"/>
      <c r="AO21" s="4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5"/>
      <c r="DB21" s="5"/>
      <c r="DC21" s="5"/>
      <c r="DD21" s="5"/>
    </row>
    <row r="22" spans="1:108" ht="15" customHeight="1" x14ac:dyDescent="0.25">
      <c r="B22" s="139"/>
      <c r="C22" s="140"/>
      <c r="D22" s="139" t="str">
        <f t="shared" si="0"/>
        <v>SUPPLY_EAST_C/U_1_24</v>
      </c>
      <c r="E22" s="139" t="s">
        <v>0</v>
      </c>
      <c r="F22" s="142" t="s">
        <v>0</v>
      </c>
      <c r="G22" s="140" t="s">
        <v>18</v>
      </c>
      <c r="H22" s="140" t="s">
        <v>67</v>
      </c>
      <c r="I22" s="140">
        <v>1</v>
      </c>
      <c r="J22" s="143"/>
      <c r="K22" s="184">
        <f>COUNT(AK22:CF22)</f>
        <v>5</v>
      </c>
      <c r="L22" s="140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101"/>
      <c r="AC22" s="101"/>
      <c r="AD22" s="101"/>
      <c r="AE22" s="42"/>
      <c r="AF22" s="46"/>
      <c r="AG22" s="46"/>
      <c r="AH22" s="46"/>
      <c r="AI22" s="46"/>
      <c r="AJ22" s="57"/>
      <c r="AK22" s="86">
        <v>1</v>
      </c>
      <c r="AL22" s="86">
        <f>AK22+1</f>
        <v>2</v>
      </c>
      <c r="AM22" s="86">
        <f t="shared" ref="AM22:BA23" si="14">AL22+1</f>
        <v>3</v>
      </c>
      <c r="AN22" s="86">
        <f t="shared" si="14"/>
        <v>4</v>
      </c>
      <c r="AO22" s="86">
        <f t="shared" si="14"/>
        <v>5</v>
      </c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97"/>
      <c r="BE22" s="4"/>
      <c r="BF22" s="4"/>
      <c r="BG22" s="4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5"/>
      <c r="DB22" s="5"/>
      <c r="DC22" s="5"/>
      <c r="DD22" s="5"/>
    </row>
    <row r="23" spans="1:108" ht="15" customHeight="1" x14ac:dyDescent="0.25">
      <c r="B23" s="139"/>
      <c r="C23" s="140"/>
      <c r="D23" s="139" t="str">
        <f t="shared" si="0"/>
        <v>EMPTY_EAST_C/U_1_24</v>
      </c>
      <c r="E23" s="140" t="s">
        <v>0</v>
      </c>
      <c r="F23" s="142" t="s">
        <v>32</v>
      </c>
      <c r="G23" s="140" t="s">
        <v>18</v>
      </c>
      <c r="H23" s="140" t="s">
        <v>67</v>
      </c>
      <c r="I23" s="140">
        <v>1</v>
      </c>
      <c r="J23" s="139"/>
      <c r="K23" s="184">
        <f>COUNT(AK23:CF23)</f>
        <v>22</v>
      </c>
      <c r="L23" s="140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101"/>
      <c r="AC23" s="101"/>
      <c r="AD23" s="101"/>
      <c r="AE23" s="42"/>
      <c r="AF23" s="46"/>
      <c r="AG23" s="46"/>
      <c r="AH23" s="46"/>
      <c r="AI23" s="46"/>
      <c r="AJ23" s="57"/>
      <c r="AK23" s="86">
        <v>1</v>
      </c>
      <c r="AL23" s="86">
        <f>AK23+1</f>
        <v>2</v>
      </c>
      <c r="AM23" s="86">
        <f t="shared" si="14"/>
        <v>3</v>
      </c>
      <c r="AN23" s="86">
        <f t="shared" si="14"/>
        <v>4</v>
      </c>
      <c r="AO23" s="86">
        <f t="shared" si="14"/>
        <v>5</v>
      </c>
      <c r="AP23" s="86">
        <f t="shared" si="14"/>
        <v>6</v>
      </c>
      <c r="AQ23" s="86">
        <f t="shared" si="14"/>
        <v>7</v>
      </c>
      <c r="AR23" s="86">
        <f t="shared" si="14"/>
        <v>8</v>
      </c>
      <c r="AS23" s="86">
        <f t="shared" si="14"/>
        <v>9</v>
      </c>
      <c r="AT23" s="86">
        <f t="shared" si="14"/>
        <v>10</v>
      </c>
      <c r="AU23" s="86">
        <f t="shared" si="14"/>
        <v>11</v>
      </c>
      <c r="AV23" s="86">
        <f t="shared" si="14"/>
        <v>12</v>
      </c>
      <c r="AW23" s="86">
        <f t="shared" si="14"/>
        <v>13</v>
      </c>
      <c r="AX23" s="86">
        <f t="shared" si="14"/>
        <v>14</v>
      </c>
      <c r="AY23" s="86">
        <f t="shared" si="14"/>
        <v>15</v>
      </c>
      <c r="AZ23" s="86">
        <f t="shared" si="14"/>
        <v>16</v>
      </c>
      <c r="BA23" s="86">
        <f t="shared" si="14"/>
        <v>17</v>
      </c>
      <c r="BB23" s="86"/>
      <c r="BC23" s="86">
        <f>BA23+1</f>
        <v>18</v>
      </c>
      <c r="BD23" s="86">
        <f t="shared" ref="BD23:BG23" si="15">BC23+1</f>
        <v>19</v>
      </c>
      <c r="BE23" s="86">
        <f t="shared" si="15"/>
        <v>20</v>
      </c>
      <c r="BF23" s="86">
        <f t="shared" si="15"/>
        <v>21</v>
      </c>
      <c r="BG23" s="86">
        <f t="shared" si="15"/>
        <v>22</v>
      </c>
      <c r="BH23" s="46"/>
      <c r="BI23" s="4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5"/>
      <c r="DB23" s="5"/>
      <c r="DC23" s="5"/>
      <c r="DD23" s="5"/>
    </row>
    <row r="24" spans="1:108" ht="15" customHeight="1" x14ac:dyDescent="0.25">
      <c r="B24" s="139"/>
      <c r="C24" s="140"/>
      <c r="D24" s="139" t="str">
        <f t="shared" si="0"/>
        <v>COUNTDOWN_EAST_C/U_1_24</v>
      </c>
      <c r="E24" s="140"/>
      <c r="F24" s="142" t="s">
        <v>33</v>
      </c>
      <c r="G24" s="140" t="s">
        <v>18</v>
      </c>
      <c r="H24" s="140" t="s">
        <v>67</v>
      </c>
      <c r="I24" s="140">
        <v>1</v>
      </c>
      <c r="J24" s="144"/>
      <c r="K24" s="144"/>
      <c r="L24" s="140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101"/>
      <c r="AC24" s="101"/>
      <c r="AD24" s="101"/>
      <c r="AE24" s="8"/>
      <c r="AF24" s="3"/>
      <c r="AG24" s="6"/>
      <c r="AH24" s="6"/>
      <c r="AI24" s="46"/>
      <c r="AJ24" s="57"/>
      <c r="AK24" s="134"/>
      <c r="AL24" s="134"/>
      <c r="AM24" s="134"/>
      <c r="AN24" s="56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5"/>
      <c r="DB24" s="5"/>
      <c r="DC24" s="5"/>
      <c r="DD24" s="5"/>
    </row>
    <row r="25" spans="1:108" ht="15" customHeight="1" x14ac:dyDescent="0.25">
      <c r="A25" t="s">
        <v>6</v>
      </c>
      <c r="B25" s="139">
        <v>3</v>
      </c>
      <c r="C25" s="139">
        <v>1</v>
      </c>
      <c r="D25" s="139" t="str">
        <f t="shared" si="0"/>
        <v>SORTING_EAST_C_2_24</v>
      </c>
      <c r="E25" s="139" t="s">
        <v>35</v>
      </c>
      <c r="F25" s="138" t="s">
        <v>45</v>
      </c>
      <c r="G25" s="140" t="s">
        <v>18</v>
      </c>
      <c r="H25" s="140" t="s">
        <v>4</v>
      </c>
      <c r="I25" s="140">
        <v>2</v>
      </c>
      <c r="J25" s="139"/>
      <c r="K25" s="184">
        <f>COUNT(AE25:BH25)</f>
        <v>5</v>
      </c>
      <c r="L25" s="139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101"/>
      <c r="AC25" s="101"/>
      <c r="AD25" s="101"/>
      <c r="AE25" s="8">
        <v>1</v>
      </c>
      <c r="AF25" s="3">
        <f t="shared" ref="AF25:AU29" si="16">AE25+1</f>
        <v>2</v>
      </c>
      <c r="AG25" s="3">
        <f t="shared" si="16"/>
        <v>3</v>
      </c>
      <c r="AH25" s="3">
        <f t="shared" si="16"/>
        <v>4</v>
      </c>
      <c r="AI25" s="3">
        <f t="shared" si="16"/>
        <v>5</v>
      </c>
      <c r="AJ25" s="21"/>
      <c r="AK25" s="93"/>
      <c r="AL25" s="93"/>
      <c r="AM25" s="9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5"/>
      <c r="DB25" s="5"/>
      <c r="DC25" s="5"/>
      <c r="DD25" s="5"/>
    </row>
    <row r="26" spans="1:108" ht="15" customHeight="1" x14ac:dyDescent="0.25">
      <c r="A26" t="s">
        <v>6</v>
      </c>
      <c r="B26" s="139">
        <v>3</v>
      </c>
      <c r="C26" s="139">
        <v>2</v>
      </c>
      <c r="D26" s="139" t="str">
        <f t="shared" si="0"/>
        <v>TRANSFER_EAST_C_2_24</v>
      </c>
      <c r="E26" s="139" t="s">
        <v>21</v>
      </c>
      <c r="F26" s="138" t="s">
        <v>21</v>
      </c>
      <c r="G26" s="140" t="s">
        <v>18</v>
      </c>
      <c r="H26" s="140" t="s">
        <v>4</v>
      </c>
      <c r="I26" s="140">
        <v>2</v>
      </c>
      <c r="J26" s="139"/>
      <c r="K26" s="184">
        <f>COUNT(AE26:BH26)</f>
        <v>9</v>
      </c>
      <c r="L26" s="139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101"/>
      <c r="AC26" s="101"/>
      <c r="AD26" s="101"/>
      <c r="AE26" s="8">
        <v>1</v>
      </c>
      <c r="AF26" s="3">
        <f>AE26+1</f>
        <v>2</v>
      </c>
      <c r="AG26" s="3">
        <f t="shared" si="16"/>
        <v>3</v>
      </c>
      <c r="AH26" s="3">
        <f t="shared" si="16"/>
        <v>4</v>
      </c>
      <c r="AI26" s="3">
        <f t="shared" si="16"/>
        <v>5</v>
      </c>
      <c r="AJ26" s="31">
        <f t="shared" si="16"/>
        <v>6</v>
      </c>
      <c r="AK26" s="86">
        <f t="shared" si="16"/>
        <v>7</v>
      </c>
      <c r="AL26" s="3">
        <f t="shared" si="16"/>
        <v>8</v>
      </c>
      <c r="AM26" s="3">
        <f t="shared" si="16"/>
        <v>9</v>
      </c>
      <c r="AN26" s="4"/>
      <c r="AO26" s="4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5"/>
      <c r="DB26" s="5"/>
      <c r="DC26" s="5"/>
      <c r="DD26" s="5"/>
    </row>
    <row r="27" spans="1:108" ht="15" customHeight="1" x14ac:dyDescent="0.25">
      <c r="A27" t="s">
        <v>6</v>
      </c>
      <c r="B27" s="139">
        <v>3</v>
      </c>
      <c r="C27" s="139">
        <v>3</v>
      </c>
      <c r="D27" s="139" t="str">
        <f t="shared" si="0"/>
        <v>PREPARE_EAST_C_2_24</v>
      </c>
      <c r="E27" s="139" t="s">
        <v>0</v>
      </c>
      <c r="F27" s="138" t="s">
        <v>46</v>
      </c>
      <c r="G27" s="140" t="s">
        <v>18</v>
      </c>
      <c r="H27" s="140" t="s">
        <v>4</v>
      </c>
      <c r="I27" s="140">
        <v>2</v>
      </c>
      <c r="J27" s="141"/>
      <c r="K27" s="184">
        <f>COUNT(M27:BH27)</f>
        <v>27</v>
      </c>
      <c r="L27" s="139"/>
      <c r="M27" s="3">
        <v>1</v>
      </c>
      <c r="N27" s="3">
        <f>M27+1</f>
        <v>2</v>
      </c>
      <c r="O27" s="3">
        <f t="shared" ref="O27:AC27" si="17">N27+1</f>
        <v>3</v>
      </c>
      <c r="P27" s="3">
        <f t="shared" si="17"/>
        <v>4</v>
      </c>
      <c r="Q27" s="3">
        <f t="shared" si="17"/>
        <v>5</v>
      </c>
      <c r="R27" s="3">
        <f t="shared" si="17"/>
        <v>6</v>
      </c>
      <c r="S27" s="3">
        <f t="shared" si="17"/>
        <v>7</v>
      </c>
      <c r="T27" s="3">
        <f t="shared" si="17"/>
        <v>8</v>
      </c>
      <c r="U27" s="3">
        <f t="shared" si="17"/>
        <v>9</v>
      </c>
      <c r="V27" s="3">
        <f t="shared" si="17"/>
        <v>10</v>
      </c>
      <c r="W27" s="3">
        <f t="shared" si="17"/>
        <v>11</v>
      </c>
      <c r="X27" s="3">
        <f t="shared" si="17"/>
        <v>12</v>
      </c>
      <c r="Y27" s="3">
        <f t="shared" si="17"/>
        <v>13</v>
      </c>
      <c r="Z27" s="3">
        <f t="shared" si="17"/>
        <v>14</v>
      </c>
      <c r="AA27" s="3">
        <f t="shared" si="17"/>
        <v>15</v>
      </c>
      <c r="AB27" s="3">
        <f t="shared" si="17"/>
        <v>16</v>
      </c>
      <c r="AC27" s="30">
        <f t="shared" si="17"/>
        <v>17</v>
      </c>
      <c r="AD27" s="30"/>
      <c r="AE27" s="8">
        <f>AC27+1</f>
        <v>18</v>
      </c>
      <c r="AF27" s="3">
        <f t="shared" si="16"/>
        <v>19</v>
      </c>
      <c r="AG27" s="3">
        <f t="shared" si="16"/>
        <v>20</v>
      </c>
      <c r="AH27" s="3">
        <f t="shared" si="16"/>
        <v>21</v>
      </c>
      <c r="AI27" s="3">
        <f t="shared" si="16"/>
        <v>22</v>
      </c>
      <c r="AJ27" s="31">
        <f t="shared" si="16"/>
        <v>23</v>
      </c>
      <c r="AK27" s="86">
        <f t="shared" si="16"/>
        <v>24</v>
      </c>
      <c r="AL27" s="3">
        <f t="shared" si="16"/>
        <v>25</v>
      </c>
      <c r="AM27" s="3">
        <f t="shared" si="16"/>
        <v>26</v>
      </c>
      <c r="AN27" s="3">
        <f t="shared" si="16"/>
        <v>27</v>
      </c>
      <c r="AO27" s="4"/>
      <c r="AP27" s="4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5"/>
      <c r="DB27" s="5"/>
      <c r="DC27" s="5"/>
      <c r="DD27" s="5"/>
    </row>
    <row r="28" spans="1:108" ht="15" customHeight="1" x14ac:dyDescent="0.25">
      <c r="A28" t="s">
        <v>6</v>
      </c>
      <c r="B28" s="139">
        <v>3</v>
      </c>
      <c r="C28" s="139">
        <v>4</v>
      </c>
      <c r="D28" s="139" t="str">
        <f t="shared" si="0"/>
        <v>SUPPLY_EAST_C_2_24</v>
      </c>
      <c r="E28" s="139" t="s">
        <v>0</v>
      </c>
      <c r="F28" s="142" t="s">
        <v>0</v>
      </c>
      <c r="G28" s="140" t="s">
        <v>18</v>
      </c>
      <c r="H28" s="140" t="s">
        <v>4</v>
      </c>
      <c r="I28" s="140">
        <v>2</v>
      </c>
      <c r="J28" s="143"/>
      <c r="K28" s="184">
        <f>COUNT(AK28:CF28)</f>
        <v>6</v>
      </c>
      <c r="L28" s="140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101"/>
      <c r="AC28" s="101"/>
      <c r="AD28" s="101"/>
      <c r="AE28" s="42"/>
      <c r="AF28" s="46"/>
      <c r="AG28" s="46"/>
      <c r="AH28" s="46"/>
      <c r="AI28" s="46"/>
      <c r="AJ28" s="57"/>
      <c r="AK28" s="86">
        <v>1</v>
      </c>
      <c r="AL28" s="86">
        <f>AK28+1</f>
        <v>2</v>
      </c>
      <c r="AM28" s="86">
        <f t="shared" si="16"/>
        <v>3</v>
      </c>
      <c r="AN28" s="86">
        <f t="shared" si="16"/>
        <v>4</v>
      </c>
      <c r="AO28" s="86">
        <f t="shared" si="16"/>
        <v>5</v>
      </c>
      <c r="AP28" s="86">
        <f t="shared" si="16"/>
        <v>6</v>
      </c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97"/>
      <c r="BG28" s="4"/>
      <c r="BH28" s="4"/>
      <c r="BI28" s="4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5"/>
      <c r="DB28" s="5"/>
      <c r="DC28" s="5"/>
      <c r="DD28" s="5"/>
    </row>
    <row r="29" spans="1:108" ht="15" customHeight="1" x14ac:dyDescent="0.25">
      <c r="A29" t="s">
        <v>6</v>
      </c>
      <c r="B29" s="139">
        <v>3</v>
      </c>
      <c r="C29" s="140">
        <v>5</v>
      </c>
      <c r="D29" s="139" t="str">
        <f t="shared" si="0"/>
        <v>EMPTY_EAST_C_2_24</v>
      </c>
      <c r="E29" s="140" t="s">
        <v>0</v>
      </c>
      <c r="F29" s="142" t="s">
        <v>32</v>
      </c>
      <c r="G29" s="140" t="s">
        <v>18</v>
      </c>
      <c r="H29" s="140" t="s">
        <v>4</v>
      </c>
      <c r="I29" s="140">
        <v>2</v>
      </c>
      <c r="J29" s="139"/>
      <c r="K29" s="184">
        <f>COUNT(AK29:CF29)</f>
        <v>24</v>
      </c>
      <c r="L29" s="139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101"/>
      <c r="AC29" s="101"/>
      <c r="AD29" s="101"/>
      <c r="AE29" s="42"/>
      <c r="AF29" s="46"/>
      <c r="AG29" s="46"/>
      <c r="AH29" s="46"/>
      <c r="AI29" s="46"/>
      <c r="AJ29" s="57"/>
      <c r="AK29" s="86">
        <v>1</v>
      </c>
      <c r="AL29" s="86">
        <f>AK29+1</f>
        <v>2</v>
      </c>
      <c r="AM29" s="86">
        <f t="shared" si="16"/>
        <v>3</v>
      </c>
      <c r="AN29" s="86">
        <f t="shared" si="16"/>
        <v>4</v>
      </c>
      <c r="AO29" s="86">
        <f t="shared" si="16"/>
        <v>5</v>
      </c>
      <c r="AP29" s="86">
        <f t="shared" si="16"/>
        <v>6</v>
      </c>
      <c r="AQ29" s="86">
        <f t="shared" si="16"/>
        <v>7</v>
      </c>
      <c r="AR29" s="86">
        <f t="shared" si="16"/>
        <v>8</v>
      </c>
      <c r="AS29" s="86">
        <f t="shared" si="16"/>
        <v>9</v>
      </c>
      <c r="AT29" s="86">
        <f t="shared" si="16"/>
        <v>10</v>
      </c>
      <c r="AU29" s="86">
        <f t="shared" si="16"/>
        <v>11</v>
      </c>
      <c r="AV29" s="86">
        <f t="shared" ref="AV29:BI29" si="18">AU29+1</f>
        <v>12</v>
      </c>
      <c r="AW29" s="86">
        <f t="shared" si="18"/>
        <v>13</v>
      </c>
      <c r="AX29" s="86">
        <f t="shared" si="18"/>
        <v>14</v>
      </c>
      <c r="AY29" s="86">
        <f t="shared" si="18"/>
        <v>15</v>
      </c>
      <c r="AZ29" s="86">
        <f t="shared" si="18"/>
        <v>16</v>
      </c>
      <c r="BA29" s="86">
        <f t="shared" si="18"/>
        <v>17</v>
      </c>
      <c r="BB29" s="86"/>
      <c r="BC29" s="86">
        <f>BA29+1</f>
        <v>18</v>
      </c>
      <c r="BD29" s="86">
        <f t="shared" si="18"/>
        <v>19</v>
      </c>
      <c r="BE29" s="86">
        <f t="shared" si="18"/>
        <v>20</v>
      </c>
      <c r="BF29" s="86">
        <f t="shared" si="18"/>
        <v>21</v>
      </c>
      <c r="BG29" s="86">
        <f t="shared" si="18"/>
        <v>22</v>
      </c>
      <c r="BH29" s="86">
        <f t="shared" si="18"/>
        <v>23</v>
      </c>
      <c r="BI29" s="86">
        <f t="shared" si="18"/>
        <v>24</v>
      </c>
      <c r="BJ29" s="46"/>
      <c r="BK29" s="4"/>
      <c r="BL29" s="4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5"/>
      <c r="DB29" s="5"/>
      <c r="DC29" s="5"/>
      <c r="DD29" s="5"/>
    </row>
    <row r="30" spans="1:108" ht="15" customHeight="1" x14ac:dyDescent="0.25">
      <c r="A30" t="s">
        <v>6</v>
      </c>
      <c r="B30" s="139">
        <v>3</v>
      </c>
      <c r="C30" s="140">
        <v>6</v>
      </c>
      <c r="D30" s="139" t="str">
        <f t="shared" si="0"/>
        <v>COUNTDOWN_EAST_C_2_24</v>
      </c>
      <c r="E30" s="140"/>
      <c r="F30" s="142" t="s">
        <v>33</v>
      </c>
      <c r="G30" s="140" t="s">
        <v>18</v>
      </c>
      <c r="H30" s="140" t="s">
        <v>4</v>
      </c>
      <c r="I30" s="140">
        <v>2</v>
      </c>
      <c r="J30" s="144"/>
      <c r="K30" s="144"/>
      <c r="L30" s="140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101"/>
      <c r="AC30" s="101"/>
      <c r="AD30" s="101"/>
      <c r="AE30" s="8"/>
      <c r="AF30" s="3"/>
      <c r="AG30" s="3"/>
      <c r="AH30" s="3"/>
      <c r="AI30" s="6"/>
      <c r="AJ30" s="28"/>
      <c r="AK30" s="133"/>
      <c r="AL30" s="133"/>
      <c r="AM30" s="133"/>
      <c r="AN30" s="46"/>
      <c r="AO30" s="56"/>
      <c r="AP30" s="56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5"/>
      <c r="DB30" s="5"/>
      <c r="DC30" s="5"/>
      <c r="DD30" s="5"/>
    </row>
    <row r="31" spans="1:108" ht="15" customHeight="1" x14ac:dyDescent="0.25">
      <c r="B31" s="139">
        <v>4</v>
      </c>
      <c r="C31" s="139">
        <v>1</v>
      </c>
      <c r="D31" s="139" t="str">
        <f t="shared" si="0"/>
        <v>SORTING_EAST_I_1_24</v>
      </c>
      <c r="E31" s="139" t="s">
        <v>35</v>
      </c>
      <c r="F31" s="138" t="s">
        <v>45</v>
      </c>
      <c r="G31" s="140" t="s">
        <v>18</v>
      </c>
      <c r="H31" s="140" t="s">
        <v>10</v>
      </c>
      <c r="I31" s="140">
        <v>1</v>
      </c>
      <c r="J31" s="139"/>
      <c r="K31" s="184">
        <f>COUNT(AE31:BH31)</f>
        <v>9</v>
      </c>
      <c r="L31" s="139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101"/>
      <c r="AC31" s="101"/>
      <c r="AD31" s="101"/>
      <c r="AE31" s="8">
        <v>1</v>
      </c>
      <c r="AF31" s="3">
        <f t="shared" ref="AF31:AU35" si="19">AE31+1</f>
        <v>2</v>
      </c>
      <c r="AG31" s="3">
        <f t="shared" si="19"/>
        <v>3</v>
      </c>
      <c r="AH31" s="3">
        <f t="shared" si="19"/>
        <v>4</v>
      </c>
      <c r="AI31" s="3">
        <f t="shared" si="19"/>
        <v>5</v>
      </c>
      <c r="AJ31" s="31">
        <f t="shared" si="19"/>
        <v>6</v>
      </c>
      <c r="AK31" s="86">
        <f t="shared" si="19"/>
        <v>7</v>
      </c>
      <c r="AL31" s="3">
        <f t="shared" si="19"/>
        <v>8</v>
      </c>
      <c r="AM31" s="3">
        <f t="shared" si="19"/>
        <v>9</v>
      </c>
      <c r="AN31" s="4"/>
      <c r="AO31" s="4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5"/>
      <c r="DB31" s="5"/>
      <c r="DC31" s="5"/>
      <c r="DD31" s="5"/>
    </row>
    <row r="32" spans="1:108" ht="15" customHeight="1" x14ac:dyDescent="0.25">
      <c r="B32" s="139">
        <v>4</v>
      </c>
      <c r="C32" s="139">
        <v>2</v>
      </c>
      <c r="D32" s="139" t="str">
        <f t="shared" si="0"/>
        <v>TRANSFER_EAST_I_1_24</v>
      </c>
      <c r="E32" s="139" t="s">
        <v>21</v>
      </c>
      <c r="F32" s="138" t="s">
        <v>21</v>
      </c>
      <c r="G32" s="140" t="s">
        <v>18</v>
      </c>
      <c r="H32" s="140" t="s">
        <v>10</v>
      </c>
      <c r="I32" s="140">
        <v>1</v>
      </c>
      <c r="J32" s="139"/>
      <c r="K32" s="184">
        <f>COUNT(AE32:BH32)</f>
        <v>11</v>
      </c>
      <c r="L32" s="139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101"/>
      <c r="AC32" s="101"/>
      <c r="AD32" s="101"/>
      <c r="AE32" s="8">
        <v>1</v>
      </c>
      <c r="AF32" s="3">
        <f t="shared" si="19"/>
        <v>2</v>
      </c>
      <c r="AG32" s="3">
        <f t="shared" si="19"/>
        <v>3</v>
      </c>
      <c r="AH32" s="3">
        <f t="shared" si="19"/>
        <v>4</v>
      </c>
      <c r="AI32" s="3">
        <f t="shared" si="19"/>
        <v>5</v>
      </c>
      <c r="AJ32" s="31">
        <f t="shared" si="19"/>
        <v>6</v>
      </c>
      <c r="AK32" s="86">
        <f t="shared" si="19"/>
        <v>7</v>
      </c>
      <c r="AL32" s="3">
        <f t="shared" si="19"/>
        <v>8</v>
      </c>
      <c r="AM32" s="3">
        <f t="shared" si="19"/>
        <v>9</v>
      </c>
      <c r="AN32" s="3">
        <f t="shared" si="19"/>
        <v>10</v>
      </c>
      <c r="AO32" s="3">
        <f t="shared" si="19"/>
        <v>11</v>
      </c>
      <c r="AP32" s="4"/>
      <c r="AQ32" s="4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5"/>
      <c r="DB32" s="5"/>
      <c r="DC32" s="5"/>
      <c r="DD32" s="5"/>
    </row>
    <row r="33" spans="1:108" ht="15" customHeight="1" x14ac:dyDescent="0.25">
      <c r="B33" s="139">
        <v>4</v>
      </c>
      <c r="C33" s="139">
        <v>3</v>
      </c>
      <c r="D33" s="139" t="str">
        <f t="shared" si="0"/>
        <v>PREPARE_EAST_I_1_24</v>
      </c>
      <c r="E33" s="139" t="s">
        <v>0</v>
      </c>
      <c r="F33" s="138" t="s">
        <v>46</v>
      </c>
      <c r="G33" s="140" t="s">
        <v>18</v>
      </c>
      <c r="H33" s="140" t="s">
        <v>10</v>
      </c>
      <c r="I33" s="140">
        <v>1</v>
      </c>
      <c r="J33" s="141"/>
      <c r="K33" s="184">
        <f>COUNT(M33:BH33)</f>
        <v>29</v>
      </c>
      <c r="L33" s="139"/>
      <c r="M33" s="3">
        <v>1</v>
      </c>
      <c r="N33" s="3">
        <f>M33+1</f>
        <v>2</v>
      </c>
      <c r="O33" s="3">
        <f t="shared" ref="O33:AC33" si="20">N33+1</f>
        <v>3</v>
      </c>
      <c r="P33" s="3">
        <f t="shared" si="20"/>
        <v>4</v>
      </c>
      <c r="Q33" s="3">
        <f t="shared" si="20"/>
        <v>5</v>
      </c>
      <c r="R33" s="3">
        <f t="shared" si="20"/>
        <v>6</v>
      </c>
      <c r="S33" s="3">
        <f t="shared" si="20"/>
        <v>7</v>
      </c>
      <c r="T33" s="3">
        <f t="shared" si="20"/>
        <v>8</v>
      </c>
      <c r="U33" s="3">
        <f t="shared" si="20"/>
        <v>9</v>
      </c>
      <c r="V33" s="3">
        <f t="shared" si="20"/>
        <v>10</v>
      </c>
      <c r="W33" s="3">
        <f t="shared" si="20"/>
        <v>11</v>
      </c>
      <c r="X33" s="3">
        <f t="shared" si="20"/>
        <v>12</v>
      </c>
      <c r="Y33" s="3">
        <f t="shared" si="20"/>
        <v>13</v>
      </c>
      <c r="Z33" s="3">
        <f t="shared" si="20"/>
        <v>14</v>
      </c>
      <c r="AA33" s="3">
        <f t="shared" si="20"/>
        <v>15</v>
      </c>
      <c r="AB33" s="3">
        <f t="shared" si="20"/>
        <v>16</v>
      </c>
      <c r="AC33" s="30">
        <f t="shared" si="20"/>
        <v>17</v>
      </c>
      <c r="AD33" s="30"/>
      <c r="AE33" s="8">
        <f>AC33+1</f>
        <v>18</v>
      </c>
      <c r="AF33" s="3">
        <f t="shared" si="19"/>
        <v>19</v>
      </c>
      <c r="AG33" s="3">
        <f t="shared" si="19"/>
        <v>20</v>
      </c>
      <c r="AH33" s="3">
        <f t="shared" si="19"/>
        <v>21</v>
      </c>
      <c r="AI33" s="3">
        <f t="shared" si="19"/>
        <v>22</v>
      </c>
      <c r="AJ33" s="31">
        <f t="shared" si="19"/>
        <v>23</v>
      </c>
      <c r="AK33" s="86">
        <f t="shared" si="19"/>
        <v>24</v>
      </c>
      <c r="AL33" s="3">
        <f t="shared" si="19"/>
        <v>25</v>
      </c>
      <c r="AM33" s="3">
        <f t="shared" si="19"/>
        <v>26</v>
      </c>
      <c r="AN33" s="3">
        <f t="shared" si="19"/>
        <v>27</v>
      </c>
      <c r="AO33" s="3">
        <f t="shared" si="19"/>
        <v>28</v>
      </c>
      <c r="AP33" s="3">
        <f t="shared" si="19"/>
        <v>29</v>
      </c>
      <c r="AQ33" s="4"/>
      <c r="AR33" s="4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5"/>
      <c r="DB33" s="5"/>
      <c r="DC33" s="5"/>
      <c r="DD33" s="5"/>
    </row>
    <row r="34" spans="1:108" ht="15" customHeight="1" x14ac:dyDescent="0.25">
      <c r="B34" s="139">
        <v>4</v>
      </c>
      <c r="C34" s="139">
        <v>4</v>
      </c>
      <c r="D34" s="139" t="str">
        <f t="shared" si="0"/>
        <v>SUPPLY_EAST_I_1_24</v>
      </c>
      <c r="E34" s="139" t="s">
        <v>0</v>
      </c>
      <c r="F34" s="142" t="s">
        <v>0</v>
      </c>
      <c r="G34" s="140" t="s">
        <v>18</v>
      </c>
      <c r="H34" s="140" t="s">
        <v>10</v>
      </c>
      <c r="I34" s="140">
        <v>1</v>
      </c>
      <c r="J34" s="143"/>
      <c r="K34" s="184">
        <f>COUNT(AK34:CF34)</f>
        <v>8</v>
      </c>
      <c r="L34" s="140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101"/>
      <c r="AC34" s="101"/>
      <c r="AD34" s="101"/>
      <c r="AE34" s="42"/>
      <c r="AF34" s="46"/>
      <c r="AG34" s="46"/>
      <c r="AH34" s="46"/>
      <c r="AI34" s="46"/>
      <c r="AJ34" s="57"/>
      <c r="AK34" s="86">
        <v>1</v>
      </c>
      <c r="AL34" s="86">
        <f>AK34+1</f>
        <v>2</v>
      </c>
      <c r="AM34" s="86">
        <f t="shared" si="19"/>
        <v>3</v>
      </c>
      <c r="AN34" s="86">
        <f t="shared" si="19"/>
        <v>4</v>
      </c>
      <c r="AO34" s="86">
        <f t="shared" si="19"/>
        <v>5</v>
      </c>
      <c r="AP34" s="86">
        <f t="shared" si="19"/>
        <v>6</v>
      </c>
      <c r="AQ34" s="86">
        <f t="shared" si="19"/>
        <v>7</v>
      </c>
      <c r="AR34" s="86">
        <f t="shared" si="19"/>
        <v>8</v>
      </c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97"/>
      <c r="BI34" s="4"/>
      <c r="BJ34" s="4"/>
      <c r="BK34" s="4"/>
      <c r="BL34" s="4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5"/>
      <c r="DB34" s="5"/>
      <c r="DC34" s="5"/>
      <c r="DD34" s="5"/>
    </row>
    <row r="35" spans="1:108" ht="15" customHeight="1" x14ac:dyDescent="0.25">
      <c r="B35" s="139">
        <v>4</v>
      </c>
      <c r="C35" s="140">
        <v>5</v>
      </c>
      <c r="D35" s="139" t="str">
        <f t="shared" si="0"/>
        <v>EMPTY_EAST_I_1_24</v>
      </c>
      <c r="E35" s="140" t="s">
        <v>0</v>
      </c>
      <c r="F35" s="142" t="s">
        <v>32</v>
      </c>
      <c r="G35" s="140" t="s">
        <v>18</v>
      </c>
      <c r="H35" s="140" t="s">
        <v>10</v>
      </c>
      <c r="I35" s="140">
        <v>1</v>
      </c>
      <c r="J35" s="139"/>
      <c r="K35" s="184">
        <f>COUNT(AK35:CF35)</f>
        <v>27</v>
      </c>
      <c r="L35" s="139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101"/>
      <c r="AC35" s="101"/>
      <c r="AD35" s="101"/>
      <c r="AE35" s="42"/>
      <c r="AF35" s="46"/>
      <c r="AG35" s="46"/>
      <c r="AH35" s="46"/>
      <c r="AI35" s="46"/>
      <c r="AJ35" s="57"/>
      <c r="AK35" s="86">
        <v>1</v>
      </c>
      <c r="AL35" s="86">
        <f>AK35+1</f>
        <v>2</v>
      </c>
      <c r="AM35" s="86">
        <f t="shared" si="19"/>
        <v>3</v>
      </c>
      <c r="AN35" s="86">
        <f t="shared" si="19"/>
        <v>4</v>
      </c>
      <c r="AO35" s="86">
        <f t="shared" si="19"/>
        <v>5</v>
      </c>
      <c r="AP35" s="86">
        <f t="shared" si="19"/>
        <v>6</v>
      </c>
      <c r="AQ35" s="86">
        <f t="shared" si="19"/>
        <v>7</v>
      </c>
      <c r="AR35" s="86">
        <f t="shared" si="19"/>
        <v>8</v>
      </c>
      <c r="AS35" s="86">
        <f t="shared" si="19"/>
        <v>9</v>
      </c>
      <c r="AT35" s="86">
        <f t="shared" si="19"/>
        <v>10</v>
      </c>
      <c r="AU35" s="86">
        <f t="shared" si="19"/>
        <v>11</v>
      </c>
      <c r="AV35" s="86">
        <f t="shared" ref="AV35:BL35" si="21">AU35+1</f>
        <v>12</v>
      </c>
      <c r="AW35" s="86">
        <f t="shared" si="21"/>
        <v>13</v>
      </c>
      <c r="AX35" s="86">
        <f t="shared" si="21"/>
        <v>14</v>
      </c>
      <c r="AY35" s="86">
        <f t="shared" si="21"/>
        <v>15</v>
      </c>
      <c r="AZ35" s="86">
        <f t="shared" si="21"/>
        <v>16</v>
      </c>
      <c r="BA35" s="86">
        <f t="shared" si="21"/>
        <v>17</v>
      </c>
      <c r="BB35" s="86"/>
      <c r="BC35" s="86">
        <f>BA35+1</f>
        <v>18</v>
      </c>
      <c r="BD35" s="86">
        <f t="shared" si="21"/>
        <v>19</v>
      </c>
      <c r="BE35" s="86">
        <f t="shared" si="21"/>
        <v>20</v>
      </c>
      <c r="BF35" s="86">
        <f t="shared" si="21"/>
        <v>21</v>
      </c>
      <c r="BG35" s="86">
        <f t="shared" si="21"/>
        <v>22</v>
      </c>
      <c r="BH35" s="86">
        <f t="shared" si="21"/>
        <v>23</v>
      </c>
      <c r="BI35" s="86">
        <f t="shared" si="21"/>
        <v>24</v>
      </c>
      <c r="BJ35" s="86">
        <f t="shared" si="21"/>
        <v>25</v>
      </c>
      <c r="BK35" s="86">
        <f t="shared" si="21"/>
        <v>26</v>
      </c>
      <c r="BL35" s="86">
        <f t="shared" si="21"/>
        <v>27</v>
      </c>
      <c r="BM35" s="46"/>
      <c r="BN35" s="4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5"/>
      <c r="DB35" s="5"/>
      <c r="DC35" s="5"/>
      <c r="DD35" s="5"/>
    </row>
    <row r="36" spans="1:108" ht="15" customHeight="1" x14ac:dyDescent="0.25">
      <c r="B36" s="139">
        <v>4</v>
      </c>
      <c r="C36" s="140">
        <v>6</v>
      </c>
      <c r="D36" s="139" t="str">
        <f t="shared" si="0"/>
        <v>COUNTDOWN_EAST_I_1_24</v>
      </c>
      <c r="E36" s="140"/>
      <c r="F36" s="142" t="s">
        <v>33</v>
      </c>
      <c r="G36" s="140" t="s">
        <v>18</v>
      </c>
      <c r="H36" s="140" t="s">
        <v>10</v>
      </c>
      <c r="I36" s="140">
        <v>1</v>
      </c>
      <c r="J36" s="144"/>
      <c r="K36" s="144"/>
      <c r="L36" s="140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101"/>
      <c r="AC36" s="101"/>
      <c r="AD36" s="101"/>
      <c r="AE36" s="8"/>
      <c r="AF36" s="3"/>
      <c r="AG36" s="3"/>
      <c r="AH36" s="3"/>
      <c r="AI36" s="3"/>
      <c r="AJ36" s="31"/>
      <c r="AK36" s="132"/>
      <c r="AL36" s="132"/>
      <c r="AM36" s="132"/>
      <c r="AN36" s="6"/>
      <c r="AO36" s="46"/>
      <c r="AP36" s="46"/>
      <c r="AQ36" s="56"/>
      <c r="AR36" s="56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5"/>
      <c r="DB36" s="5"/>
      <c r="DC36" s="5"/>
      <c r="DD36" s="5"/>
    </row>
    <row r="37" spans="1:108" ht="15" customHeight="1" x14ac:dyDescent="0.25">
      <c r="A37" t="s">
        <v>15</v>
      </c>
      <c r="B37" s="139">
        <v>5</v>
      </c>
      <c r="C37" s="139">
        <v>1</v>
      </c>
      <c r="D37" s="139" t="str">
        <f t="shared" si="0"/>
        <v>SORTING_EAST_G_2_24</v>
      </c>
      <c r="E37" s="139" t="s">
        <v>35</v>
      </c>
      <c r="F37" s="138" t="s">
        <v>45</v>
      </c>
      <c r="G37" s="140" t="s">
        <v>18</v>
      </c>
      <c r="H37" s="140" t="s">
        <v>8</v>
      </c>
      <c r="I37" s="140">
        <v>2</v>
      </c>
      <c r="J37" s="139"/>
      <c r="K37" s="184">
        <f>COUNT(AE37:BH37)</f>
        <v>11</v>
      </c>
      <c r="L37" s="139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101"/>
      <c r="AC37" s="101"/>
      <c r="AD37" s="101"/>
      <c r="AE37" s="8">
        <v>1</v>
      </c>
      <c r="AF37" s="3">
        <f t="shared" ref="AF37:AU41" si="22">AE37+1</f>
        <v>2</v>
      </c>
      <c r="AG37" s="3">
        <f t="shared" si="22"/>
        <v>3</v>
      </c>
      <c r="AH37" s="3">
        <f t="shared" si="22"/>
        <v>4</v>
      </c>
      <c r="AI37" s="3">
        <f t="shared" si="22"/>
        <v>5</v>
      </c>
      <c r="AJ37" s="31">
        <f t="shared" si="22"/>
        <v>6</v>
      </c>
      <c r="AK37" s="86">
        <f t="shared" si="22"/>
        <v>7</v>
      </c>
      <c r="AL37" s="3">
        <f t="shared" si="22"/>
        <v>8</v>
      </c>
      <c r="AM37" s="3">
        <f t="shared" si="22"/>
        <v>9</v>
      </c>
      <c r="AN37" s="3">
        <f t="shared" si="22"/>
        <v>10</v>
      </c>
      <c r="AO37" s="3">
        <f t="shared" si="22"/>
        <v>11</v>
      </c>
      <c r="AP37" s="4"/>
      <c r="AQ37" s="4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5"/>
      <c r="DB37" s="5"/>
      <c r="DC37" s="5"/>
      <c r="DD37" s="5"/>
    </row>
    <row r="38" spans="1:108" ht="15" customHeight="1" x14ac:dyDescent="0.25">
      <c r="A38" t="s">
        <v>15</v>
      </c>
      <c r="B38" s="139">
        <v>5</v>
      </c>
      <c r="C38" s="139">
        <v>2</v>
      </c>
      <c r="D38" s="139" t="str">
        <f t="shared" si="0"/>
        <v>TRANSFER_EAST_G_2_24</v>
      </c>
      <c r="E38" s="139" t="s">
        <v>21</v>
      </c>
      <c r="F38" s="138" t="s">
        <v>21</v>
      </c>
      <c r="G38" s="140" t="s">
        <v>18</v>
      </c>
      <c r="H38" s="140" t="s">
        <v>8</v>
      </c>
      <c r="I38" s="140">
        <v>2</v>
      </c>
      <c r="J38" s="139"/>
      <c r="K38" s="184">
        <f>COUNT(AE38:BH38)</f>
        <v>13</v>
      </c>
      <c r="L38" s="139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101"/>
      <c r="AC38" s="101"/>
      <c r="AD38" s="101"/>
      <c r="AE38" s="8">
        <v>1</v>
      </c>
      <c r="AF38" s="3">
        <f t="shared" si="22"/>
        <v>2</v>
      </c>
      <c r="AG38" s="3">
        <f t="shared" si="22"/>
        <v>3</v>
      </c>
      <c r="AH38" s="3">
        <f t="shared" si="22"/>
        <v>4</v>
      </c>
      <c r="AI38" s="3">
        <f t="shared" si="22"/>
        <v>5</v>
      </c>
      <c r="AJ38" s="31">
        <f t="shared" si="22"/>
        <v>6</v>
      </c>
      <c r="AK38" s="86">
        <f t="shared" si="22"/>
        <v>7</v>
      </c>
      <c r="AL38" s="3">
        <f t="shared" si="22"/>
        <v>8</v>
      </c>
      <c r="AM38" s="3">
        <f t="shared" si="22"/>
        <v>9</v>
      </c>
      <c r="AN38" s="3">
        <f t="shared" si="22"/>
        <v>10</v>
      </c>
      <c r="AO38" s="3">
        <f t="shared" si="22"/>
        <v>11</v>
      </c>
      <c r="AP38" s="3">
        <f t="shared" si="22"/>
        <v>12</v>
      </c>
      <c r="AQ38" s="3">
        <f t="shared" si="22"/>
        <v>13</v>
      </c>
      <c r="AR38" s="4"/>
      <c r="AS38" s="4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5"/>
      <c r="DB38" s="5"/>
      <c r="DC38" s="5"/>
      <c r="DD38" s="5"/>
    </row>
    <row r="39" spans="1:108" ht="15" customHeight="1" x14ac:dyDescent="0.25">
      <c r="A39" t="s">
        <v>15</v>
      </c>
      <c r="B39" s="139">
        <v>5</v>
      </c>
      <c r="C39" s="139">
        <v>3</v>
      </c>
      <c r="D39" s="139" t="str">
        <f t="shared" si="0"/>
        <v>PREPARE_EAST_G_2_24</v>
      </c>
      <c r="E39" s="139" t="s">
        <v>0</v>
      </c>
      <c r="F39" s="138" t="s">
        <v>46</v>
      </c>
      <c r="G39" s="140" t="s">
        <v>18</v>
      </c>
      <c r="H39" s="140" t="s">
        <v>8</v>
      </c>
      <c r="I39" s="140">
        <v>2</v>
      </c>
      <c r="J39" s="141"/>
      <c r="K39" s="184">
        <f>COUNT(M39:BH39)</f>
        <v>31</v>
      </c>
      <c r="L39" s="139"/>
      <c r="M39" s="3">
        <v>1</v>
      </c>
      <c r="N39" s="3">
        <f>M39+1</f>
        <v>2</v>
      </c>
      <c r="O39" s="3">
        <f t="shared" ref="O39:AC39" si="23">N39+1</f>
        <v>3</v>
      </c>
      <c r="P39" s="3">
        <f t="shared" si="23"/>
        <v>4</v>
      </c>
      <c r="Q39" s="3">
        <f t="shared" si="23"/>
        <v>5</v>
      </c>
      <c r="R39" s="3">
        <f t="shared" si="23"/>
        <v>6</v>
      </c>
      <c r="S39" s="3">
        <f t="shared" si="23"/>
        <v>7</v>
      </c>
      <c r="T39" s="3">
        <f t="shared" si="23"/>
        <v>8</v>
      </c>
      <c r="U39" s="3">
        <f t="shared" si="23"/>
        <v>9</v>
      </c>
      <c r="V39" s="3">
        <f t="shared" si="23"/>
        <v>10</v>
      </c>
      <c r="W39" s="3">
        <f t="shared" si="23"/>
        <v>11</v>
      </c>
      <c r="X39" s="3">
        <f t="shared" si="23"/>
        <v>12</v>
      </c>
      <c r="Y39" s="3">
        <f t="shared" si="23"/>
        <v>13</v>
      </c>
      <c r="Z39" s="3">
        <f t="shared" si="23"/>
        <v>14</v>
      </c>
      <c r="AA39" s="3">
        <f t="shared" si="23"/>
        <v>15</v>
      </c>
      <c r="AB39" s="3">
        <f t="shared" si="23"/>
        <v>16</v>
      </c>
      <c r="AC39" s="30">
        <f t="shared" si="23"/>
        <v>17</v>
      </c>
      <c r="AD39" s="30"/>
      <c r="AE39" s="8">
        <f>AC39+1</f>
        <v>18</v>
      </c>
      <c r="AF39" s="3">
        <f t="shared" si="22"/>
        <v>19</v>
      </c>
      <c r="AG39" s="3">
        <f t="shared" si="22"/>
        <v>20</v>
      </c>
      <c r="AH39" s="3">
        <f t="shared" si="22"/>
        <v>21</v>
      </c>
      <c r="AI39" s="3">
        <f t="shared" si="22"/>
        <v>22</v>
      </c>
      <c r="AJ39" s="31">
        <f t="shared" si="22"/>
        <v>23</v>
      </c>
      <c r="AK39" s="86">
        <f t="shared" si="22"/>
        <v>24</v>
      </c>
      <c r="AL39" s="3">
        <f t="shared" si="22"/>
        <v>25</v>
      </c>
      <c r="AM39" s="3">
        <f t="shared" si="22"/>
        <v>26</v>
      </c>
      <c r="AN39" s="3">
        <f t="shared" si="22"/>
        <v>27</v>
      </c>
      <c r="AO39" s="3">
        <f t="shared" si="22"/>
        <v>28</v>
      </c>
      <c r="AP39" s="3">
        <f t="shared" si="22"/>
        <v>29</v>
      </c>
      <c r="AQ39" s="3">
        <f t="shared" si="22"/>
        <v>30</v>
      </c>
      <c r="AR39" s="3">
        <f t="shared" si="22"/>
        <v>31</v>
      </c>
      <c r="AS39" s="4"/>
      <c r="AT39" s="4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5"/>
      <c r="DB39" s="5"/>
      <c r="DC39" s="5"/>
      <c r="DD39" s="5"/>
    </row>
    <row r="40" spans="1:108" ht="15" customHeight="1" x14ac:dyDescent="0.25">
      <c r="A40" t="s">
        <v>15</v>
      </c>
      <c r="B40" s="139">
        <v>5</v>
      </c>
      <c r="C40" s="139">
        <v>4</v>
      </c>
      <c r="D40" s="139" t="str">
        <f t="shared" si="0"/>
        <v>SUPPLY_EAST_G_2_24</v>
      </c>
      <c r="E40" s="139" t="s">
        <v>0</v>
      </c>
      <c r="F40" s="142" t="s">
        <v>0</v>
      </c>
      <c r="G40" s="140" t="s">
        <v>18</v>
      </c>
      <c r="H40" s="140" t="s">
        <v>8</v>
      </c>
      <c r="I40" s="140">
        <v>2</v>
      </c>
      <c r="J40" s="143"/>
      <c r="K40" s="184">
        <f>COUNT(AK40:CF40)</f>
        <v>10</v>
      </c>
      <c r="L40" s="140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101"/>
      <c r="AC40" s="101"/>
      <c r="AD40" s="101"/>
      <c r="AE40" s="42"/>
      <c r="AF40" s="46"/>
      <c r="AG40" s="46"/>
      <c r="AH40" s="46"/>
      <c r="AI40" s="46"/>
      <c r="AJ40" s="57"/>
      <c r="AK40" s="86">
        <v>1</v>
      </c>
      <c r="AL40" s="86">
        <f>AK40+1</f>
        <v>2</v>
      </c>
      <c r="AM40" s="86">
        <f t="shared" si="22"/>
        <v>3</v>
      </c>
      <c r="AN40" s="86">
        <f t="shared" si="22"/>
        <v>4</v>
      </c>
      <c r="AO40" s="86">
        <f t="shared" si="22"/>
        <v>5</v>
      </c>
      <c r="AP40" s="86">
        <f t="shared" si="22"/>
        <v>6</v>
      </c>
      <c r="AQ40" s="86">
        <f t="shared" si="22"/>
        <v>7</v>
      </c>
      <c r="AR40" s="86">
        <f t="shared" si="22"/>
        <v>8</v>
      </c>
      <c r="AS40" s="86">
        <f t="shared" si="22"/>
        <v>9</v>
      </c>
      <c r="AT40" s="86">
        <f t="shared" si="22"/>
        <v>10</v>
      </c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97"/>
      <c r="BK40" s="97"/>
      <c r="BL40" s="97"/>
      <c r="BM40" s="4"/>
      <c r="BN40" s="4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5"/>
      <c r="DB40" s="5"/>
      <c r="DC40" s="5"/>
      <c r="DD40" s="5"/>
    </row>
    <row r="41" spans="1:108" ht="15" customHeight="1" x14ac:dyDescent="0.25">
      <c r="A41" t="s">
        <v>15</v>
      </c>
      <c r="B41" s="139">
        <v>5</v>
      </c>
      <c r="C41" s="140">
        <v>5</v>
      </c>
      <c r="D41" s="139" t="str">
        <f t="shared" si="0"/>
        <v>EMPTY_EAST_G_2_24</v>
      </c>
      <c r="E41" s="140" t="s">
        <v>0</v>
      </c>
      <c r="F41" s="142" t="s">
        <v>32</v>
      </c>
      <c r="G41" s="140" t="s">
        <v>18</v>
      </c>
      <c r="H41" s="140" t="s">
        <v>8</v>
      </c>
      <c r="I41" s="140">
        <v>2</v>
      </c>
      <c r="J41" s="139"/>
      <c r="K41" s="184">
        <f>COUNT(AK41:CF41)</f>
        <v>29</v>
      </c>
      <c r="L41" s="139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101"/>
      <c r="AC41" s="101"/>
      <c r="AD41" s="101"/>
      <c r="AE41" s="42"/>
      <c r="AF41" s="46"/>
      <c r="AG41" s="46"/>
      <c r="AH41" s="46"/>
      <c r="AI41" s="46"/>
      <c r="AJ41" s="57"/>
      <c r="AK41" s="86">
        <v>1</v>
      </c>
      <c r="AL41" s="86">
        <f>AK41+1</f>
        <v>2</v>
      </c>
      <c r="AM41" s="86">
        <f t="shared" si="22"/>
        <v>3</v>
      </c>
      <c r="AN41" s="86">
        <f t="shared" si="22"/>
        <v>4</v>
      </c>
      <c r="AO41" s="86">
        <f t="shared" si="22"/>
        <v>5</v>
      </c>
      <c r="AP41" s="86">
        <f t="shared" si="22"/>
        <v>6</v>
      </c>
      <c r="AQ41" s="86">
        <f t="shared" si="22"/>
        <v>7</v>
      </c>
      <c r="AR41" s="86">
        <f t="shared" si="22"/>
        <v>8</v>
      </c>
      <c r="AS41" s="86">
        <f t="shared" si="22"/>
        <v>9</v>
      </c>
      <c r="AT41" s="86">
        <f t="shared" si="22"/>
        <v>10</v>
      </c>
      <c r="AU41" s="86">
        <f t="shared" si="22"/>
        <v>11</v>
      </c>
      <c r="AV41" s="86">
        <f t="shared" ref="AV41:BN41" si="24">AU41+1</f>
        <v>12</v>
      </c>
      <c r="AW41" s="86">
        <f t="shared" si="24"/>
        <v>13</v>
      </c>
      <c r="AX41" s="86">
        <f t="shared" si="24"/>
        <v>14</v>
      </c>
      <c r="AY41" s="86">
        <f t="shared" si="24"/>
        <v>15</v>
      </c>
      <c r="AZ41" s="86">
        <f t="shared" si="24"/>
        <v>16</v>
      </c>
      <c r="BA41" s="86">
        <f t="shared" si="24"/>
        <v>17</v>
      </c>
      <c r="BB41" s="86"/>
      <c r="BC41" s="86">
        <f>BA41+1</f>
        <v>18</v>
      </c>
      <c r="BD41" s="86">
        <f t="shared" si="24"/>
        <v>19</v>
      </c>
      <c r="BE41" s="86">
        <f t="shared" si="24"/>
        <v>20</v>
      </c>
      <c r="BF41" s="86">
        <f t="shared" si="24"/>
        <v>21</v>
      </c>
      <c r="BG41" s="86">
        <f t="shared" si="24"/>
        <v>22</v>
      </c>
      <c r="BH41" s="86">
        <f t="shared" si="24"/>
        <v>23</v>
      </c>
      <c r="BI41" s="86">
        <f t="shared" si="24"/>
        <v>24</v>
      </c>
      <c r="BJ41" s="86">
        <f t="shared" si="24"/>
        <v>25</v>
      </c>
      <c r="BK41" s="86">
        <f t="shared" si="24"/>
        <v>26</v>
      </c>
      <c r="BL41" s="86">
        <f t="shared" si="24"/>
        <v>27</v>
      </c>
      <c r="BM41" s="86">
        <f t="shared" si="24"/>
        <v>28</v>
      </c>
      <c r="BN41" s="86">
        <f t="shared" si="24"/>
        <v>29</v>
      </c>
      <c r="BO41" s="46"/>
      <c r="BP41" s="4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5"/>
      <c r="DB41" s="5"/>
      <c r="DC41" s="5"/>
      <c r="DD41" s="5"/>
    </row>
    <row r="42" spans="1:108" ht="15" customHeight="1" x14ac:dyDescent="0.25">
      <c r="A42" t="s">
        <v>15</v>
      </c>
      <c r="B42" s="139">
        <v>5</v>
      </c>
      <c r="C42" s="140">
        <v>6</v>
      </c>
      <c r="D42" s="139" t="str">
        <f t="shared" si="0"/>
        <v>COUNTDOWN_EAST_G_2_24</v>
      </c>
      <c r="E42" s="140"/>
      <c r="F42" s="142" t="s">
        <v>33</v>
      </c>
      <c r="G42" s="140" t="s">
        <v>18</v>
      </c>
      <c r="H42" s="140" t="s">
        <v>8</v>
      </c>
      <c r="I42" s="140">
        <v>2</v>
      </c>
      <c r="J42" s="144"/>
      <c r="K42" s="144"/>
      <c r="L42" s="140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101"/>
      <c r="AC42" s="101"/>
      <c r="AD42" s="101"/>
      <c r="AE42" s="8"/>
      <c r="AF42" s="3"/>
      <c r="AG42" s="3"/>
      <c r="AH42" s="3"/>
      <c r="AI42" s="3"/>
      <c r="AJ42" s="31"/>
      <c r="AK42" s="86"/>
      <c r="AL42" s="86"/>
      <c r="AM42" s="86"/>
      <c r="AN42" s="3"/>
      <c r="AO42" s="6"/>
      <c r="AP42" s="6"/>
      <c r="AQ42" s="46"/>
      <c r="AR42" s="46"/>
      <c r="AS42" s="56"/>
      <c r="AT42" s="56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5"/>
      <c r="DB42" s="5"/>
      <c r="DC42" s="5"/>
      <c r="DD42" s="5"/>
    </row>
    <row r="43" spans="1:108" ht="15" customHeight="1" x14ac:dyDescent="0.25">
      <c r="B43" s="139">
        <v>6</v>
      </c>
      <c r="C43" s="139">
        <v>1</v>
      </c>
      <c r="D43" s="139" t="str">
        <f t="shared" si="0"/>
        <v>SORTING_EAST_B_1_24</v>
      </c>
      <c r="E43" s="139" t="s">
        <v>35</v>
      </c>
      <c r="F43" s="138" t="s">
        <v>45</v>
      </c>
      <c r="G43" s="140" t="s">
        <v>18</v>
      </c>
      <c r="H43" s="140" t="s">
        <v>3</v>
      </c>
      <c r="I43" s="140">
        <v>1</v>
      </c>
      <c r="J43" s="139"/>
      <c r="K43" s="184">
        <f>COUNT(AE43:BH43)</f>
        <v>13</v>
      </c>
      <c r="L43" s="139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101"/>
      <c r="AC43" s="101"/>
      <c r="AD43" s="101"/>
      <c r="AE43" s="8">
        <v>1</v>
      </c>
      <c r="AF43" s="3">
        <f t="shared" ref="AF43:AU47" si="25">AE43+1</f>
        <v>2</v>
      </c>
      <c r="AG43" s="3">
        <f t="shared" si="25"/>
        <v>3</v>
      </c>
      <c r="AH43" s="3">
        <f t="shared" si="25"/>
        <v>4</v>
      </c>
      <c r="AI43" s="3">
        <f t="shared" si="25"/>
        <v>5</v>
      </c>
      <c r="AJ43" s="31">
        <f t="shared" si="25"/>
        <v>6</v>
      </c>
      <c r="AK43" s="86">
        <f t="shared" si="25"/>
        <v>7</v>
      </c>
      <c r="AL43" s="3">
        <f t="shared" si="25"/>
        <v>8</v>
      </c>
      <c r="AM43" s="3">
        <f t="shared" si="25"/>
        <v>9</v>
      </c>
      <c r="AN43" s="3">
        <f t="shared" si="25"/>
        <v>10</v>
      </c>
      <c r="AO43" s="3">
        <f t="shared" si="25"/>
        <v>11</v>
      </c>
      <c r="AP43" s="3">
        <f t="shared" si="25"/>
        <v>12</v>
      </c>
      <c r="AQ43" s="3">
        <f t="shared" si="25"/>
        <v>13</v>
      </c>
      <c r="AR43" s="4"/>
      <c r="AS43" s="4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5"/>
      <c r="DB43" s="5"/>
      <c r="DC43" s="5"/>
      <c r="DD43" s="5"/>
    </row>
    <row r="44" spans="1:108" ht="15" customHeight="1" x14ac:dyDescent="0.25">
      <c r="B44" s="139">
        <v>6</v>
      </c>
      <c r="C44" s="139">
        <v>2</v>
      </c>
      <c r="D44" s="139" t="str">
        <f t="shared" si="0"/>
        <v>TRANSFER_EAST_B_1_24</v>
      </c>
      <c r="E44" s="139" t="s">
        <v>21</v>
      </c>
      <c r="F44" s="138" t="s">
        <v>21</v>
      </c>
      <c r="G44" s="140" t="s">
        <v>18</v>
      </c>
      <c r="H44" s="140" t="s">
        <v>3</v>
      </c>
      <c r="I44" s="140">
        <v>1</v>
      </c>
      <c r="J44" s="139"/>
      <c r="K44" s="184">
        <f>COUNT(AE44:BH44)</f>
        <v>15</v>
      </c>
      <c r="L44" s="139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101"/>
      <c r="AC44" s="101"/>
      <c r="AD44" s="101"/>
      <c r="AE44" s="8">
        <v>1</v>
      </c>
      <c r="AF44" s="3">
        <f t="shared" si="25"/>
        <v>2</v>
      </c>
      <c r="AG44" s="3">
        <f t="shared" si="25"/>
        <v>3</v>
      </c>
      <c r="AH44" s="3">
        <f t="shared" si="25"/>
        <v>4</v>
      </c>
      <c r="AI44" s="3">
        <f t="shared" si="25"/>
        <v>5</v>
      </c>
      <c r="AJ44" s="31">
        <f t="shared" si="25"/>
        <v>6</v>
      </c>
      <c r="AK44" s="86">
        <f t="shared" si="25"/>
        <v>7</v>
      </c>
      <c r="AL44" s="3">
        <f t="shared" si="25"/>
        <v>8</v>
      </c>
      <c r="AM44" s="3">
        <f t="shared" si="25"/>
        <v>9</v>
      </c>
      <c r="AN44" s="3">
        <f t="shared" si="25"/>
        <v>10</v>
      </c>
      <c r="AO44" s="3">
        <f t="shared" si="25"/>
        <v>11</v>
      </c>
      <c r="AP44" s="3">
        <f t="shared" si="25"/>
        <v>12</v>
      </c>
      <c r="AQ44" s="3">
        <f t="shared" si="25"/>
        <v>13</v>
      </c>
      <c r="AR44" s="3">
        <f t="shared" si="25"/>
        <v>14</v>
      </c>
      <c r="AS44" s="3">
        <f t="shared" si="25"/>
        <v>15</v>
      </c>
      <c r="AT44" s="4"/>
      <c r="AU44" s="4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5"/>
      <c r="DB44" s="5"/>
      <c r="DC44" s="5"/>
      <c r="DD44" s="5"/>
    </row>
    <row r="45" spans="1:108" ht="15" customHeight="1" x14ac:dyDescent="0.25">
      <c r="B45" s="139">
        <v>6</v>
      </c>
      <c r="C45" s="139">
        <v>3</v>
      </c>
      <c r="D45" s="139" t="str">
        <f t="shared" si="0"/>
        <v>PREPARE_EAST_B_1_24</v>
      </c>
      <c r="E45" s="139" t="s">
        <v>0</v>
      </c>
      <c r="F45" s="138" t="s">
        <v>46</v>
      </c>
      <c r="G45" s="140" t="s">
        <v>18</v>
      </c>
      <c r="H45" s="140" t="s">
        <v>3</v>
      </c>
      <c r="I45" s="140">
        <v>1</v>
      </c>
      <c r="J45" s="141"/>
      <c r="K45" s="184">
        <f>COUNT(M45:BH45)</f>
        <v>34</v>
      </c>
      <c r="L45" s="139"/>
      <c r="M45" s="3">
        <v>1</v>
      </c>
      <c r="N45" s="3">
        <f>M45+1</f>
        <v>2</v>
      </c>
      <c r="O45" s="3">
        <f t="shared" ref="O45:AC45" si="26">N45+1</f>
        <v>3</v>
      </c>
      <c r="P45" s="3">
        <f t="shared" si="26"/>
        <v>4</v>
      </c>
      <c r="Q45" s="3">
        <f t="shared" si="26"/>
        <v>5</v>
      </c>
      <c r="R45" s="3">
        <f t="shared" si="26"/>
        <v>6</v>
      </c>
      <c r="S45" s="3">
        <f t="shared" si="26"/>
        <v>7</v>
      </c>
      <c r="T45" s="3">
        <f t="shared" si="26"/>
        <v>8</v>
      </c>
      <c r="U45" s="3">
        <f t="shared" si="26"/>
        <v>9</v>
      </c>
      <c r="V45" s="3">
        <f t="shared" si="26"/>
        <v>10</v>
      </c>
      <c r="W45" s="3">
        <f t="shared" si="26"/>
        <v>11</v>
      </c>
      <c r="X45" s="3">
        <f t="shared" si="26"/>
        <v>12</v>
      </c>
      <c r="Y45" s="3">
        <f t="shared" si="26"/>
        <v>13</v>
      </c>
      <c r="Z45" s="3">
        <f t="shared" si="26"/>
        <v>14</v>
      </c>
      <c r="AA45" s="3">
        <f t="shared" si="26"/>
        <v>15</v>
      </c>
      <c r="AB45" s="3">
        <f t="shared" si="26"/>
        <v>16</v>
      </c>
      <c r="AC45" s="30">
        <f t="shared" si="26"/>
        <v>17</v>
      </c>
      <c r="AD45" s="30"/>
      <c r="AE45" s="8">
        <f>AC45+1</f>
        <v>18</v>
      </c>
      <c r="AF45" s="3">
        <f t="shared" si="25"/>
        <v>19</v>
      </c>
      <c r="AG45" s="3">
        <f t="shared" si="25"/>
        <v>20</v>
      </c>
      <c r="AH45" s="3">
        <f t="shared" si="25"/>
        <v>21</v>
      </c>
      <c r="AI45" s="3">
        <f t="shared" si="25"/>
        <v>22</v>
      </c>
      <c r="AJ45" s="31">
        <f t="shared" si="25"/>
        <v>23</v>
      </c>
      <c r="AK45" s="86">
        <f t="shared" si="25"/>
        <v>24</v>
      </c>
      <c r="AL45" s="3">
        <f t="shared" si="25"/>
        <v>25</v>
      </c>
      <c r="AM45" s="3">
        <f t="shared" si="25"/>
        <v>26</v>
      </c>
      <c r="AN45" s="3">
        <f t="shared" si="25"/>
        <v>27</v>
      </c>
      <c r="AO45" s="3">
        <f t="shared" si="25"/>
        <v>28</v>
      </c>
      <c r="AP45" s="3">
        <f t="shared" si="25"/>
        <v>29</v>
      </c>
      <c r="AQ45" s="3">
        <f t="shared" si="25"/>
        <v>30</v>
      </c>
      <c r="AR45" s="3">
        <f t="shared" si="25"/>
        <v>31</v>
      </c>
      <c r="AS45" s="3">
        <f t="shared" si="25"/>
        <v>32</v>
      </c>
      <c r="AT45" s="3">
        <f t="shared" si="25"/>
        <v>33</v>
      </c>
      <c r="AU45" s="3">
        <f t="shared" si="25"/>
        <v>34</v>
      </c>
      <c r="AV45" s="4"/>
      <c r="AW45" s="4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5"/>
      <c r="DB45" s="5"/>
      <c r="DC45" s="5"/>
      <c r="DD45" s="5"/>
    </row>
    <row r="46" spans="1:108" ht="15" customHeight="1" x14ac:dyDescent="0.25">
      <c r="B46" s="139">
        <v>6</v>
      </c>
      <c r="C46" s="139">
        <v>4</v>
      </c>
      <c r="D46" s="139" t="str">
        <f t="shared" si="0"/>
        <v>SUPPLY_EAST_B_1_24</v>
      </c>
      <c r="E46" s="139" t="s">
        <v>0</v>
      </c>
      <c r="F46" s="142" t="s">
        <v>0</v>
      </c>
      <c r="G46" s="140" t="s">
        <v>18</v>
      </c>
      <c r="H46" s="140" t="s">
        <v>3</v>
      </c>
      <c r="I46" s="140">
        <v>1</v>
      </c>
      <c r="J46" s="143"/>
      <c r="K46" s="184">
        <f>COUNT(AK46:CF46)</f>
        <v>13</v>
      </c>
      <c r="L46" s="140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101"/>
      <c r="AC46" s="101"/>
      <c r="AD46" s="101"/>
      <c r="AE46" s="42"/>
      <c r="AF46" s="46"/>
      <c r="AG46" s="46"/>
      <c r="AH46" s="46"/>
      <c r="AI46" s="46"/>
      <c r="AJ46" s="57"/>
      <c r="AK46" s="86">
        <v>1</v>
      </c>
      <c r="AL46" s="86">
        <f>AK46+1</f>
        <v>2</v>
      </c>
      <c r="AM46" s="86">
        <f t="shared" si="25"/>
        <v>3</v>
      </c>
      <c r="AN46" s="86">
        <f t="shared" si="25"/>
        <v>4</v>
      </c>
      <c r="AO46" s="86">
        <f t="shared" si="25"/>
        <v>5</v>
      </c>
      <c r="AP46" s="86">
        <f t="shared" si="25"/>
        <v>6</v>
      </c>
      <c r="AQ46" s="86">
        <f t="shared" si="25"/>
        <v>7</v>
      </c>
      <c r="AR46" s="86">
        <f t="shared" si="25"/>
        <v>8</v>
      </c>
      <c r="AS46" s="86">
        <f t="shared" si="25"/>
        <v>9</v>
      </c>
      <c r="AT46" s="86">
        <f t="shared" si="25"/>
        <v>10</v>
      </c>
      <c r="AU46" s="86">
        <f t="shared" si="25"/>
        <v>11</v>
      </c>
      <c r="AV46" s="86">
        <f t="shared" ref="AV46:BL47" si="27">AU46+1</f>
        <v>12</v>
      </c>
      <c r="AW46" s="86">
        <f t="shared" si="27"/>
        <v>13</v>
      </c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97"/>
      <c r="BO46" s="4"/>
      <c r="BP46" s="4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5"/>
      <c r="DB46" s="5"/>
      <c r="DC46" s="5"/>
      <c r="DD46" s="5"/>
    </row>
    <row r="47" spans="1:108" ht="15" customHeight="1" x14ac:dyDescent="0.25">
      <c r="B47" s="139">
        <v>6</v>
      </c>
      <c r="C47" s="140">
        <v>5</v>
      </c>
      <c r="D47" s="139" t="str">
        <f t="shared" si="0"/>
        <v>EMPTY_EAST_B_1_24</v>
      </c>
      <c r="E47" s="140" t="s">
        <v>0</v>
      </c>
      <c r="F47" s="142" t="s">
        <v>32</v>
      </c>
      <c r="G47" s="140" t="s">
        <v>18</v>
      </c>
      <c r="H47" s="140" t="s">
        <v>3</v>
      </c>
      <c r="I47" s="140">
        <v>1</v>
      </c>
      <c r="J47" s="139"/>
      <c r="K47" s="184">
        <f>COUNT(AK47:CF47)</f>
        <v>31</v>
      </c>
      <c r="L47" s="139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101"/>
      <c r="AC47" s="101"/>
      <c r="AD47" s="101"/>
      <c r="AE47" s="42"/>
      <c r="AF47" s="46"/>
      <c r="AG47" s="46"/>
      <c r="AH47" s="46"/>
      <c r="AI47" s="46"/>
      <c r="AJ47" s="57"/>
      <c r="AK47" s="86">
        <v>1</v>
      </c>
      <c r="AL47" s="86">
        <f>AK47+1</f>
        <v>2</v>
      </c>
      <c r="AM47" s="86">
        <f t="shared" si="25"/>
        <v>3</v>
      </c>
      <c r="AN47" s="86">
        <f t="shared" si="25"/>
        <v>4</v>
      </c>
      <c r="AO47" s="86">
        <f t="shared" si="25"/>
        <v>5</v>
      </c>
      <c r="AP47" s="86">
        <f t="shared" si="25"/>
        <v>6</v>
      </c>
      <c r="AQ47" s="86">
        <f t="shared" si="25"/>
        <v>7</v>
      </c>
      <c r="AR47" s="86">
        <f t="shared" si="25"/>
        <v>8</v>
      </c>
      <c r="AS47" s="86">
        <f t="shared" si="25"/>
        <v>9</v>
      </c>
      <c r="AT47" s="86">
        <f t="shared" si="25"/>
        <v>10</v>
      </c>
      <c r="AU47" s="86">
        <f t="shared" si="25"/>
        <v>11</v>
      </c>
      <c r="AV47" s="86">
        <f t="shared" si="27"/>
        <v>12</v>
      </c>
      <c r="AW47" s="86">
        <f t="shared" si="27"/>
        <v>13</v>
      </c>
      <c r="AX47" s="86">
        <f t="shared" si="27"/>
        <v>14</v>
      </c>
      <c r="AY47" s="86">
        <f t="shared" si="27"/>
        <v>15</v>
      </c>
      <c r="AZ47" s="86">
        <f t="shared" si="27"/>
        <v>16</v>
      </c>
      <c r="BA47" s="86">
        <f t="shared" si="27"/>
        <v>17</v>
      </c>
      <c r="BB47" s="86"/>
      <c r="BC47" s="86">
        <f>BA47+1</f>
        <v>18</v>
      </c>
      <c r="BD47" s="86">
        <f t="shared" si="27"/>
        <v>19</v>
      </c>
      <c r="BE47" s="86">
        <f t="shared" si="27"/>
        <v>20</v>
      </c>
      <c r="BF47" s="86">
        <f t="shared" si="27"/>
        <v>21</v>
      </c>
      <c r="BG47" s="86">
        <f t="shared" si="27"/>
        <v>22</v>
      </c>
      <c r="BH47" s="86">
        <f t="shared" si="27"/>
        <v>23</v>
      </c>
      <c r="BI47" s="86">
        <f t="shared" si="27"/>
        <v>24</v>
      </c>
      <c r="BJ47" s="86">
        <f t="shared" si="27"/>
        <v>25</v>
      </c>
      <c r="BK47" s="86">
        <f t="shared" si="27"/>
        <v>26</v>
      </c>
      <c r="BL47" s="86">
        <f t="shared" si="27"/>
        <v>27</v>
      </c>
      <c r="BM47" s="86">
        <f t="shared" ref="BM47:BP47" si="28">BL47+1</f>
        <v>28</v>
      </c>
      <c r="BN47" s="86">
        <f t="shared" si="28"/>
        <v>29</v>
      </c>
      <c r="BO47" s="86">
        <f t="shared" si="28"/>
        <v>30</v>
      </c>
      <c r="BP47" s="86">
        <f t="shared" si="28"/>
        <v>31</v>
      </c>
      <c r="BQ47" s="46"/>
      <c r="BR47" s="4"/>
      <c r="BS47" s="4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5"/>
      <c r="DB47" s="5"/>
      <c r="DC47" s="5"/>
      <c r="DD47" s="5"/>
    </row>
    <row r="48" spans="1:108" ht="15" customHeight="1" x14ac:dyDescent="0.25">
      <c r="B48" s="139">
        <v>6</v>
      </c>
      <c r="C48" s="140">
        <v>6</v>
      </c>
      <c r="D48" s="139" t="str">
        <f t="shared" si="0"/>
        <v>COUNTDOWN_EAST_B_1_24</v>
      </c>
      <c r="E48" s="140"/>
      <c r="F48" s="142" t="s">
        <v>33</v>
      </c>
      <c r="G48" s="140" t="s">
        <v>18</v>
      </c>
      <c r="H48" s="140" t="s">
        <v>3</v>
      </c>
      <c r="I48" s="140">
        <v>1</v>
      </c>
      <c r="J48" s="144"/>
      <c r="K48" s="144"/>
      <c r="L48" s="140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101"/>
      <c r="AC48" s="101"/>
      <c r="AD48" s="101"/>
      <c r="AE48" s="8"/>
      <c r="AF48" s="3"/>
      <c r="AG48" s="3"/>
      <c r="AH48" s="3"/>
      <c r="AI48" s="3"/>
      <c r="AJ48" s="31"/>
      <c r="AK48" s="86"/>
      <c r="AL48" s="86"/>
      <c r="AM48" s="86"/>
      <c r="AN48" s="3"/>
      <c r="AO48" s="3"/>
      <c r="AP48" s="3"/>
      <c r="AQ48" s="6"/>
      <c r="AR48" s="6"/>
      <c r="AS48" s="46"/>
      <c r="AT48" s="46"/>
      <c r="AU48" s="56"/>
      <c r="AV48" s="56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5"/>
      <c r="DB48" s="5"/>
      <c r="DC48" s="5"/>
      <c r="DD48" s="5"/>
    </row>
    <row r="49" spans="2:108" ht="15" customHeight="1" x14ac:dyDescent="0.25">
      <c r="B49" s="139">
        <v>7</v>
      </c>
      <c r="C49" s="139">
        <v>1</v>
      </c>
      <c r="D49" s="139" t="str">
        <f t="shared" si="0"/>
        <v>SORTING_EAST_E_2_24</v>
      </c>
      <c r="E49" s="139" t="s">
        <v>35</v>
      </c>
      <c r="F49" s="138" t="s">
        <v>45</v>
      </c>
      <c r="G49" s="140" t="s">
        <v>18</v>
      </c>
      <c r="H49" s="140" t="s">
        <v>6</v>
      </c>
      <c r="I49" s="140">
        <v>2</v>
      </c>
      <c r="J49" s="139"/>
      <c r="K49" s="184">
        <f>COUNT(AE49:BH49)</f>
        <v>15</v>
      </c>
      <c r="L49" s="139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101"/>
      <c r="AC49" s="101"/>
      <c r="AD49" s="101"/>
      <c r="AE49" s="8">
        <v>1</v>
      </c>
      <c r="AF49" s="3">
        <f t="shared" ref="AF49:AU53" si="29">AE49+1</f>
        <v>2</v>
      </c>
      <c r="AG49" s="3">
        <f t="shared" si="29"/>
        <v>3</v>
      </c>
      <c r="AH49" s="3">
        <f t="shared" si="29"/>
        <v>4</v>
      </c>
      <c r="AI49" s="3">
        <f t="shared" si="29"/>
        <v>5</v>
      </c>
      <c r="AJ49" s="31">
        <f t="shared" si="29"/>
        <v>6</v>
      </c>
      <c r="AK49" s="86">
        <f t="shared" si="29"/>
        <v>7</v>
      </c>
      <c r="AL49" s="3">
        <f t="shared" si="29"/>
        <v>8</v>
      </c>
      <c r="AM49" s="3">
        <f t="shared" si="29"/>
        <v>9</v>
      </c>
      <c r="AN49" s="3">
        <f t="shared" si="29"/>
        <v>10</v>
      </c>
      <c r="AO49" s="3">
        <f t="shared" si="29"/>
        <v>11</v>
      </c>
      <c r="AP49" s="3">
        <f t="shared" si="29"/>
        <v>12</v>
      </c>
      <c r="AQ49" s="3">
        <f t="shared" si="29"/>
        <v>13</v>
      </c>
      <c r="AR49" s="3">
        <f t="shared" si="29"/>
        <v>14</v>
      </c>
      <c r="AS49" s="3">
        <f t="shared" si="29"/>
        <v>15</v>
      </c>
      <c r="AT49" s="4"/>
      <c r="AU49" s="4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5"/>
      <c r="DB49" s="5"/>
      <c r="DC49" s="5"/>
      <c r="DD49" s="5"/>
    </row>
    <row r="50" spans="2:108" ht="15" customHeight="1" x14ac:dyDescent="0.25">
      <c r="B50" s="139">
        <v>7</v>
      </c>
      <c r="C50" s="139">
        <v>2</v>
      </c>
      <c r="D50" s="139" t="str">
        <f t="shared" si="0"/>
        <v>TRANSFER_EAST_E_2_24</v>
      </c>
      <c r="E50" s="139" t="s">
        <v>21</v>
      </c>
      <c r="F50" s="138" t="s">
        <v>21</v>
      </c>
      <c r="G50" s="140" t="s">
        <v>18</v>
      </c>
      <c r="H50" s="140" t="s">
        <v>6</v>
      </c>
      <c r="I50" s="140">
        <v>2</v>
      </c>
      <c r="J50" s="139"/>
      <c r="K50" s="184">
        <f>COUNT(AE50:BH50)</f>
        <v>17</v>
      </c>
      <c r="L50" s="139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101"/>
      <c r="AC50" s="101"/>
      <c r="AD50" s="101"/>
      <c r="AE50" s="8">
        <v>1</v>
      </c>
      <c r="AF50" s="3">
        <f t="shared" si="29"/>
        <v>2</v>
      </c>
      <c r="AG50" s="3">
        <f t="shared" si="29"/>
        <v>3</v>
      </c>
      <c r="AH50" s="3">
        <f t="shared" si="29"/>
        <v>4</v>
      </c>
      <c r="AI50" s="3">
        <f t="shared" si="29"/>
        <v>5</v>
      </c>
      <c r="AJ50" s="31">
        <f t="shared" si="29"/>
        <v>6</v>
      </c>
      <c r="AK50" s="86">
        <f t="shared" si="29"/>
        <v>7</v>
      </c>
      <c r="AL50" s="3">
        <f t="shared" si="29"/>
        <v>8</v>
      </c>
      <c r="AM50" s="3">
        <f t="shared" si="29"/>
        <v>9</v>
      </c>
      <c r="AN50" s="3">
        <f t="shared" si="29"/>
        <v>10</v>
      </c>
      <c r="AO50" s="3">
        <f t="shared" si="29"/>
        <v>11</v>
      </c>
      <c r="AP50" s="3">
        <f t="shared" si="29"/>
        <v>12</v>
      </c>
      <c r="AQ50" s="3">
        <f t="shared" si="29"/>
        <v>13</v>
      </c>
      <c r="AR50" s="3">
        <f t="shared" si="29"/>
        <v>14</v>
      </c>
      <c r="AS50" s="3">
        <f t="shared" si="29"/>
        <v>15</v>
      </c>
      <c r="AT50" s="3">
        <f t="shared" si="29"/>
        <v>16</v>
      </c>
      <c r="AU50" s="3">
        <f t="shared" si="29"/>
        <v>17</v>
      </c>
      <c r="AV50" s="4"/>
      <c r="AW50" s="4"/>
      <c r="AX50" s="4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5"/>
      <c r="DB50" s="5"/>
      <c r="DC50" s="5"/>
      <c r="DD50" s="5"/>
    </row>
    <row r="51" spans="2:108" ht="15" customHeight="1" x14ac:dyDescent="0.25">
      <c r="B51" s="139">
        <v>7</v>
      </c>
      <c r="C51" s="139">
        <v>3</v>
      </c>
      <c r="D51" s="139" t="str">
        <f t="shared" si="0"/>
        <v>PREPARE_EAST_E_2_24</v>
      </c>
      <c r="E51" s="139" t="s">
        <v>0</v>
      </c>
      <c r="F51" s="138" t="s">
        <v>46</v>
      </c>
      <c r="G51" s="140" t="s">
        <v>18</v>
      </c>
      <c r="H51" s="140" t="s">
        <v>6</v>
      </c>
      <c r="I51" s="140">
        <v>2</v>
      </c>
      <c r="J51" s="141"/>
      <c r="K51" s="184">
        <f>COUNT(M51:BH51)</f>
        <v>37</v>
      </c>
      <c r="L51" s="139"/>
      <c r="M51" s="3">
        <v>1</v>
      </c>
      <c r="N51" s="3">
        <f>M51+1</f>
        <v>2</v>
      </c>
      <c r="O51" s="3">
        <f t="shared" ref="O51:AC51" si="30">N51+1</f>
        <v>3</v>
      </c>
      <c r="P51" s="3">
        <f t="shared" si="30"/>
        <v>4</v>
      </c>
      <c r="Q51" s="3">
        <f t="shared" si="30"/>
        <v>5</v>
      </c>
      <c r="R51" s="3">
        <f t="shared" si="30"/>
        <v>6</v>
      </c>
      <c r="S51" s="3">
        <f t="shared" si="30"/>
        <v>7</v>
      </c>
      <c r="T51" s="3">
        <f t="shared" si="30"/>
        <v>8</v>
      </c>
      <c r="U51" s="3">
        <f t="shared" si="30"/>
        <v>9</v>
      </c>
      <c r="V51" s="3">
        <f t="shared" si="30"/>
        <v>10</v>
      </c>
      <c r="W51" s="3">
        <f t="shared" si="30"/>
        <v>11</v>
      </c>
      <c r="X51" s="3">
        <f t="shared" si="30"/>
        <v>12</v>
      </c>
      <c r="Y51" s="3">
        <f t="shared" si="30"/>
        <v>13</v>
      </c>
      <c r="Z51" s="3">
        <f t="shared" si="30"/>
        <v>14</v>
      </c>
      <c r="AA51" s="3">
        <f t="shared" si="30"/>
        <v>15</v>
      </c>
      <c r="AB51" s="3">
        <f t="shared" si="30"/>
        <v>16</v>
      </c>
      <c r="AC51" s="30">
        <f t="shared" si="30"/>
        <v>17</v>
      </c>
      <c r="AD51" s="30"/>
      <c r="AE51" s="8">
        <f>AC51+1</f>
        <v>18</v>
      </c>
      <c r="AF51" s="3">
        <f t="shared" si="29"/>
        <v>19</v>
      </c>
      <c r="AG51" s="3">
        <f t="shared" si="29"/>
        <v>20</v>
      </c>
      <c r="AH51" s="3">
        <f t="shared" si="29"/>
        <v>21</v>
      </c>
      <c r="AI51" s="3">
        <f t="shared" si="29"/>
        <v>22</v>
      </c>
      <c r="AJ51" s="31">
        <f t="shared" si="29"/>
        <v>23</v>
      </c>
      <c r="AK51" s="86">
        <f t="shared" si="29"/>
        <v>24</v>
      </c>
      <c r="AL51" s="3">
        <f t="shared" si="29"/>
        <v>25</v>
      </c>
      <c r="AM51" s="3">
        <f t="shared" si="29"/>
        <v>26</v>
      </c>
      <c r="AN51" s="3">
        <f t="shared" si="29"/>
        <v>27</v>
      </c>
      <c r="AO51" s="3">
        <f t="shared" si="29"/>
        <v>28</v>
      </c>
      <c r="AP51" s="3">
        <f t="shared" si="29"/>
        <v>29</v>
      </c>
      <c r="AQ51" s="3">
        <f t="shared" si="29"/>
        <v>30</v>
      </c>
      <c r="AR51" s="3">
        <f t="shared" si="29"/>
        <v>31</v>
      </c>
      <c r="AS51" s="3">
        <f t="shared" si="29"/>
        <v>32</v>
      </c>
      <c r="AT51" s="3">
        <f t="shared" si="29"/>
        <v>33</v>
      </c>
      <c r="AU51" s="3">
        <f t="shared" si="29"/>
        <v>34</v>
      </c>
      <c r="AV51" s="3">
        <f t="shared" ref="AN51:BD53" si="31">AU51+1</f>
        <v>35</v>
      </c>
      <c r="AW51" s="3">
        <f t="shared" si="31"/>
        <v>36</v>
      </c>
      <c r="AX51" s="3">
        <f t="shared" si="31"/>
        <v>37</v>
      </c>
      <c r="AY51" s="4"/>
      <c r="AZ51" s="4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5"/>
      <c r="DB51" s="5"/>
      <c r="DC51" s="5"/>
      <c r="DD51" s="5"/>
    </row>
    <row r="52" spans="2:108" ht="15" customHeight="1" x14ac:dyDescent="0.25">
      <c r="B52" s="139">
        <v>7</v>
      </c>
      <c r="C52" s="139">
        <v>4</v>
      </c>
      <c r="D52" s="139" t="str">
        <f t="shared" si="0"/>
        <v>SUPPLY_EAST_E_2_24</v>
      </c>
      <c r="E52" s="139" t="s">
        <v>0</v>
      </c>
      <c r="F52" s="142" t="s">
        <v>0</v>
      </c>
      <c r="G52" s="140" t="s">
        <v>18</v>
      </c>
      <c r="H52" s="140" t="s">
        <v>6</v>
      </c>
      <c r="I52" s="140">
        <v>2</v>
      </c>
      <c r="J52" s="143"/>
      <c r="K52" s="184">
        <f>COUNT(AK52:CF52)</f>
        <v>16</v>
      </c>
      <c r="L52" s="140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101"/>
      <c r="AC52" s="101"/>
      <c r="AD52" s="101"/>
      <c r="AE52" s="42"/>
      <c r="AF52" s="46"/>
      <c r="AG52" s="46"/>
      <c r="AH52" s="46"/>
      <c r="AI52" s="46"/>
      <c r="AJ52" s="57"/>
      <c r="AK52" s="86">
        <v>1</v>
      </c>
      <c r="AL52" s="86">
        <f>AK52+1</f>
        <v>2</v>
      </c>
      <c r="AM52" s="86">
        <f t="shared" si="29"/>
        <v>3</v>
      </c>
      <c r="AN52" s="86">
        <f t="shared" si="31"/>
        <v>4</v>
      </c>
      <c r="AO52" s="86">
        <f t="shared" si="31"/>
        <v>5</v>
      </c>
      <c r="AP52" s="86">
        <f t="shared" si="31"/>
        <v>6</v>
      </c>
      <c r="AQ52" s="86">
        <f t="shared" si="31"/>
        <v>7</v>
      </c>
      <c r="AR52" s="86">
        <f t="shared" si="31"/>
        <v>8</v>
      </c>
      <c r="AS52" s="86">
        <f t="shared" si="31"/>
        <v>9</v>
      </c>
      <c r="AT52" s="86">
        <f t="shared" si="31"/>
        <v>10</v>
      </c>
      <c r="AU52" s="86">
        <f t="shared" si="31"/>
        <v>11</v>
      </c>
      <c r="AV52" s="86">
        <f t="shared" si="31"/>
        <v>12</v>
      </c>
      <c r="AW52" s="86">
        <f t="shared" si="31"/>
        <v>13</v>
      </c>
      <c r="AX52" s="86">
        <f t="shared" si="31"/>
        <v>14</v>
      </c>
      <c r="AY52" s="86">
        <f t="shared" si="31"/>
        <v>15</v>
      </c>
      <c r="AZ52" s="86">
        <f t="shared" si="31"/>
        <v>16</v>
      </c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97"/>
      <c r="BQ52" s="4"/>
      <c r="BR52" s="4"/>
      <c r="BS52" s="4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5"/>
      <c r="DB52" s="5"/>
      <c r="DC52" s="5"/>
      <c r="DD52" s="5"/>
    </row>
    <row r="53" spans="2:108" ht="15" customHeight="1" x14ac:dyDescent="0.25">
      <c r="B53" s="139">
        <v>7</v>
      </c>
      <c r="C53" s="140">
        <v>5</v>
      </c>
      <c r="D53" s="139" t="str">
        <f t="shared" si="0"/>
        <v>EMPTY_EAST_E_2_24</v>
      </c>
      <c r="E53" s="140" t="s">
        <v>0</v>
      </c>
      <c r="F53" s="142" t="s">
        <v>32</v>
      </c>
      <c r="G53" s="140" t="s">
        <v>18</v>
      </c>
      <c r="H53" s="140" t="s">
        <v>6</v>
      </c>
      <c r="I53" s="140">
        <v>2</v>
      </c>
      <c r="J53" s="139"/>
      <c r="K53" s="184">
        <f>COUNT(AK53:CF53)</f>
        <v>34</v>
      </c>
      <c r="L53" s="139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101"/>
      <c r="AC53" s="101"/>
      <c r="AD53" s="101"/>
      <c r="AE53" s="42"/>
      <c r="AF53" s="46"/>
      <c r="AG53" s="46"/>
      <c r="AH53" s="46"/>
      <c r="AI53" s="46"/>
      <c r="AJ53" s="57"/>
      <c r="AK53" s="86">
        <v>1</v>
      </c>
      <c r="AL53" s="86">
        <f>AK53+1</f>
        <v>2</v>
      </c>
      <c r="AM53" s="86">
        <f t="shared" si="29"/>
        <v>3</v>
      </c>
      <c r="AN53" s="86">
        <f t="shared" si="31"/>
        <v>4</v>
      </c>
      <c r="AO53" s="86">
        <f t="shared" si="31"/>
        <v>5</v>
      </c>
      <c r="AP53" s="86">
        <f t="shared" si="31"/>
        <v>6</v>
      </c>
      <c r="AQ53" s="86">
        <f t="shared" si="31"/>
        <v>7</v>
      </c>
      <c r="AR53" s="86">
        <f t="shared" si="31"/>
        <v>8</v>
      </c>
      <c r="AS53" s="86">
        <f t="shared" si="31"/>
        <v>9</v>
      </c>
      <c r="AT53" s="86">
        <f t="shared" si="31"/>
        <v>10</v>
      </c>
      <c r="AU53" s="86">
        <f t="shared" si="31"/>
        <v>11</v>
      </c>
      <c r="AV53" s="86">
        <f t="shared" si="31"/>
        <v>12</v>
      </c>
      <c r="AW53" s="86">
        <f t="shared" si="31"/>
        <v>13</v>
      </c>
      <c r="AX53" s="86">
        <f t="shared" si="31"/>
        <v>14</v>
      </c>
      <c r="AY53" s="86">
        <f t="shared" si="31"/>
        <v>15</v>
      </c>
      <c r="AZ53" s="86">
        <f t="shared" si="31"/>
        <v>16</v>
      </c>
      <c r="BA53" s="86">
        <f t="shared" si="31"/>
        <v>17</v>
      </c>
      <c r="BB53" s="86"/>
      <c r="BC53" s="86">
        <f>BA53+1</f>
        <v>18</v>
      </c>
      <c r="BD53" s="86">
        <f t="shared" si="31"/>
        <v>19</v>
      </c>
      <c r="BE53" s="86">
        <f t="shared" ref="BE53:BS53" si="32">BD53+1</f>
        <v>20</v>
      </c>
      <c r="BF53" s="86">
        <f t="shared" si="32"/>
        <v>21</v>
      </c>
      <c r="BG53" s="86">
        <f t="shared" si="32"/>
        <v>22</v>
      </c>
      <c r="BH53" s="86">
        <f t="shared" si="32"/>
        <v>23</v>
      </c>
      <c r="BI53" s="86">
        <f t="shared" si="32"/>
        <v>24</v>
      </c>
      <c r="BJ53" s="86">
        <f t="shared" si="32"/>
        <v>25</v>
      </c>
      <c r="BK53" s="86">
        <f t="shared" si="32"/>
        <v>26</v>
      </c>
      <c r="BL53" s="86">
        <f t="shared" si="32"/>
        <v>27</v>
      </c>
      <c r="BM53" s="86">
        <f t="shared" si="32"/>
        <v>28</v>
      </c>
      <c r="BN53" s="86">
        <f t="shared" si="32"/>
        <v>29</v>
      </c>
      <c r="BO53" s="86">
        <f t="shared" si="32"/>
        <v>30</v>
      </c>
      <c r="BP53" s="86">
        <f t="shared" si="32"/>
        <v>31</v>
      </c>
      <c r="BQ53" s="86">
        <f t="shared" si="32"/>
        <v>32</v>
      </c>
      <c r="BR53" s="86">
        <f t="shared" si="32"/>
        <v>33</v>
      </c>
      <c r="BS53" s="86">
        <f t="shared" si="32"/>
        <v>34</v>
      </c>
      <c r="BT53" s="46"/>
      <c r="BU53" s="4"/>
      <c r="BV53" s="4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5"/>
      <c r="DB53" s="5"/>
      <c r="DC53" s="5"/>
      <c r="DD53" s="5"/>
    </row>
    <row r="54" spans="2:108" ht="15" customHeight="1" x14ac:dyDescent="0.25">
      <c r="B54" s="139">
        <v>7</v>
      </c>
      <c r="C54" s="140">
        <v>6</v>
      </c>
      <c r="D54" s="139" t="str">
        <f t="shared" si="0"/>
        <v>COUNTDOWN_EAST_E_2_24</v>
      </c>
      <c r="E54" s="140"/>
      <c r="F54" s="142" t="s">
        <v>33</v>
      </c>
      <c r="G54" s="140" t="s">
        <v>18</v>
      </c>
      <c r="H54" s="140" t="s">
        <v>6</v>
      </c>
      <c r="I54" s="140">
        <v>2</v>
      </c>
      <c r="J54" s="144"/>
      <c r="K54" s="144"/>
      <c r="L54" s="140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101"/>
      <c r="AC54" s="101"/>
      <c r="AD54" s="101"/>
      <c r="AE54" s="8"/>
      <c r="AF54" s="3"/>
      <c r="AG54" s="3"/>
      <c r="AH54" s="3"/>
      <c r="AI54" s="3"/>
      <c r="AJ54" s="31"/>
      <c r="AK54" s="86"/>
      <c r="AL54" s="86"/>
      <c r="AM54" s="86"/>
      <c r="AN54" s="3"/>
      <c r="AO54" s="3"/>
      <c r="AP54" s="3"/>
      <c r="AQ54" s="3"/>
      <c r="AR54" s="3"/>
      <c r="AS54" s="6"/>
      <c r="AT54" s="6"/>
      <c r="AU54" s="46"/>
      <c r="AV54" s="46"/>
      <c r="AW54" s="56"/>
      <c r="AX54" s="56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5"/>
      <c r="DB54" s="5"/>
      <c r="DC54" s="5"/>
      <c r="DD54" s="5"/>
    </row>
    <row r="55" spans="2:108" ht="15" customHeight="1" x14ac:dyDescent="0.25">
      <c r="B55" s="139">
        <v>8</v>
      </c>
      <c r="C55" s="139">
        <v>1</v>
      </c>
      <c r="D55" s="139" t="str">
        <f t="shared" si="0"/>
        <v>SORTING_EAST_D_1_24</v>
      </c>
      <c r="E55" s="139" t="s">
        <v>35</v>
      </c>
      <c r="F55" s="138" t="s">
        <v>45</v>
      </c>
      <c r="G55" s="140" t="s">
        <v>18</v>
      </c>
      <c r="H55" s="140" t="s">
        <v>47</v>
      </c>
      <c r="I55" s="140">
        <v>1</v>
      </c>
      <c r="J55" s="139"/>
      <c r="K55" s="184">
        <f>COUNT(AE55:BH55)</f>
        <v>17</v>
      </c>
      <c r="L55" s="139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101"/>
      <c r="AC55" s="101"/>
      <c r="AD55" s="101"/>
      <c r="AE55" s="8">
        <v>1</v>
      </c>
      <c r="AF55" s="3">
        <f t="shared" ref="AF55:AU59" si="33">AE55+1</f>
        <v>2</v>
      </c>
      <c r="AG55" s="3">
        <f t="shared" si="33"/>
        <v>3</v>
      </c>
      <c r="AH55" s="3">
        <f t="shared" si="33"/>
        <v>4</v>
      </c>
      <c r="AI55" s="3">
        <f t="shared" si="33"/>
        <v>5</v>
      </c>
      <c r="AJ55" s="31">
        <f t="shared" si="33"/>
        <v>6</v>
      </c>
      <c r="AK55" s="86">
        <f t="shared" si="33"/>
        <v>7</v>
      </c>
      <c r="AL55" s="3">
        <f t="shared" si="33"/>
        <v>8</v>
      </c>
      <c r="AM55" s="3">
        <f t="shared" si="33"/>
        <v>9</v>
      </c>
      <c r="AN55" s="3">
        <f t="shared" si="33"/>
        <v>10</v>
      </c>
      <c r="AO55" s="3">
        <f t="shared" si="33"/>
        <v>11</v>
      </c>
      <c r="AP55" s="3">
        <f t="shared" si="33"/>
        <v>12</v>
      </c>
      <c r="AQ55" s="3">
        <f t="shared" si="33"/>
        <v>13</v>
      </c>
      <c r="AR55" s="3">
        <f t="shared" si="33"/>
        <v>14</v>
      </c>
      <c r="AS55" s="3">
        <f t="shared" si="33"/>
        <v>15</v>
      </c>
      <c r="AT55" s="3">
        <f t="shared" si="33"/>
        <v>16</v>
      </c>
      <c r="AU55" s="3">
        <f t="shared" si="33"/>
        <v>17</v>
      </c>
      <c r="AV55" s="4"/>
      <c r="AW55" s="4"/>
      <c r="AX55" s="4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5"/>
      <c r="DB55" s="5"/>
      <c r="DC55" s="5"/>
      <c r="DD55" s="5"/>
    </row>
    <row r="56" spans="2:108" ht="15" customHeight="1" x14ac:dyDescent="0.25">
      <c r="B56" s="139">
        <v>8</v>
      </c>
      <c r="C56" s="139">
        <v>2</v>
      </c>
      <c r="D56" s="139" t="str">
        <f t="shared" si="0"/>
        <v>TRANSFER_EAST_D_1_24</v>
      </c>
      <c r="E56" s="139" t="s">
        <v>21</v>
      </c>
      <c r="F56" s="138" t="s">
        <v>21</v>
      </c>
      <c r="G56" s="140" t="s">
        <v>18</v>
      </c>
      <c r="H56" s="140" t="s">
        <v>47</v>
      </c>
      <c r="I56" s="140">
        <v>1</v>
      </c>
      <c r="J56" s="139"/>
      <c r="K56" s="184">
        <f>COUNT(AE56:BH56)</f>
        <v>20</v>
      </c>
      <c r="L56" s="139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101"/>
      <c r="AC56" s="101"/>
      <c r="AD56" s="101"/>
      <c r="AE56" s="8">
        <v>1</v>
      </c>
      <c r="AF56" s="3">
        <f t="shared" si="33"/>
        <v>2</v>
      </c>
      <c r="AG56" s="3">
        <f t="shared" si="33"/>
        <v>3</v>
      </c>
      <c r="AH56" s="3">
        <f t="shared" si="33"/>
        <v>4</v>
      </c>
      <c r="AI56" s="3">
        <f t="shared" si="33"/>
        <v>5</v>
      </c>
      <c r="AJ56" s="31">
        <f t="shared" si="33"/>
        <v>6</v>
      </c>
      <c r="AK56" s="86">
        <f t="shared" si="33"/>
        <v>7</v>
      </c>
      <c r="AL56" s="3">
        <f t="shared" si="33"/>
        <v>8</v>
      </c>
      <c r="AM56" s="3">
        <f t="shared" si="33"/>
        <v>9</v>
      </c>
      <c r="AN56" s="3">
        <f t="shared" si="33"/>
        <v>10</v>
      </c>
      <c r="AO56" s="3">
        <f t="shared" si="33"/>
        <v>11</v>
      </c>
      <c r="AP56" s="3">
        <f t="shared" si="33"/>
        <v>12</v>
      </c>
      <c r="AQ56" s="3">
        <f t="shared" si="33"/>
        <v>13</v>
      </c>
      <c r="AR56" s="3">
        <f t="shared" si="33"/>
        <v>14</v>
      </c>
      <c r="AS56" s="3">
        <f t="shared" si="33"/>
        <v>15</v>
      </c>
      <c r="AT56" s="3">
        <f t="shared" si="33"/>
        <v>16</v>
      </c>
      <c r="AU56" s="3">
        <f t="shared" si="33"/>
        <v>17</v>
      </c>
      <c r="AV56" s="3">
        <f t="shared" ref="AN56:BD59" si="34">AU56+1</f>
        <v>18</v>
      </c>
      <c r="AW56" s="3">
        <f t="shared" si="34"/>
        <v>19</v>
      </c>
      <c r="AX56" s="3">
        <f t="shared" si="34"/>
        <v>20</v>
      </c>
      <c r="AY56" s="4"/>
      <c r="AZ56" s="4"/>
      <c r="BA56" s="4"/>
      <c r="BB56" s="4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5"/>
      <c r="DB56" s="5"/>
      <c r="DC56" s="5"/>
      <c r="DD56" s="5"/>
    </row>
    <row r="57" spans="2:108" ht="15" customHeight="1" x14ac:dyDescent="0.25">
      <c r="B57" s="139">
        <v>8</v>
      </c>
      <c r="C57" s="139">
        <v>3</v>
      </c>
      <c r="D57" s="139" t="str">
        <f t="shared" si="0"/>
        <v>PREPARE_EAST_D_1_24</v>
      </c>
      <c r="E57" s="139" t="s">
        <v>0</v>
      </c>
      <c r="F57" s="138" t="s">
        <v>46</v>
      </c>
      <c r="G57" s="140" t="s">
        <v>18</v>
      </c>
      <c r="H57" s="140" t="s">
        <v>47</v>
      </c>
      <c r="I57" s="140">
        <v>1</v>
      </c>
      <c r="J57" s="141"/>
      <c r="K57" s="184">
        <f>COUNT(M57:BH57)</f>
        <v>39</v>
      </c>
      <c r="L57" s="139"/>
      <c r="M57" s="3">
        <v>1</v>
      </c>
      <c r="N57" s="3">
        <f>M57+1</f>
        <v>2</v>
      </c>
      <c r="O57" s="3">
        <f t="shared" ref="O57:AC57" si="35">N57+1</f>
        <v>3</v>
      </c>
      <c r="P57" s="3">
        <f t="shared" si="35"/>
        <v>4</v>
      </c>
      <c r="Q57" s="3">
        <f t="shared" si="35"/>
        <v>5</v>
      </c>
      <c r="R57" s="3">
        <f t="shared" si="35"/>
        <v>6</v>
      </c>
      <c r="S57" s="3">
        <f t="shared" si="35"/>
        <v>7</v>
      </c>
      <c r="T57" s="3">
        <f t="shared" si="35"/>
        <v>8</v>
      </c>
      <c r="U57" s="3">
        <f t="shared" si="35"/>
        <v>9</v>
      </c>
      <c r="V57" s="3">
        <f t="shared" si="35"/>
        <v>10</v>
      </c>
      <c r="W57" s="3">
        <f t="shared" si="35"/>
        <v>11</v>
      </c>
      <c r="X57" s="3">
        <f t="shared" si="35"/>
        <v>12</v>
      </c>
      <c r="Y57" s="3">
        <f t="shared" si="35"/>
        <v>13</v>
      </c>
      <c r="Z57" s="3">
        <f t="shared" si="35"/>
        <v>14</v>
      </c>
      <c r="AA57" s="3">
        <f t="shared" si="35"/>
        <v>15</v>
      </c>
      <c r="AB57" s="3">
        <f t="shared" si="35"/>
        <v>16</v>
      </c>
      <c r="AC57" s="30">
        <f t="shared" si="35"/>
        <v>17</v>
      </c>
      <c r="AD57" s="30"/>
      <c r="AE57" s="8">
        <f>AC57+1</f>
        <v>18</v>
      </c>
      <c r="AF57" s="3">
        <f t="shared" si="33"/>
        <v>19</v>
      </c>
      <c r="AG57" s="3">
        <f t="shared" si="33"/>
        <v>20</v>
      </c>
      <c r="AH57" s="3">
        <f t="shared" si="33"/>
        <v>21</v>
      </c>
      <c r="AI57" s="3">
        <f t="shared" si="33"/>
        <v>22</v>
      </c>
      <c r="AJ57" s="31">
        <f t="shared" si="33"/>
        <v>23</v>
      </c>
      <c r="AK57" s="86">
        <f t="shared" si="33"/>
        <v>24</v>
      </c>
      <c r="AL57" s="3">
        <f t="shared" si="33"/>
        <v>25</v>
      </c>
      <c r="AM57" s="3">
        <f t="shared" si="33"/>
        <v>26</v>
      </c>
      <c r="AN57" s="3">
        <f t="shared" si="33"/>
        <v>27</v>
      </c>
      <c r="AO57" s="3">
        <f t="shared" si="33"/>
        <v>28</v>
      </c>
      <c r="AP57" s="3">
        <f t="shared" si="33"/>
        <v>29</v>
      </c>
      <c r="AQ57" s="3">
        <f t="shared" si="33"/>
        <v>30</v>
      </c>
      <c r="AR57" s="3">
        <f t="shared" si="33"/>
        <v>31</v>
      </c>
      <c r="AS57" s="3">
        <f t="shared" si="33"/>
        <v>32</v>
      </c>
      <c r="AT57" s="3">
        <f t="shared" si="33"/>
        <v>33</v>
      </c>
      <c r="AU57" s="3">
        <f t="shared" si="33"/>
        <v>34</v>
      </c>
      <c r="AV57" s="3">
        <f t="shared" si="34"/>
        <v>35</v>
      </c>
      <c r="AW57" s="3">
        <f t="shared" si="34"/>
        <v>36</v>
      </c>
      <c r="AX57" s="3">
        <f t="shared" si="34"/>
        <v>37</v>
      </c>
      <c r="AY57" s="3">
        <f t="shared" si="34"/>
        <v>38</v>
      </c>
      <c r="AZ57" s="3">
        <f t="shared" si="34"/>
        <v>39</v>
      </c>
      <c r="BA57" s="4"/>
      <c r="BB57" s="4"/>
      <c r="BC57" s="4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5"/>
      <c r="DB57" s="5"/>
      <c r="DC57" s="5"/>
      <c r="DD57" s="5"/>
    </row>
    <row r="58" spans="2:108" ht="15" customHeight="1" x14ac:dyDescent="0.25">
      <c r="B58" s="139">
        <v>8</v>
      </c>
      <c r="C58" s="139">
        <v>4</v>
      </c>
      <c r="D58" s="139" t="str">
        <f t="shared" si="0"/>
        <v>SUPPLY_EAST_D_1_24</v>
      </c>
      <c r="E58" s="139" t="s">
        <v>0</v>
      </c>
      <c r="F58" s="142" t="s">
        <v>0</v>
      </c>
      <c r="G58" s="140" t="s">
        <v>18</v>
      </c>
      <c r="H58" s="140" t="s">
        <v>47</v>
      </c>
      <c r="I58" s="140">
        <v>1</v>
      </c>
      <c r="J58" s="143"/>
      <c r="K58" s="184">
        <f>COUNT(AK58:CF58)</f>
        <v>18</v>
      </c>
      <c r="L58" s="140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101"/>
      <c r="AC58" s="101"/>
      <c r="AD58" s="101"/>
      <c r="AE58" s="42"/>
      <c r="AF58" s="46"/>
      <c r="AG58" s="46"/>
      <c r="AH58" s="46"/>
      <c r="AI58" s="46"/>
      <c r="AJ58" s="57"/>
      <c r="AK58" s="86">
        <v>1</v>
      </c>
      <c r="AL58" s="86">
        <f>AK58+1</f>
        <v>2</v>
      </c>
      <c r="AM58" s="86">
        <f t="shared" si="33"/>
        <v>3</v>
      </c>
      <c r="AN58" s="86">
        <f t="shared" si="34"/>
        <v>4</v>
      </c>
      <c r="AO58" s="86">
        <f t="shared" si="34"/>
        <v>5</v>
      </c>
      <c r="AP58" s="86">
        <f t="shared" si="34"/>
        <v>6</v>
      </c>
      <c r="AQ58" s="86">
        <f t="shared" si="34"/>
        <v>7</v>
      </c>
      <c r="AR58" s="86">
        <f t="shared" si="34"/>
        <v>8</v>
      </c>
      <c r="AS58" s="86">
        <f t="shared" si="34"/>
        <v>9</v>
      </c>
      <c r="AT58" s="86">
        <f t="shared" si="34"/>
        <v>10</v>
      </c>
      <c r="AU58" s="86">
        <f t="shared" si="34"/>
        <v>11</v>
      </c>
      <c r="AV58" s="86">
        <f t="shared" si="34"/>
        <v>12</v>
      </c>
      <c r="AW58" s="86">
        <f t="shared" si="34"/>
        <v>13</v>
      </c>
      <c r="AX58" s="86">
        <f t="shared" si="34"/>
        <v>14</v>
      </c>
      <c r="AY58" s="86">
        <f t="shared" si="34"/>
        <v>15</v>
      </c>
      <c r="AZ58" s="86">
        <f t="shared" si="34"/>
        <v>16</v>
      </c>
      <c r="BA58" s="86">
        <f t="shared" si="34"/>
        <v>17</v>
      </c>
      <c r="BB58" s="86"/>
      <c r="BC58" s="86">
        <f>BA58+1</f>
        <v>18</v>
      </c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97"/>
      <c r="BT58" s="4"/>
      <c r="BU58" s="4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5"/>
      <c r="DB58" s="5"/>
      <c r="DC58" s="5"/>
      <c r="DD58" s="5"/>
    </row>
    <row r="59" spans="2:108" ht="15" customHeight="1" x14ac:dyDescent="0.25">
      <c r="B59" s="139">
        <v>8</v>
      </c>
      <c r="C59" s="140">
        <v>5</v>
      </c>
      <c r="D59" s="139" t="str">
        <f t="shared" si="0"/>
        <v>EMPTY_EAST_D_1_24</v>
      </c>
      <c r="E59" s="140" t="s">
        <v>0</v>
      </c>
      <c r="F59" s="142" t="s">
        <v>32</v>
      </c>
      <c r="G59" s="140" t="s">
        <v>18</v>
      </c>
      <c r="H59" s="140" t="s">
        <v>47</v>
      </c>
      <c r="I59" s="140">
        <v>1</v>
      </c>
      <c r="J59" s="139"/>
      <c r="K59" s="184">
        <f>COUNT(AK59:CF59)</f>
        <v>36</v>
      </c>
      <c r="L59" s="139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101"/>
      <c r="AC59" s="101"/>
      <c r="AD59" s="101"/>
      <c r="AE59" s="42"/>
      <c r="AF59" s="46"/>
      <c r="AG59" s="46"/>
      <c r="AH59" s="46"/>
      <c r="AI59" s="46"/>
      <c r="AJ59" s="57"/>
      <c r="AK59" s="86">
        <v>1</v>
      </c>
      <c r="AL59" s="86">
        <f>AK59+1</f>
        <v>2</v>
      </c>
      <c r="AM59" s="86">
        <f t="shared" si="33"/>
        <v>3</v>
      </c>
      <c r="AN59" s="86">
        <f t="shared" si="34"/>
        <v>4</v>
      </c>
      <c r="AO59" s="86">
        <f t="shared" si="34"/>
        <v>5</v>
      </c>
      <c r="AP59" s="86">
        <f t="shared" si="34"/>
        <v>6</v>
      </c>
      <c r="AQ59" s="86">
        <f t="shared" si="34"/>
        <v>7</v>
      </c>
      <c r="AR59" s="86">
        <f t="shared" si="34"/>
        <v>8</v>
      </c>
      <c r="AS59" s="86">
        <f t="shared" si="34"/>
        <v>9</v>
      </c>
      <c r="AT59" s="86">
        <f t="shared" si="34"/>
        <v>10</v>
      </c>
      <c r="AU59" s="86">
        <f t="shared" si="34"/>
        <v>11</v>
      </c>
      <c r="AV59" s="86">
        <f t="shared" si="34"/>
        <v>12</v>
      </c>
      <c r="AW59" s="86">
        <f t="shared" si="34"/>
        <v>13</v>
      </c>
      <c r="AX59" s="86">
        <f t="shared" si="34"/>
        <v>14</v>
      </c>
      <c r="AY59" s="86">
        <f t="shared" si="34"/>
        <v>15</v>
      </c>
      <c r="AZ59" s="86">
        <f t="shared" si="34"/>
        <v>16</v>
      </c>
      <c r="BA59" s="86">
        <f t="shared" si="34"/>
        <v>17</v>
      </c>
      <c r="BB59" s="86"/>
      <c r="BC59" s="86">
        <f>BA59+1</f>
        <v>18</v>
      </c>
      <c r="BD59" s="86">
        <f t="shared" si="34"/>
        <v>19</v>
      </c>
      <c r="BE59" s="86">
        <f t="shared" ref="BE59:BU59" si="36">BD59+1</f>
        <v>20</v>
      </c>
      <c r="BF59" s="86">
        <f t="shared" si="36"/>
        <v>21</v>
      </c>
      <c r="BG59" s="86">
        <f t="shared" si="36"/>
        <v>22</v>
      </c>
      <c r="BH59" s="86">
        <f t="shared" si="36"/>
        <v>23</v>
      </c>
      <c r="BI59" s="86">
        <f t="shared" si="36"/>
        <v>24</v>
      </c>
      <c r="BJ59" s="86">
        <f t="shared" si="36"/>
        <v>25</v>
      </c>
      <c r="BK59" s="86">
        <f t="shared" si="36"/>
        <v>26</v>
      </c>
      <c r="BL59" s="86">
        <f t="shared" si="36"/>
        <v>27</v>
      </c>
      <c r="BM59" s="86">
        <f t="shared" si="36"/>
        <v>28</v>
      </c>
      <c r="BN59" s="86">
        <f t="shared" si="36"/>
        <v>29</v>
      </c>
      <c r="BO59" s="86">
        <f t="shared" si="36"/>
        <v>30</v>
      </c>
      <c r="BP59" s="86">
        <f t="shared" si="36"/>
        <v>31</v>
      </c>
      <c r="BQ59" s="86">
        <f t="shared" si="36"/>
        <v>32</v>
      </c>
      <c r="BR59" s="86">
        <f t="shared" si="36"/>
        <v>33</v>
      </c>
      <c r="BS59" s="86">
        <f t="shared" si="36"/>
        <v>34</v>
      </c>
      <c r="BT59" s="86">
        <f t="shared" si="36"/>
        <v>35</v>
      </c>
      <c r="BU59" s="86">
        <f t="shared" si="36"/>
        <v>36</v>
      </c>
      <c r="BV59" s="46"/>
      <c r="BW59" s="4"/>
      <c r="BX59" s="4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5"/>
      <c r="DB59" s="5"/>
      <c r="DC59" s="5"/>
      <c r="DD59" s="5"/>
    </row>
    <row r="60" spans="2:108" ht="15" customHeight="1" x14ac:dyDescent="0.25">
      <c r="B60" s="139">
        <v>8</v>
      </c>
      <c r="C60" s="140">
        <v>6</v>
      </c>
      <c r="D60" s="139" t="str">
        <f t="shared" si="0"/>
        <v>COUNTDOWN_EAST_D_1_24</v>
      </c>
      <c r="E60" s="140"/>
      <c r="F60" s="142" t="s">
        <v>33</v>
      </c>
      <c r="G60" s="140" t="s">
        <v>18</v>
      </c>
      <c r="H60" s="140" t="s">
        <v>47</v>
      </c>
      <c r="I60" s="140">
        <v>1</v>
      </c>
      <c r="J60" s="144"/>
      <c r="K60" s="144"/>
      <c r="L60" s="140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101"/>
      <c r="AC60" s="101"/>
      <c r="AD60" s="101"/>
      <c r="AE60" s="8"/>
      <c r="AF60" s="3"/>
      <c r="AG60" s="3"/>
      <c r="AH60" s="3"/>
      <c r="AI60" s="3"/>
      <c r="AJ60" s="31"/>
      <c r="AK60" s="86"/>
      <c r="AL60" s="86"/>
      <c r="AM60" s="86"/>
      <c r="AN60" s="3"/>
      <c r="AO60" s="3"/>
      <c r="AP60" s="3"/>
      <c r="AQ60" s="3"/>
      <c r="AR60" s="3"/>
      <c r="AS60" s="3"/>
      <c r="AT60" s="3"/>
      <c r="AU60" s="6"/>
      <c r="AV60" s="6"/>
      <c r="AW60" s="46"/>
      <c r="AX60" s="46"/>
      <c r="AY60" s="56"/>
      <c r="AZ60" s="56"/>
      <c r="BA60" s="56"/>
      <c r="BB60" s="56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5"/>
      <c r="DB60" s="5"/>
      <c r="DC60" s="5"/>
      <c r="DD60" s="5"/>
    </row>
    <row r="61" spans="2:108" ht="15" customHeight="1" x14ac:dyDescent="0.25">
      <c r="B61" s="139">
        <v>10</v>
      </c>
      <c r="C61" s="139">
        <v>1</v>
      </c>
      <c r="D61" s="139" t="str">
        <f t="shared" si="0"/>
        <v>SORTING_EAST_K_2_24</v>
      </c>
      <c r="E61" s="139" t="s">
        <v>35</v>
      </c>
      <c r="F61" s="138" t="s">
        <v>45</v>
      </c>
      <c r="G61" s="140" t="s">
        <v>18</v>
      </c>
      <c r="H61" s="140" t="s">
        <v>12</v>
      </c>
      <c r="I61" s="140">
        <v>2</v>
      </c>
      <c r="J61" s="139"/>
      <c r="K61" s="184">
        <f>COUNT(AE61:BH61)</f>
        <v>20</v>
      </c>
      <c r="L61" s="139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101"/>
      <c r="AC61" s="101"/>
      <c r="AD61" s="101"/>
      <c r="AE61" s="8">
        <v>1</v>
      </c>
      <c r="AF61" s="3">
        <f t="shared" ref="AF61:AU65" si="37">AE61+1</f>
        <v>2</v>
      </c>
      <c r="AG61" s="3">
        <f t="shared" si="37"/>
        <v>3</v>
      </c>
      <c r="AH61" s="3">
        <f t="shared" si="37"/>
        <v>4</v>
      </c>
      <c r="AI61" s="3">
        <f t="shared" si="37"/>
        <v>5</v>
      </c>
      <c r="AJ61" s="31">
        <f t="shared" si="37"/>
        <v>6</v>
      </c>
      <c r="AK61" s="86">
        <f t="shared" si="37"/>
        <v>7</v>
      </c>
      <c r="AL61" s="3">
        <f t="shared" si="37"/>
        <v>8</v>
      </c>
      <c r="AM61" s="3">
        <f t="shared" si="37"/>
        <v>9</v>
      </c>
      <c r="AN61" s="3">
        <f t="shared" si="37"/>
        <v>10</v>
      </c>
      <c r="AO61" s="3">
        <f t="shared" si="37"/>
        <v>11</v>
      </c>
      <c r="AP61" s="3">
        <f t="shared" si="37"/>
        <v>12</v>
      </c>
      <c r="AQ61" s="3">
        <f t="shared" si="37"/>
        <v>13</v>
      </c>
      <c r="AR61" s="3">
        <f t="shared" si="37"/>
        <v>14</v>
      </c>
      <c r="AS61" s="3">
        <f t="shared" si="37"/>
        <v>15</v>
      </c>
      <c r="AT61" s="3">
        <f t="shared" si="37"/>
        <v>16</v>
      </c>
      <c r="AU61" s="3">
        <f t="shared" si="37"/>
        <v>17</v>
      </c>
      <c r="AV61" s="3">
        <f t="shared" ref="AN61:BD65" si="38">AU61+1</f>
        <v>18</v>
      </c>
      <c r="AW61" s="3">
        <f t="shared" si="38"/>
        <v>19</v>
      </c>
      <c r="AX61" s="3">
        <f t="shared" si="38"/>
        <v>20</v>
      </c>
      <c r="AY61" s="4"/>
      <c r="AZ61" s="4"/>
      <c r="BA61" s="4"/>
      <c r="BB61" s="4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5"/>
      <c r="DB61" s="5"/>
      <c r="DC61" s="5"/>
      <c r="DD61" s="5"/>
    </row>
    <row r="62" spans="2:108" ht="15" customHeight="1" x14ac:dyDescent="0.25">
      <c r="B62" s="139">
        <v>10</v>
      </c>
      <c r="C62" s="139">
        <v>2</v>
      </c>
      <c r="D62" s="139" t="str">
        <f t="shared" si="0"/>
        <v>TRANSFER_EAST_K_2_24</v>
      </c>
      <c r="E62" s="139" t="s">
        <v>21</v>
      </c>
      <c r="F62" s="138" t="s">
        <v>21</v>
      </c>
      <c r="G62" s="140" t="s">
        <v>18</v>
      </c>
      <c r="H62" s="140" t="s">
        <v>12</v>
      </c>
      <c r="I62" s="140">
        <v>2</v>
      </c>
      <c r="J62" s="139"/>
      <c r="K62" s="184">
        <f>COUNT(AE62:BH62)</f>
        <v>23</v>
      </c>
      <c r="L62" s="139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101"/>
      <c r="AC62" s="101"/>
      <c r="AD62" s="101"/>
      <c r="AE62" s="8">
        <v>1</v>
      </c>
      <c r="AF62" s="3">
        <f t="shared" si="37"/>
        <v>2</v>
      </c>
      <c r="AG62" s="3">
        <f t="shared" si="37"/>
        <v>3</v>
      </c>
      <c r="AH62" s="3">
        <f t="shared" si="37"/>
        <v>4</v>
      </c>
      <c r="AI62" s="3">
        <f t="shared" si="37"/>
        <v>5</v>
      </c>
      <c r="AJ62" s="31">
        <f t="shared" si="37"/>
        <v>6</v>
      </c>
      <c r="AK62" s="86">
        <f t="shared" si="37"/>
        <v>7</v>
      </c>
      <c r="AL62" s="3">
        <f t="shared" si="37"/>
        <v>8</v>
      </c>
      <c r="AM62" s="3">
        <f t="shared" si="37"/>
        <v>9</v>
      </c>
      <c r="AN62" s="3">
        <f t="shared" si="37"/>
        <v>10</v>
      </c>
      <c r="AO62" s="3">
        <f t="shared" si="37"/>
        <v>11</v>
      </c>
      <c r="AP62" s="3">
        <f t="shared" si="37"/>
        <v>12</v>
      </c>
      <c r="AQ62" s="3">
        <f t="shared" si="37"/>
        <v>13</v>
      </c>
      <c r="AR62" s="3">
        <f t="shared" si="37"/>
        <v>14</v>
      </c>
      <c r="AS62" s="3">
        <f t="shared" si="37"/>
        <v>15</v>
      </c>
      <c r="AT62" s="3">
        <f t="shared" si="37"/>
        <v>16</v>
      </c>
      <c r="AU62" s="3">
        <f t="shared" si="37"/>
        <v>17</v>
      </c>
      <c r="AV62" s="3">
        <f t="shared" si="38"/>
        <v>18</v>
      </c>
      <c r="AW62" s="3">
        <f t="shared" si="38"/>
        <v>19</v>
      </c>
      <c r="AX62" s="3">
        <f t="shared" si="38"/>
        <v>20</v>
      </c>
      <c r="AY62" s="3">
        <f t="shared" si="38"/>
        <v>21</v>
      </c>
      <c r="AZ62" s="3">
        <f t="shared" si="38"/>
        <v>22</v>
      </c>
      <c r="BA62" s="3">
        <f t="shared" si="38"/>
        <v>23</v>
      </c>
      <c r="BB62" s="3"/>
      <c r="BC62" s="4"/>
      <c r="BD62" s="4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5"/>
      <c r="DB62" s="5"/>
      <c r="DC62" s="5"/>
      <c r="DD62" s="5"/>
    </row>
    <row r="63" spans="2:108" ht="15" customHeight="1" x14ac:dyDescent="0.25">
      <c r="B63" s="139">
        <v>10</v>
      </c>
      <c r="C63" s="139">
        <v>3</v>
      </c>
      <c r="D63" s="139" t="str">
        <f t="shared" si="0"/>
        <v>PREPARE_EAST_K_2_24</v>
      </c>
      <c r="E63" s="139" t="s">
        <v>0</v>
      </c>
      <c r="F63" s="138" t="s">
        <v>46</v>
      </c>
      <c r="G63" s="140" t="s">
        <v>18</v>
      </c>
      <c r="H63" s="140" t="s">
        <v>12</v>
      </c>
      <c r="I63" s="140">
        <v>2</v>
      </c>
      <c r="J63" s="141"/>
      <c r="K63" s="184">
        <f>COUNT(M63:BH63)</f>
        <v>42</v>
      </c>
      <c r="L63" s="139"/>
      <c r="M63" s="3">
        <v>1</v>
      </c>
      <c r="N63" s="3">
        <f>M63+1</f>
        <v>2</v>
      </c>
      <c r="O63" s="3">
        <f t="shared" ref="O63:AC63" si="39">N63+1</f>
        <v>3</v>
      </c>
      <c r="P63" s="3">
        <f t="shared" si="39"/>
        <v>4</v>
      </c>
      <c r="Q63" s="3">
        <f t="shared" si="39"/>
        <v>5</v>
      </c>
      <c r="R63" s="3">
        <f t="shared" si="39"/>
        <v>6</v>
      </c>
      <c r="S63" s="3">
        <f t="shared" si="39"/>
        <v>7</v>
      </c>
      <c r="T63" s="3">
        <f t="shared" si="39"/>
        <v>8</v>
      </c>
      <c r="U63" s="3">
        <f t="shared" si="39"/>
        <v>9</v>
      </c>
      <c r="V63" s="3">
        <f t="shared" si="39"/>
        <v>10</v>
      </c>
      <c r="W63" s="3">
        <f t="shared" si="39"/>
        <v>11</v>
      </c>
      <c r="X63" s="3">
        <f t="shared" si="39"/>
        <v>12</v>
      </c>
      <c r="Y63" s="3">
        <f t="shared" si="39"/>
        <v>13</v>
      </c>
      <c r="Z63" s="3">
        <f t="shared" si="39"/>
        <v>14</v>
      </c>
      <c r="AA63" s="3">
        <f t="shared" si="39"/>
        <v>15</v>
      </c>
      <c r="AB63" s="3">
        <f t="shared" si="39"/>
        <v>16</v>
      </c>
      <c r="AC63" s="30">
        <f t="shared" si="39"/>
        <v>17</v>
      </c>
      <c r="AD63" s="30"/>
      <c r="AE63" s="8">
        <f>AC63+1</f>
        <v>18</v>
      </c>
      <c r="AF63" s="3">
        <f t="shared" si="37"/>
        <v>19</v>
      </c>
      <c r="AG63" s="3">
        <f t="shared" si="37"/>
        <v>20</v>
      </c>
      <c r="AH63" s="3">
        <f t="shared" si="37"/>
        <v>21</v>
      </c>
      <c r="AI63" s="3">
        <f t="shared" si="37"/>
        <v>22</v>
      </c>
      <c r="AJ63" s="31">
        <f t="shared" si="37"/>
        <v>23</v>
      </c>
      <c r="AK63" s="86">
        <f t="shared" si="37"/>
        <v>24</v>
      </c>
      <c r="AL63" s="3">
        <f t="shared" si="37"/>
        <v>25</v>
      </c>
      <c r="AM63" s="3">
        <f t="shared" si="37"/>
        <v>26</v>
      </c>
      <c r="AN63" s="3">
        <f t="shared" si="37"/>
        <v>27</v>
      </c>
      <c r="AO63" s="3">
        <f t="shared" si="37"/>
        <v>28</v>
      </c>
      <c r="AP63" s="3">
        <f t="shared" si="37"/>
        <v>29</v>
      </c>
      <c r="AQ63" s="3">
        <f t="shared" si="37"/>
        <v>30</v>
      </c>
      <c r="AR63" s="3">
        <f t="shared" si="37"/>
        <v>31</v>
      </c>
      <c r="AS63" s="3">
        <f t="shared" si="37"/>
        <v>32</v>
      </c>
      <c r="AT63" s="3">
        <f t="shared" si="37"/>
        <v>33</v>
      </c>
      <c r="AU63" s="3">
        <f t="shared" si="37"/>
        <v>34</v>
      </c>
      <c r="AV63" s="3">
        <f t="shared" si="38"/>
        <v>35</v>
      </c>
      <c r="AW63" s="3">
        <f t="shared" si="38"/>
        <v>36</v>
      </c>
      <c r="AX63" s="3">
        <f t="shared" si="38"/>
        <v>37</v>
      </c>
      <c r="AY63" s="3">
        <f t="shared" si="38"/>
        <v>38</v>
      </c>
      <c r="AZ63" s="3">
        <f t="shared" si="38"/>
        <v>39</v>
      </c>
      <c r="BA63" s="3">
        <f t="shared" si="38"/>
        <v>40</v>
      </c>
      <c r="BB63" s="3"/>
      <c r="BC63" s="3">
        <f>BA63+1</f>
        <v>41</v>
      </c>
      <c r="BD63" s="3">
        <f t="shared" si="38"/>
        <v>42</v>
      </c>
      <c r="BE63" s="4"/>
      <c r="BF63" s="4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5"/>
      <c r="DB63" s="5"/>
      <c r="DC63" s="5"/>
      <c r="DD63" s="5"/>
    </row>
    <row r="64" spans="2:108" ht="15" customHeight="1" x14ac:dyDescent="0.25">
      <c r="B64" s="139">
        <v>10</v>
      </c>
      <c r="C64" s="139">
        <v>4</v>
      </c>
      <c r="D64" s="139" t="str">
        <f t="shared" si="0"/>
        <v>SUPPLY_EAST_K_2_24</v>
      </c>
      <c r="E64" s="139" t="s">
        <v>0</v>
      </c>
      <c r="F64" s="142" t="s">
        <v>0</v>
      </c>
      <c r="G64" s="140" t="s">
        <v>18</v>
      </c>
      <c r="H64" s="140" t="s">
        <v>12</v>
      </c>
      <c r="I64" s="140">
        <v>2</v>
      </c>
      <c r="J64" s="143"/>
      <c r="K64" s="184">
        <f>COUNT(AK64:CF64)</f>
        <v>21</v>
      </c>
      <c r="L64" s="140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101"/>
      <c r="AC64" s="101"/>
      <c r="AD64" s="101"/>
      <c r="AE64" s="42"/>
      <c r="AF64" s="46"/>
      <c r="AG64" s="46"/>
      <c r="AH64" s="46"/>
      <c r="AI64" s="46"/>
      <c r="AJ64" s="57"/>
      <c r="AK64" s="86">
        <v>1</v>
      </c>
      <c r="AL64" s="86">
        <f>AK64+1</f>
        <v>2</v>
      </c>
      <c r="AM64" s="86">
        <f t="shared" si="37"/>
        <v>3</v>
      </c>
      <c r="AN64" s="86">
        <f t="shared" si="38"/>
        <v>4</v>
      </c>
      <c r="AO64" s="86">
        <f t="shared" si="38"/>
        <v>5</v>
      </c>
      <c r="AP64" s="86">
        <f t="shared" si="38"/>
        <v>6</v>
      </c>
      <c r="AQ64" s="86">
        <f t="shared" si="38"/>
        <v>7</v>
      </c>
      <c r="AR64" s="86">
        <f t="shared" si="38"/>
        <v>8</v>
      </c>
      <c r="AS64" s="86">
        <f t="shared" si="38"/>
        <v>9</v>
      </c>
      <c r="AT64" s="86">
        <f t="shared" si="38"/>
        <v>10</v>
      </c>
      <c r="AU64" s="86">
        <f t="shared" si="38"/>
        <v>11</v>
      </c>
      <c r="AV64" s="86">
        <f t="shared" si="38"/>
        <v>12</v>
      </c>
      <c r="AW64" s="86">
        <f t="shared" si="38"/>
        <v>13</v>
      </c>
      <c r="AX64" s="86">
        <f t="shared" si="38"/>
        <v>14</v>
      </c>
      <c r="AY64" s="86">
        <f t="shared" si="38"/>
        <v>15</v>
      </c>
      <c r="AZ64" s="86">
        <f t="shared" si="38"/>
        <v>16</v>
      </c>
      <c r="BA64" s="86">
        <f t="shared" si="38"/>
        <v>17</v>
      </c>
      <c r="BB64" s="86"/>
      <c r="BC64" s="86">
        <f>BA64+1</f>
        <v>18</v>
      </c>
      <c r="BD64" s="86">
        <f t="shared" si="38"/>
        <v>19</v>
      </c>
      <c r="BE64" s="86">
        <f t="shared" ref="BE64:BT65" si="40">BD64+1</f>
        <v>20</v>
      </c>
      <c r="BF64" s="86">
        <f t="shared" si="40"/>
        <v>21</v>
      </c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97"/>
      <c r="BX64" s="4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5"/>
      <c r="DB64" s="5"/>
      <c r="DC64" s="5"/>
      <c r="DD64" s="5"/>
    </row>
    <row r="65" spans="1:108" ht="15" customHeight="1" x14ac:dyDescent="0.25">
      <c r="B65" s="139">
        <v>10</v>
      </c>
      <c r="C65" s="140">
        <v>5</v>
      </c>
      <c r="D65" s="139" t="str">
        <f t="shared" si="0"/>
        <v>EMPTY_EAST_K_2_24</v>
      </c>
      <c r="E65" s="140" t="s">
        <v>0</v>
      </c>
      <c r="F65" s="142" t="s">
        <v>32</v>
      </c>
      <c r="G65" s="140" t="s">
        <v>18</v>
      </c>
      <c r="H65" s="140" t="s">
        <v>12</v>
      </c>
      <c r="I65" s="140">
        <v>2</v>
      </c>
      <c r="J65" s="139"/>
      <c r="K65" s="184">
        <f>COUNT(AK65:CF65)</f>
        <v>39</v>
      </c>
      <c r="L65" s="139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101"/>
      <c r="AC65" s="101"/>
      <c r="AD65" s="101"/>
      <c r="AE65" s="42"/>
      <c r="AF65" s="46"/>
      <c r="AG65" s="46"/>
      <c r="AH65" s="46"/>
      <c r="AI65" s="46"/>
      <c r="AJ65" s="57"/>
      <c r="AK65" s="86">
        <v>1</v>
      </c>
      <c r="AL65" s="86">
        <f>AK65+1</f>
        <v>2</v>
      </c>
      <c r="AM65" s="86">
        <f t="shared" si="37"/>
        <v>3</v>
      </c>
      <c r="AN65" s="86">
        <f t="shared" si="38"/>
        <v>4</v>
      </c>
      <c r="AO65" s="86">
        <f t="shared" si="38"/>
        <v>5</v>
      </c>
      <c r="AP65" s="86">
        <f t="shared" si="38"/>
        <v>6</v>
      </c>
      <c r="AQ65" s="86">
        <f t="shared" si="38"/>
        <v>7</v>
      </c>
      <c r="AR65" s="86">
        <f t="shared" si="38"/>
        <v>8</v>
      </c>
      <c r="AS65" s="86">
        <f t="shared" si="38"/>
        <v>9</v>
      </c>
      <c r="AT65" s="86">
        <f t="shared" si="38"/>
        <v>10</v>
      </c>
      <c r="AU65" s="86">
        <f t="shared" si="38"/>
        <v>11</v>
      </c>
      <c r="AV65" s="86">
        <f t="shared" si="38"/>
        <v>12</v>
      </c>
      <c r="AW65" s="86">
        <f t="shared" si="38"/>
        <v>13</v>
      </c>
      <c r="AX65" s="86">
        <f t="shared" si="38"/>
        <v>14</v>
      </c>
      <c r="AY65" s="86">
        <f t="shared" si="38"/>
        <v>15</v>
      </c>
      <c r="AZ65" s="86">
        <f t="shared" si="38"/>
        <v>16</v>
      </c>
      <c r="BA65" s="86">
        <f t="shared" si="38"/>
        <v>17</v>
      </c>
      <c r="BB65" s="86"/>
      <c r="BC65" s="86">
        <f>BA65+1</f>
        <v>18</v>
      </c>
      <c r="BD65" s="86">
        <f t="shared" si="38"/>
        <v>19</v>
      </c>
      <c r="BE65" s="86">
        <f t="shared" si="40"/>
        <v>20</v>
      </c>
      <c r="BF65" s="86">
        <f t="shared" si="40"/>
        <v>21</v>
      </c>
      <c r="BG65" s="86">
        <f t="shared" si="40"/>
        <v>22</v>
      </c>
      <c r="BH65" s="86">
        <f t="shared" si="40"/>
        <v>23</v>
      </c>
      <c r="BI65" s="86">
        <f t="shared" si="40"/>
        <v>24</v>
      </c>
      <c r="BJ65" s="86">
        <f t="shared" si="40"/>
        <v>25</v>
      </c>
      <c r="BK65" s="86">
        <f t="shared" si="40"/>
        <v>26</v>
      </c>
      <c r="BL65" s="86">
        <f t="shared" si="40"/>
        <v>27</v>
      </c>
      <c r="BM65" s="86">
        <f t="shared" si="40"/>
        <v>28</v>
      </c>
      <c r="BN65" s="86">
        <f t="shared" si="40"/>
        <v>29</v>
      </c>
      <c r="BO65" s="86">
        <f t="shared" si="40"/>
        <v>30</v>
      </c>
      <c r="BP65" s="86">
        <f t="shared" si="40"/>
        <v>31</v>
      </c>
      <c r="BQ65" s="86">
        <f t="shared" si="40"/>
        <v>32</v>
      </c>
      <c r="BR65" s="86">
        <f t="shared" si="40"/>
        <v>33</v>
      </c>
      <c r="BS65" s="86">
        <f t="shared" si="40"/>
        <v>34</v>
      </c>
      <c r="BT65" s="86">
        <f t="shared" si="40"/>
        <v>35</v>
      </c>
      <c r="BU65" s="86">
        <f t="shared" ref="BU65:BX65" si="41">BT65+1</f>
        <v>36</v>
      </c>
      <c r="BV65" s="86">
        <f t="shared" si="41"/>
        <v>37</v>
      </c>
      <c r="BW65" s="86">
        <f t="shared" si="41"/>
        <v>38</v>
      </c>
      <c r="BX65" s="86">
        <f t="shared" si="41"/>
        <v>39</v>
      </c>
      <c r="BY65" s="46"/>
      <c r="BZ65" s="46"/>
      <c r="CA65" s="4"/>
      <c r="CB65" s="4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5"/>
      <c r="DB65" s="5"/>
      <c r="DC65" s="5"/>
      <c r="DD65" s="5"/>
    </row>
    <row r="66" spans="1:108" ht="15.75" customHeight="1" thickBot="1" x14ac:dyDescent="0.3">
      <c r="B66" s="139">
        <v>10</v>
      </c>
      <c r="C66" s="140">
        <v>6</v>
      </c>
      <c r="D66" s="139" t="str">
        <f t="shared" si="0"/>
        <v>COUNTDOWN_EAST_K_2_24</v>
      </c>
      <c r="E66" s="140"/>
      <c r="F66" s="142" t="s">
        <v>33</v>
      </c>
      <c r="G66" s="140" t="s">
        <v>18</v>
      </c>
      <c r="H66" s="140" t="s">
        <v>12</v>
      </c>
      <c r="I66" s="140">
        <v>2</v>
      </c>
      <c r="J66" s="144"/>
      <c r="K66" s="144"/>
      <c r="L66" s="140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101"/>
      <c r="AC66" s="101"/>
      <c r="AD66" s="355"/>
      <c r="AE66" s="76"/>
      <c r="AF66" s="74"/>
      <c r="AG66" s="74"/>
      <c r="AH66" s="74"/>
      <c r="AI66" s="194"/>
      <c r="AJ66" s="75"/>
      <c r="AK66" s="86"/>
      <c r="AL66" s="86"/>
      <c r="AM66" s="86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6"/>
      <c r="AZ66" s="6"/>
      <c r="BA66" s="6"/>
      <c r="BB66" s="6"/>
      <c r="BC66" s="46"/>
      <c r="BD66" s="46"/>
      <c r="BE66" s="56"/>
      <c r="BF66" s="56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5"/>
      <c r="DB66" s="5"/>
      <c r="DC66" s="5"/>
      <c r="DD66" s="5"/>
    </row>
    <row r="67" spans="1:108" ht="15" customHeight="1" x14ac:dyDescent="0.25">
      <c r="B67" s="139">
        <v>11</v>
      </c>
      <c r="C67" s="139">
        <v>1</v>
      </c>
      <c r="D67" s="139" t="str">
        <f t="shared" si="0"/>
        <v>SORTING_WEST_H_1_24</v>
      </c>
      <c r="E67" s="139" t="s">
        <v>35</v>
      </c>
      <c r="F67" s="138" t="s">
        <v>45</v>
      </c>
      <c r="G67" s="140" t="s">
        <v>19</v>
      </c>
      <c r="H67" s="140" t="s">
        <v>9</v>
      </c>
      <c r="I67" s="140">
        <v>1</v>
      </c>
      <c r="J67" s="139"/>
      <c r="K67" s="184">
        <f>COUNT(AE67:BH67)</f>
        <v>0</v>
      </c>
      <c r="L67" s="139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193"/>
      <c r="AD67" s="193"/>
      <c r="AE67" s="11"/>
      <c r="AF67" s="12"/>
      <c r="AG67" s="176"/>
      <c r="AH67" s="176"/>
      <c r="AI67" s="3"/>
      <c r="AJ67" s="177"/>
      <c r="AK67" s="86"/>
      <c r="AL67" s="86"/>
      <c r="AM67" s="86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5"/>
      <c r="DB67" s="5"/>
      <c r="DC67" s="5"/>
      <c r="DD67" s="5"/>
    </row>
    <row r="68" spans="1:108" ht="15" customHeight="1" x14ac:dyDescent="0.25">
      <c r="B68" s="139">
        <v>11</v>
      </c>
      <c r="C68" s="139">
        <v>2</v>
      </c>
      <c r="D68" s="139" t="str">
        <f t="shared" si="0"/>
        <v>TRANSFER_WEST_H_1_24</v>
      </c>
      <c r="E68" s="139" t="s">
        <v>21</v>
      </c>
      <c r="F68" s="138" t="s">
        <v>21</v>
      </c>
      <c r="G68" s="140" t="s">
        <v>19</v>
      </c>
      <c r="H68" s="140" t="s">
        <v>9</v>
      </c>
      <c r="I68" s="140">
        <v>1</v>
      </c>
      <c r="J68" s="139"/>
      <c r="K68" s="184">
        <f>COUNT(AE68:BH68)</f>
        <v>2</v>
      </c>
      <c r="L68" s="139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101"/>
      <c r="AD68" s="101"/>
      <c r="AE68" s="8">
        <v>1</v>
      </c>
      <c r="AF68" s="3">
        <f>AE68+1</f>
        <v>2</v>
      </c>
      <c r="AG68" s="4"/>
      <c r="AH68" s="4"/>
      <c r="AI68" s="4"/>
      <c r="AJ68" s="31"/>
      <c r="AK68" s="86"/>
      <c r="AL68" s="86"/>
      <c r="AM68" s="86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5"/>
      <c r="DB68" s="5"/>
      <c r="DC68" s="5"/>
      <c r="DD68" s="5"/>
    </row>
    <row r="69" spans="1:108" ht="15" customHeight="1" x14ac:dyDescent="0.25">
      <c r="B69" s="139">
        <v>11</v>
      </c>
      <c r="C69" s="139">
        <v>3</v>
      </c>
      <c r="D69" s="139" t="str">
        <f t="shared" si="0"/>
        <v>PREPARE_WEST_H_1_24</v>
      </c>
      <c r="E69" s="139" t="s">
        <v>0</v>
      </c>
      <c r="F69" s="138" t="s">
        <v>46</v>
      </c>
      <c r="G69" s="140" t="s">
        <v>19</v>
      </c>
      <c r="H69" s="140" t="s">
        <v>9</v>
      </c>
      <c r="I69" s="140">
        <v>1</v>
      </c>
      <c r="J69" s="141"/>
      <c r="K69" s="184">
        <f>COUNT(M69:BH69)</f>
        <v>22</v>
      </c>
      <c r="L69" s="139"/>
      <c r="M69" s="3">
        <v>1</v>
      </c>
      <c r="N69" s="3">
        <f>M69+1</f>
        <v>2</v>
      </c>
      <c r="O69" s="3">
        <f t="shared" ref="O69:AI69" si="42">N69+1</f>
        <v>3</v>
      </c>
      <c r="P69" s="3">
        <f t="shared" si="42"/>
        <v>4</v>
      </c>
      <c r="Q69" s="3">
        <f t="shared" si="42"/>
        <v>5</v>
      </c>
      <c r="R69" s="3">
        <f t="shared" si="42"/>
        <v>6</v>
      </c>
      <c r="S69" s="3">
        <f t="shared" si="42"/>
        <v>7</v>
      </c>
      <c r="T69" s="3">
        <f t="shared" si="42"/>
        <v>8</v>
      </c>
      <c r="U69" s="3">
        <f t="shared" si="42"/>
        <v>9</v>
      </c>
      <c r="V69" s="3">
        <f t="shared" si="42"/>
        <v>10</v>
      </c>
      <c r="W69" s="3">
        <f t="shared" si="42"/>
        <v>11</v>
      </c>
      <c r="X69" s="3">
        <f t="shared" si="42"/>
        <v>12</v>
      </c>
      <c r="Y69" s="3">
        <f t="shared" si="42"/>
        <v>13</v>
      </c>
      <c r="Z69" s="3">
        <f t="shared" si="42"/>
        <v>14</v>
      </c>
      <c r="AA69" s="3">
        <f t="shared" si="42"/>
        <v>15</v>
      </c>
      <c r="AB69" s="3">
        <f t="shared" si="42"/>
        <v>16</v>
      </c>
      <c r="AC69" s="30">
        <f t="shared" si="42"/>
        <v>17</v>
      </c>
      <c r="AD69" s="30"/>
      <c r="AE69" s="8">
        <f>AC69+1</f>
        <v>18</v>
      </c>
      <c r="AF69" s="3">
        <f t="shared" si="42"/>
        <v>19</v>
      </c>
      <c r="AG69" s="3">
        <f t="shared" si="42"/>
        <v>20</v>
      </c>
      <c r="AH69" s="3">
        <f t="shared" si="42"/>
        <v>21</v>
      </c>
      <c r="AI69" s="3">
        <f t="shared" si="42"/>
        <v>22</v>
      </c>
      <c r="AJ69" s="21"/>
      <c r="AK69" s="86"/>
      <c r="AL69" s="86"/>
      <c r="AM69" s="86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5"/>
      <c r="DB69" s="5"/>
      <c r="DC69" s="5"/>
      <c r="DD69" s="5"/>
    </row>
    <row r="70" spans="1:108" ht="15" customHeight="1" x14ac:dyDescent="0.25">
      <c r="B70" s="139">
        <v>11</v>
      </c>
      <c r="C70" s="139">
        <v>4</v>
      </c>
      <c r="D70" s="139" t="str">
        <f t="shared" si="0"/>
        <v>SUPPLY_WEST_H_1_24</v>
      </c>
      <c r="E70" s="139" t="s">
        <v>0</v>
      </c>
      <c r="F70" s="142" t="s">
        <v>0</v>
      </c>
      <c r="G70" s="140" t="s">
        <v>19</v>
      </c>
      <c r="H70" s="140" t="s">
        <v>9</v>
      </c>
      <c r="I70" s="140">
        <v>1</v>
      </c>
      <c r="J70" s="143"/>
      <c r="K70" s="184">
        <f>COUNT(AK70:CF70)</f>
        <v>0</v>
      </c>
      <c r="L70" s="140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101"/>
      <c r="AD70" s="101"/>
      <c r="AE70" s="42"/>
      <c r="AF70" s="46"/>
      <c r="AG70" s="46"/>
      <c r="AH70" s="46"/>
      <c r="AI70" s="46"/>
      <c r="AJ70" s="57"/>
      <c r="AK70" s="93"/>
      <c r="AL70" s="93"/>
      <c r="AM70" s="93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97"/>
      <c r="BB70" s="97"/>
      <c r="BC70" s="4"/>
      <c r="BD70" s="4"/>
      <c r="BE70" s="4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5"/>
      <c r="DB70" s="5"/>
      <c r="DC70" s="5"/>
      <c r="DD70" s="5"/>
    </row>
    <row r="71" spans="1:108" ht="15" customHeight="1" x14ac:dyDescent="0.25">
      <c r="B71" s="139">
        <v>11</v>
      </c>
      <c r="C71" s="140">
        <v>5</v>
      </c>
      <c r="D71" s="139" t="str">
        <f t="shared" si="0"/>
        <v>EMPTY_WEST_H_1_24</v>
      </c>
      <c r="E71" s="140" t="s">
        <v>0</v>
      </c>
      <c r="F71" s="142" t="s">
        <v>32</v>
      </c>
      <c r="G71" s="140" t="s">
        <v>19</v>
      </c>
      <c r="H71" s="140" t="s">
        <v>9</v>
      </c>
      <c r="I71" s="140">
        <v>1</v>
      </c>
      <c r="J71" s="139"/>
      <c r="K71" s="184">
        <f>COUNT(AK71:CF71)</f>
        <v>20</v>
      </c>
      <c r="L71" s="139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101"/>
      <c r="AD71" s="101"/>
      <c r="AE71" s="42"/>
      <c r="AF71" s="46"/>
      <c r="AG71" s="46"/>
      <c r="AH71" s="46"/>
      <c r="AI71" s="46"/>
      <c r="AJ71" s="57"/>
      <c r="AK71" s="86">
        <v>1</v>
      </c>
      <c r="AL71" s="86">
        <f>AK71+1</f>
        <v>2</v>
      </c>
      <c r="AM71" s="86">
        <f t="shared" ref="AM71:BE71" si="43">AL71+1</f>
        <v>3</v>
      </c>
      <c r="AN71" s="86">
        <f t="shared" si="43"/>
        <v>4</v>
      </c>
      <c r="AO71" s="86">
        <f t="shared" si="43"/>
        <v>5</v>
      </c>
      <c r="AP71" s="86">
        <f t="shared" si="43"/>
        <v>6</v>
      </c>
      <c r="AQ71" s="86">
        <f t="shared" si="43"/>
        <v>7</v>
      </c>
      <c r="AR71" s="86">
        <f t="shared" si="43"/>
        <v>8</v>
      </c>
      <c r="AS71" s="86">
        <f t="shared" si="43"/>
        <v>9</v>
      </c>
      <c r="AT71" s="86">
        <f t="shared" si="43"/>
        <v>10</v>
      </c>
      <c r="AU71" s="86">
        <f t="shared" si="43"/>
        <v>11</v>
      </c>
      <c r="AV71" s="86">
        <f t="shared" si="43"/>
        <v>12</v>
      </c>
      <c r="AW71" s="86">
        <f t="shared" si="43"/>
        <v>13</v>
      </c>
      <c r="AX71" s="86">
        <f t="shared" si="43"/>
        <v>14</v>
      </c>
      <c r="AY71" s="86">
        <f t="shared" si="43"/>
        <v>15</v>
      </c>
      <c r="AZ71" s="86">
        <f t="shared" si="43"/>
        <v>16</v>
      </c>
      <c r="BA71" s="86">
        <f t="shared" si="43"/>
        <v>17</v>
      </c>
      <c r="BB71" s="86"/>
      <c r="BC71" s="86">
        <f>BA71+1</f>
        <v>18</v>
      </c>
      <c r="BD71" s="86">
        <f t="shared" si="43"/>
        <v>19</v>
      </c>
      <c r="BE71" s="86">
        <f t="shared" si="43"/>
        <v>20</v>
      </c>
      <c r="BF71" s="46"/>
      <c r="BG71" s="21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5"/>
      <c r="DB71" s="5"/>
      <c r="DC71" s="5"/>
      <c r="DD71" s="5"/>
    </row>
    <row r="72" spans="1:108" ht="15" customHeight="1" x14ac:dyDescent="0.25">
      <c r="B72" s="139">
        <v>11</v>
      </c>
      <c r="C72" s="140">
        <v>6</v>
      </c>
      <c r="D72" s="139" t="str">
        <f t="shared" si="0"/>
        <v>COUNTDOWN_WEST_H_1_24</v>
      </c>
      <c r="E72" s="140"/>
      <c r="F72" s="142" t="s">
        <v>33</v>
      </c>
      <c r="G72" s="140" t="s">
        <v>19</v>
      </c>
      <c r="H72" s="140" t="s">
        <v>9</v>
      </c>
      <c r="I72" s="140">
        <v>1</v>
      </c>
      <c r="J72" s="144"/>
      <c r="K72" s="144"/>
      <c r="L72" s="140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101"/>
      <c r="AD72" s="101"/>
      <c r="AE72" s="29"/>
      <c r="AF72" s="6"/>
      <c r="AG72" s="46"/>
      <c r="AH72" s="46"/>
      <c r="AI72" s="220"/>
      <c r="AJ72" s="59"/>
      <c r="AK72" s="86"/>
      <c r="AL72" s="86"/>
      <c r="AM72" s="86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5"/>
      <c r="DB72" s="5"/>
      <c r="DC72" s="5"/>
      <c r="DD72" s="5"/>
    </row>
    <row r="73" spans="1:108" ht="15" customHeight="1" x14ac:dyDescent="0.25">
      <c r="B73" s="139">
        <v>12</v>
      </c>
      <c r="C73" s="139">
        <v>1</v>
      </c>
      <c r="D73" s="139" t="str">
        <f t="shared" si="0"/>
        <v>SORTING_WEST_P_2_24</v>
      </c>
      <c r="E73" s="139" t="s">
        <v>35</v>
      </c>
      <c r="F73" s="138" t="s">
        <v>45</v>
      </c>
      <c r="G73" s="140" t="s">
        <v>19</v>
      </c>
      <c r="H73" s="140" t="s">
        <v>41</v>
      </c>
      <c r="I73" s="140">
        <v>2</v>
      </c>
      <c r="J73" s="139"/>
      <c r="K73" s="184">
        <f>COUNT(AE73:BH73)</f>
        <v>2</v>
      </c>
      <c r="L73" s="139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101"/>
      <c r="AD73" s="101"/>
      <c r="AE73" s="8">
        <v>1</v>
      </c>
      <c r="AF73" s="3">
        <f>AE73+1</f>
        <v>2</v>
      </c>
      <c r="AG73" s="4"/>
      <c r="AH73" s="4"/>
      <c r="AI73" s="4"/>
      <c r="AJ73" s="31"/>
      <c r="AK73" s="86"/>
      <c r="AL73" s="86"/>
      <c r="AM73" s="86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5"/>
      <c r="DB73" s="5"/>
      <c r="DC73" s="5"/>
      <c r="DD73" s="5"/>
    </row>
    <row r="74" spans="1:108" ht="15" customHeight="1" x14ac:dyDescent="0.25">
      <c r="B74" s="139">
        <v>12</v>
      </c>
      <c r="C74" s="139">
        <v>2</v>
      </c>
      <c r="D74" s="139" t="str">
        <f t="shared" si="0"/>
        <v>TRANSFER_WEST_P_2_24</v>
      </c>
      <c r="E74" s="139" t="s">
        <v>21</v>
      </c>
      <c r="F74" s="138" t="s">
        <v>21</v>
      </c>
      <c r="G74" s="140" t="s">
        <v>19</v>
      </c>
      <c r="H74" s="140" t="s">
        <v>41</v>
      </c>
      <c r="I74" s="140">
        <v>2</v>
      </c>
      <c r="J74" s="139"/>
      <c r="K74" s="184">
        <f>COUNT(AE74:BH74)</f>
        <v>5</v>
      </c>
      <c r="L74" s="139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101"/>
      <c r="AD74" s="101"/>
      <c r="AE74" s="8">
        <v>1</v>
      </c>
      <c r="AF74" s="3">
        <f>AE74+1</f>
        <v>2</v>
      </c>
      <c r="AG74" s="3">
        <f t="shared" ref="AG74:AL75" si="44">AF74+1</f>
        <v>3</v>
      </c>
      <c r="AH74" s="3">
        <f t="shared" si="44"/>
        <v>4</v>
      </c>
      <c r="AI74" s="3">
        <f t="shared" si="44"/>
        <v>5</v>
      </c>
      <c r="AJ74" s="21"/>
      <c r="AK74" s="93"/>
      <c r="AL74" s="4"/>
      <c r="AM74" s="4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5"/>
      <c r="DB74" s="5"/>
      <c r="DC74" s="5"/>
      <c r="DD74" s="5"/>
    </row>
    <row r="75" spans="1:108" ht="15" customHeight="1" x14ac:dyDescent="0.25">
      <c r="B75" s="139">
        <v>12</v>
      </c>
      <c r="C75" s="139">
        <v>3</v>
      </c>
      <c r="D75" s="139" t="str">
        <f t="shared" si="0"/>
        <v>PREPARE_WEST_P_2_24</v>
      </c>
      <c r="E75" s="139" t="s">
        <v>0</v>
      </c>
      <c r="F75" s="138" t="s">
        <v>46</v>
      </c>
      <c r="G75" s="140" t="s">
        <v>19</v>
      </c>
      <c r="H75" s="140" t="s">
        <v>41</v>
      </c>
      <c r="I75" s="140">
        <v>2</v>
      </c>
      <c r="J75" s="141"/>
      <c r="K75" s="184">
        <f>COUNT(M75:BH75)</f>
        <v>25</v>
      </c>
      <c r="L75" s="139"/>
      <c r="M75" s="3">
        <v>1</v>
      </c>
      <c r="N75" s="3">
        <f>M75+1</f>
        <v>2</v>
      </c>
      <c r="O75" s="3">
        <f t="shared" ref="O75:AF75" si="45">N75+1</f>
        <v>3</v>
      </c>
      <c r="P75" s="3">
        <f t="shared" si="45"/>
        <v>4</v>
      </c>
      <c r="Q75" s="3">
        <f t="shared" si="45"/>
        <v>5</v>
      </c>
      <c r="R75" s="3">
        <f t="shared" si="45"/>
        <v>6</v>
      </c>
      <c r="S75" s="3">
        <f t="shared" si="45"/>
        <v>7</v>
      </c>
      <c r="T75" s="3">
        <f t="shared" si="45"/>
        <v>8</v>
      </c>
      <c r="U75" s="3">
        <f t="shared" si="45"/>
        <v>9</v>
      </c>
      <c r="V75" s="3">
        <f t="shared" si="45"/>
        <v>10</v>
      </c>
      <c r="W75" s="3">
        <f t="shared" si="45"/>
        <v>11</v>
      </c>
      <c r="X75" s="3">
        <f t="shared" si="45"/>
        <v>12</v>
      </c>
      <c r="Y75" s="3">
        <f t="shared" si="45"/>
        <v>13</v>
      </c>
      <c r="Z75" s="3">
        <f t="shared" si="45"/>
        <v>14</v>
      </c>
      <c r="AA75" s="3">
        <f t="shared" si="45"/>
        <v>15</v>
      </c>
      <c r="AB75" s="3">
        <f t="shared" si="45"/>
        <v>16</v>
      </c>
      <c r="AC75" s="30">
        <f t="shared" si="45"/>
        <v>17</v>
      </c>
      <c r="AD75" s="30"/>
      <c r="AE75" s="8">
        <f>AC75+1</f>
        <v>18</v>
      </c>
      <c r="AF75" s="3">
        <f t="shared" si="45"/>
        <v>19</v>
      </c>
      <c r="AG75" s="3">
        <f t="shared" si="44"/>
        <v>20</v>
      </c>
      <c r="AH75" s="3">
        <f t="shared" si="44"/>
        <v>21</v>
      </c>
      <c r="AI75" s="3">
        <f t="shared" si="44"/>
        <v>22</v>
      </c>
      <c r="AJ75" s="31">
        <f t="shared" si="44"/>
        <v>23</v>
      </c>
      <c r="AK75" s="86">
        <f t="shared" si="44"/>
        <v>24</v>
      </c>
      <c r="AL75" s="3">
        <f t="shared" si="44"/>
        <v>25</v>
      </c>
      <c r="AM75" s="4"/>
      <c r="AN75" s="4"/>
      <c r="AO75" s="4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5"/>
      <c r="DB75" s="5"/>
      <c r="DC75" s="5"/>
      <c r="DD75" s="5"/>
    </row>
    <row r="76" spans="1:108" ht="15" customHeight="1" x14ac:dyDescent="0.25">
      <c r="B76" s="139">
        <v>12</v>
      </c>
      <c r="C76" s="139">
        <v>4</v>
      </c>
      <c r="D76" s="139" t="str">
        <f t="shared" si="0"/>
        <v>SUPPLY_WEST_P_2_24</v>
      </c>
      <c r="E76" s="139" t="s">
        <v>0</v>
      </c>
      <c r="F76" s="142" t="s">
        <v>0</v>
      </c>
      <c r="G76" s="140" t="s">
        <v>19</v>
      </c>
      <c r="H76" s="140" t="s">
        <v>41</v>
      </c>
      <c r="I76" s="140">
        <v>2</v>
      </c>
      <c r="J76" s="143"/>
      <c r="K76" s="184">
        <f>COUNT(AK76:CF76)</f>
        <v>5</v>
      </c>
      <c r="L76" s="140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101"/>
      <c r="AD76" s="101"/>
      <c r="AE76" s="42"/>
      <c r="AF76" s="46"/>
      <c r="AG76" s="46"/>
      <c r="AH76" s="46"/>
      <c r="AI76" s="46"/>
      <c r="AJ76" s="57"/>
      <c r="AK76" s="86">
        <v>1</v>
      </c>
      <c r="AL76" s="86">
        <f>AK76+1</f>
        <v>2</v>
      </c>
      <c r="AM76" s="86">
        <f t="shared" ref="AM76:BA77" si="46">AL76+1</f>
        <v>3</v>
      </c>
      <c r="AN76" s="86">
        <f t="shared" si="46"/>
        <v>4</v>
      </c>
      <c r="AO76" s="86">
        <f t="shared" si="46"/>
        <v>5</v>
      </c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97"/>
      <c r="BE76" s="4"/>
      <c r="BF76" s="4"/>
      <c r="BG76" s="4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5"/>
      <c r="DB76" s="5"/>
      <c r="DC76" s="5"/>
      <c r="DD76" s="5"/>
    </row>
    <row r="77" spans="1:108" ht="15" customHeight="1" x14ac:dyDescent="0.25">
      <c r="B77" s="139">
        <v>12</v>
      </c>
      <c r="C77" s="140">
        <v>5</v>
      </c>
      <c r="D77" s="139" t="str">
        <f t="shared" si="0"/>
        <v>EMPTY_WEST_P_2_24</v>
      </c>
      <c r="E77" s="140" t="s">
        <v>0</v>
      </c>
      <c r="F77" s="142" t="s">
        <v>32</v>
      </c>
      <c r="G77" s="140" t="s">
        <v>19</v>
      </c>
      <c r="H77" s="140" t="s">
        <v>41</v>
      </c>
      <c r="I77" s="140">
        <v>2</v>
      </c>
      <c r="J77" s="139"/>
      <c r="K77" s="184">
        <f>COUNT(AK77:CF77)</f>
        <v>22</v>
      </c>
      <c r="L77" s="139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101"/>
      <c r="AD77" s="101"/>
      <c r="AE77" s="42"/>
      <c r="AF77" s="46"/>
      <c r="AG77" s="46"/>
      <c r="AH77" s="46"/>
      <c r="AI77" s="46"/>
      <c r="AJ77" s="57"/>
      <c r="AK77" s="86">
        <v>1</v>
      </c>
      <c r="AL77" s="86">
        <f>AK77+1</f>
        <v>2</v>
      </c>
      <c r="AM77" s="86">
        <f t="shared" si="46"/>
        <v>3</v>
      </c>
      <c r="AN77" s="86">
        <f t="shared" si="46"/>
        <v>4</v>
      </c>
      <c r="AO77" s="86">
        <f t="shared" si="46"/>
        <v>5</v>
      </c>
      <c r="AP77" s="86">
        <f t="shared" si="46"/>
        <v>6</v>
      </c>
      <c r="AQ77" s="86">
        <f t="shared" si="46"/>
        <v>7</v>
      </c>
      <c r="AR77" s="86">
        <f t="shared" si="46"/>
        <v>8</v>
      </c>
      <c r="AS77" s="86">
        <f t="shared" si="46"/>
        <v>9</v>
      </c>
      <c r="AT77" s="86">
        <f t="shared" si="46"/>
        <v>10</v>
      </c>
      <c r="AU77" s="86">
        <f t="shared" si="46"/>
        <v>11</v>
      </c>
      <c r="AV77" s="86">
        <f t="shared" si="46"/>
        <v>12</v>
      </c>
      <c r="AW77" s="86">
        <f t="shared" si="46"/>
        <v>13</v>
      </c>
      <c r="AX77" s="86">
        <f t="shared" si="46"/>
        <v>14</v>
      </c>
      <c r="AY77" s="86">
        <f t="shared" si="46"/>
        <v>15</v>
      </c>
      <c r="AZ77" s="86">
        <f t="shared" si="46"/>
        <v>16</v>
      </c>
      <c r="BA77" s="86">
        <f t="shared" si="46"/>
        <v>17</v>
      </c>
      <c r="BB77" s="86"/>
      <c r="BC77" s="86">
        <f>BA77+1</f>
        <v>18</v>
      </c>
      <c r="BD77" s="86">
        <f t="shared" ref="BD77:BG77" si="47">BC77+1</f>
        <v>19</v>
      </c>
      <c r="BE77" s="86">
        <f t="shared" si="47"/>
        <v>20</v>
      </c>
      <c r="BF77" s="86">
        <f t="shared" si="47"/>
        <v>21</v>
      </c>
      <c r="BG77" s="86">
        <f t="shared" si="47"/>
        <v>22</v>
      </c>
      <c r="BH77" s="46"/>
      <c r="BI77" s="4"/>
      <c r="BJ77" s="4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5"/>
      <c r="DB77" s="5"/>
      <c r="DC77" s="5"/>
      <c r="DD77" s="5"/>
    </row>
    <row r="78" spans="1:108" ht="15" customHeight="1" x14ac:dyDescent="0.25">
      <c r="B78" s="139">
        <v>12</v>
      </c>
      <c r="C78" s="140">
        <v>6</v>
      </c>
      <c r="D78" s="139" t="str">
        <f t="shared" ref="D78:D120" si="48">F78&amp;"_"&amp;G78&amp;"_"&amp;H78&amp;"_"&amp;I78&amp;"_"&amp;$D$1</f>
        <v>COUNTDOWN_WEST_P_2_24</v>
      </c>
      <c r="E78" s="140"/>
      <c r="F78" s="142" t="s">
        <v>33</v>
      </c>
      <c r="G78" s="140" t="s">
        <v>19</v>
      </c>
      <c r="H78" s="140" t="s">
        <v>41</v>
      </c>
      <c r="I78" s="140">
        <v>2</v>
      </c>
      <c r="J78" s="144"/>
      <c r="K78" s="144"/>
      <c r="L78" s="140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101"/>
      <c r="AD78" s="101"/>
      <c r="AE78" s="8"/>
      <c r="AF78" s="3"/>
      <c r="AG78" s="6"/>
      <c r="AH78" s="6"/>
      <c r="AI78" s="46"/>
      <c r="AJ78" s="57"/>
      <c r="AK78" s="134"/>
      <c r="AL78" s="134"/>
      <c r="AM78" s="134"/>
      <c r="AN78" s="56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5"/>
      <c r="DB78" s="5"/>
      <c r="DC78" s="5"/>
      <c r="DD78" s="5"/>
    </row>
    <row r="79" spans="1:108" ht="15" customHeight="1" x14ac:dyDescent="0.25">
      <c r="A79" t="s">
        <v>8</v>
      </c>
      <c r="B79" s="139">
        <v>13</v>
      </c>
      <c r="C79" s="139">
        <v>1</v>
      </c>
      <c r="D79" s="139" t="str">
        <f t="shared" si="48"/>
        <v>SORTING_WEST_O_1_24</v>
      </c>
      <c r="E79" s="139" t="s">
        <v>35</v>
      </c>
      <c r="F79" s="138" t="s">
        <v>45</v>
      </c>
      <c r="G79" s="140" t="s">
        <v>19</v>
      </c>
      <c r="H79" s="140" t="s">
        <v>40</v>
      </c>
      <c r="I79" s="140">
        <v>1</v>
      </c>
      <c r="J79" s="139"/>
      <c r="K79" s="184">
        <f>COUNT(AE79:BH79)</f>
        <v>5</v>
      </c>
      <c r="L79" s="139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101"/>
      <c r="AD79" s="101"/>
      <c r="AE79" s="8">
        <v>1</v>
      </c>
      <c r="AF79" s="3">
        <f>AE79+1</f>
        <v>2</v>
      </c>
      <c r="AG79" s="3">
        <f t="shared" ref="AG79:AV83" si="49">AF79+1</f>
        <v>3</v>
      </c>
      <c r="AH79" s="3">
        <f t="shared" si="49"/>
        <v>4</v>
      </c>
      <c r="AI79" s="3">
        <f t="shared" si="49"/>
        <v>5</v>
      </c>
      <c r="AJ79" s="21"/>
      <c r="AK79" s="93"/>
      <c r="AL79" s="4"/>
      <c r="AM79" s="4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5"/>
      <c r="DB79" s="5"/>
      <c r="DC79" s="5"/>
      <c r="DD79" s="5"/>
    </row>
    <row r="80" spans="1:108" ht="15" customHeight="1" x14ac:dyDescent="0.25">
      <c r="A80" t="s">
        <v>8</v>
      </c>
      <c r="B80" s="139">
        <v>13</v>
      </c>
      <c r="C80" s="139">
        <v>2</v>
      </c>
      <c r="D80" s="139" t="str">
        <f t="shared" si="48"/>
        <v>TRANSFER_WEST_O_1_24</v>
      </c>
      <c r="E80" s="139" t="s">
        <v>21</v>
      </c>
      <c r="F80" s="138" t="s">
        <v>21</v>
      </c>
      <c r="G80" s="140" t="s">
        <v>19</v>
      </c>
      <c r="H80" s="140" t="s">
        <v>40</v>
      </c>
      <c r="I80" s="140">
        <v>1</v>
      </c>
      <c r="J80" s="139"/>
      <c r="K80" s="184">
        <f>COUNT(AE80:BH80)</f>
        <v>9</v>
      </c>
      <c r="L80" s="139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101"/>
      <c r="AD80" s="101"/>
      <c r="AE80" s="8">
        <v>1</v>
      </c>
      <c r="AF80" s="3">
        <f>AE80+1</f>
        <v>2</v>
      </c>
      <c r="AG80" s="3">
        <f t="shared" si="49"/>
        <v>3</v>
      </c>
      <c r="AH80" s="3">
        <f t="shared" si="49"/>
        <v>4</v>
      </c>
      <c r="AI80" s="3">
        <f t="shared" si="49"/>
        <v>5</v>
      </c>
      <c r="AJ80" s="31">
        <f t="shared" si="49"/>
        <v>6</v>
      </c>
      <c r="AK80" s="86">
        <f t="shared" si="49"/>
        <v>7</v>
      </c>
      <c r="AL80" s="3">
        <f t="shared" si="49"/>
        <v>8</v>
      </c>
      <c r="AM80" s="3">
        <f t="shared" si="49"/>
        <v>9</v>
      </c>
      <c r="AN80" s="4"/>
      <c r="AO80" s="4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5"/>
      <c r="DB80" s="5"/>
      <c r="DC80" s="5"/>
      <c r="DD80" s="5"/>
    </row>
    <row r="81" spans="1:108" ht="15" customHeight="1" x14ac:dyDescent="0.25">
      <c r="A81" t="s">
        <v>8</v>
      </c>
      <c r="B81" s="139">
        <v>13</v>
      </c>
      <c r="C81" s="139">
        <v>3</v>
      </c>
      <c r="D81" s="139" t="str">
        <f t="shared" si="48"/>
        <v>PREPARE_WEST_O_1_24</v>
      </c>
      <c r="E81" s="139" t="s">
        <v>0</v>
      </c>
      <c r="F81" s="138" t="s">
        <v>46</v>
      </c>
      <c r="G81" s="140" t="s">
        <v>19</v>
      </c>
      <c r="H81" s="140" t="s">
        <v>40</v>
      </c>
      <c r="I81" s="140">
        <v>1</v>
      </c>
      <c r="J81" s="141"/>
      <c r="K81" s="184">
        <f>COUNT(M81:BH81)</f>
        <v>29</v>
      </c>
      <c r="L81" s="139"/>
      <c r="M81" s="3">
        <v>1</v>
      </c>
      <c r="N81" s="3">
        <f>M81+1</f>
        <v>2</v>
      </c>
      <c r="O81" s="3">
        <f t="shared" ref="O81:AF81" si="50">N81+1</f>
        <v>3</v>
      </c>
      <c r="P81" s="3">
        <f t="shared" si="50"/>
        <v>4</v>
      </c>
      <c r="Q81" s="3">
        <f t="shared" si="50"/>
        <v>5</v>
      </c>
      <c r="R81" s="3">
        <f t="shared" si="50"/>
        <v>6</v>
      </c>
      <c r="S81" s="3">
        <f t="shared" si="50"/>
        <v>7</v>
      </c>
      <c r="T81" s="3">
        <f t="shared" si="50"/>
        <v>8</v>
      </c>
      <c r="U81" s="3">
        <f t="shared" si="50"/>
        <v>9</v>
      </c>
      <c r="V81" s="3">
        <f t="shared" si="50"/>
        <v>10</v>
      </c>
      <c r="W81" s="3">
        <f t="shared" si="50"/>
        <v>11</v>
      </c>
      <c r="X81" s="3">
        <f t="shared" si="50"/>
        <v>12</v>
      </c>
      <c r="Y81" s="3">
        <f t="shared" si="50"/>
        <v>13</v>
      </c>
      <c r="Z81" s="3">
        <f t="shared" si="50"/>
        <v>14</v>
      </c>
      <c r="AA81" s="3">
        <f t="shared" si="50"/>
        <v>15</v>
      </c>
      <c r="AB81" s="3">
        <f t="shared" si="50"/>
        <v>16</v>
      </c>
      <c r="AC81" s="30">
        <f t="shared" si="50"/>
        <v>17</v>
      </c>
      <c r="AD81" s="30"/>
      <c r="AE81" s="8">
        <f>AC81+1</f>
        <v>18</v>
      </c>
      <c r="AF81" s="3">
        <f t="shared" si="50"/>
        <v>19</v>
      </c>
      <c r="AG81" s="3">
        <f t="shared" si="49"/>
        <v>20</v>
      </c>
      <c r="AH81" s="3">
        <f t="shared" si="49"/>
        <v>21</v>
      </c>
      <c r="AI81" s="3">
        <f t="shared" si="49"/>
        <v>22</v>
      </c>
      <c r="AJ81" s="31">
        <f t="shared" si="49"/>
        <v>23</v>
      </c>
      <c r="AK81" s="86">
        <f t="shared" si="49"/>
        <v>24</v>
      </c>
      <c r="AL81" s="3">
        <f t="shared" si="49"/>
        <v>25</v>
      </c>
      <c r="AM81" s="3">
        <f t="shared" si="49"/>
        <v>26</v>
      </c>
      <c r="AN81" s="3">
        <f t="shared" si="49"/>
        <v>27</v>
      </c>
      <c r="AO81" s="3">
        <f t="shared" si="49"/>
        <v>28</v>
      </c>
      <c r="AP81" s="3">
        <f t="shared" si="49"/>
        <v>29</v>
      </c>
      <c r="AQ81" s="4"/>
      <c r="AR81" s="4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5"/>
      <c r="DB81" s="5"/>
      <c r="DC81" s="5"/>
      <c r="DD81" s="5"/>
    </row>
    <row r="82" spans="1:108" ht="15" customHeight="1" x14ac:dyDescent="0.25">
      <c r="A82" t="s">
        <v>8</v>
      </c>
      <c r="B82" s="139">
        <v>13</v>
      </c>
      <c r="C82" s="139">
        <v>4</v>
      </c>
      <c r="D82" s="139" t="str">
        <f t="shared" si="48"/>
        <v>SUPPLY_WEST_O_1_24</v>
      </c>
      <c r="E82" s="139" t="s">
        <v>0</v>
      </c>
      <c r="F82" s="142" t="s">
        <v>0</v>
      </c>
      <c r="G82" s="140" t="s">
        <v>19</v>
      </c>
      <c r="H82" s="140" t="s">
        <v>40</v>
      </c>
      <c r="I82" s="140">
        <v>1</v>
      </c>
      <c r="J82" s="143"/>
      <c r="K82" s="184">
        <f>COUNT(AK82:CF82)</f>
        <v>8</v>
      </c>
      <c r="L82" s="140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101"/>
      <c r="AD82" s="101"/>
      <c r="AE82" s="42"/>
      <c r="AF82" s="46"/>
      <c r="AG82" s="46"/>
      <c r="AH82" s="46"/>
      <c r="AI82" s="46"/>
      <c r="AJ82" s="57"/>
      <c r="AK82" s="86">
        <v>1</v>
      </c>
      <c r="AL82" s="86">
        <f>AK82+1</f>
        <v>2</v>
      </c>
      <c r="AM82" s="86">
        <f t="shared" si="49"/>
        <v>3</v>
      </c>
      <c r="AN82" s="86">
        <f t="shared" si="49"/>
        <v>4</v>
      </c>
      <c r="AO82" s="86">
        <f t="shared" si="49"/>
        <v>5</v>
      </c>
      <c r="AP82" s="86">
        <f t="shared" si="49"/>
        <v>6</v>
      </c>
      <c r="AQ82" s="86">
        <f t="shared" si="49"/>
        <v>7</v>
      </c>
      <c r="AR82" s="86">
        <f t="shared" si="49"/>
        <v>8</v>
      </c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97"/>
      <c r="BG82" s="4"/>
      <c r="BH82" s="4"/>
      <c r="BI82" s="4"/>
      <c r="BJ82" s="4"/>
      <c r="BK82" s="4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5"/>
      <c r="DB82" s="5"/>
      <c r="DC82" s="5"/>
      <c r="DD82" s="5"/>
    </row>
    <row r="83" spans="1:108" ht="15" customHeight="1" x14ac:dyDescent="0.25">
      <c r="A83" t="s">
        <v>8</v>
      </c>
      <c r="B83" s="139">
        <v>13</v>
      </c>
      <c r="C83" s="140">
        <v>5</v>
      </c>
      <c r="D83" s="139" t="str">
        <f t="shared" si="48"/>
        <v>EMPTY_WEST_O_1_24</v>
      </c>
      <c r="E83" s="140" t="s">
        <v>0</v>
      </c>
      <c r="F83" s="142" t="s">
        <v>32</v>
      </c>
      <c r="G83" s="140" t="s">
        <v>19</v>
      </c>
      <c r="H83" s="140" t="s">
        <v>40</v>
      </c>
      <c r="I83" s="140">
        <v>1</v>
      </c>
      <c r="J83" s="139"/>
      <c r="K83" s="184">
        <f>COUNT(AK83:CF83)</f>
        <v>26</v>
      </c>
      <c r="L83" s="139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101"/>
      <c r="AD83" s="101"/>
      <c r="AE83" s="42"/>
      <c r="AF83" s="46"/>
      <c r="AG83" s="46"/>
      <c r="AH83" s="46"/>
      <c r="AI83" s="46"/>
      <c r="AJ83" s="57"/>
      <c r="AK83" s="86">
        <v>1</v>
      </c>
      <c r="AL83" s="86">
        <f>AK83+1</f>
        <v>2</v>
      </c>
      <c r="AM83" s="86">
        <f t="shared" si="49"/>
        <v>3</v>
      </c>
      <c r="AN83" s="86">
        <f t="shared" si="49"/>
        <v>4</v>
      </c>
      <c r="AO83" s="86">
        <f t="shared" si="49"/>
        <v>5</v>
      </c>
      <c r="AP83" s="86">
        <f t="shared" si="49"/>
        <v>6</v>
      </c>
      <c r="AQ83" s="86">
        <f t="shared" si="49"/>
        <v>7</v>
      </c>
      <c r="AR83" s="86">
        <f t="shared" si="49"/>
        <v>8</v>
      </c>
      <c r="AS83" s="86">
        <f t="shared" si="49"/>
        <v>9</v>
      </c>
      <c r="AT83" s="86">
        <f t="shared" si="49"/>
        <v>10</v>
      </c>
      <c r="AU83" s="86">
        <f t="shared" si="49"/>
        <v>11</v>
      </c>
      <c r="AV83" s="86">
        <f t="shared" si="49"/>
        <v>12</v>
      </c>
      <c r="AW83" s="86">
        <f t="shared" ref="AW83:BK83" si="51">AV83+1</f>
        <v>13</v>
      </c>
      <c r="AX83" s="86">
        <f t="shared" si="51"/>
        <v>14</v>
      </c>
      <c r="AY83" s="86">
        <f t="shared" si="51"/>
        <v>15</v>
      </c>
      <c r="AZ83" s="86">
        <f t="shared" si="51"/>
        <v>16</v>
      </c>
      <c r="BA83" s="86">
        <f t="shared" si="51"/>
        <v>17</v>
      </c>
      <c r="BB83" s="86"/>
      <c r="BC83" s="86">
        <f>BA83+1</f>
        <v>18</v>
      </c>
      <c r="BD83" s="86">
        <f t="shared" si="51"/>
        <v>19</v>
      </c>
      <c r="BE83" s="86">
        <f t="shared" si="51"/>
        <v>20</v>
      </c>
      <c r="BF83" s="86">
        <f t="shared" si="51"/>
        <v>21</v>
      </c>
      <c r="BG83" s="86">
        <f t="shared" si="51"/>
        <v>22</v>
      </c>
      <c r="BH83" s="86">
        <f t="shared" si="51"/>
        <v>23</v>
      </c>
      <c r="BI83" s="86">
        <f t="shared" si="51"/>
        <v>24</v>
      </c>
      <c r="BJ83" s="86">
        <f t="shared" si="51"/>
        <v>25</v>
      </c>
      <c r="BK83" s="86">
        <f t="shared" si="51"/>
        <v>26</v>
      </c>
      <c r="BL83" s="46"/>
      <c r="BM83" s="4"/>
      <c r="BN83" s="4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5"/>
      <c r="DB83" s="5"/>
      <c r="DC83" s="5"/>
      <c r="DD83" s="5"/>
    </row>
    <row r="84" spans="1:108" ht="15" customHeight="1" x14ac:dyDescent="0.25">
      <c r="A84" t="s">
        <v>8</v>
      </c>
      <c r="B84" s="139">
        <v>13</v>
      </c>
      <c r="C84" s="140">
        <v>6</v>
      </c>
      <c r="D84" s="139" t="str">
        <f t="shared" si="48"/>
        <v>COUNTDOWN_WEST_O_1_24</v>
      </c>
      <c r="E84" s="140"/>
      <c r="F84" s="142" t="s">
        <v>33</v>
      </c>
      <c r="G84" s="140" t="s">
        <v>19</v>
      </c>
      <c r="H84" s="140" t="s">
        <v>40</v>
      </c>
      <c r="I84" s="140">
        <v>1</v>
      </c>
      <c r="J84" s="144"/>
      <c r="K84" s="144"/>
      <c r="L84" s="140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101"/>
      <c r="AD84" s="101"/>
      <c r="AE84" s="42"/>
      <c r="AF84" s="46"/>
      <c r="AG84" s="46"/>
      <c r="AH84" s="46"/>
      <c r="AI84" s="6"/>
      <c r="AJ84" s="28"/>
      <c r="AK84" s="133"/>
      <c r="AL84" s="133"/>
      <c r="AM84" s="133"/>
      <c r="AN84" s="46"/>
      <c r="AO84" s="56"/>
      <c r="AP84" s="56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5"/>
      <c r="DB84" s="5"/>
      <c r="DC84" s="5"/>
      <c r="DD84" s="5"/>
    </row>
    <row r="85" spans="1:108" ht="15" customHeight="1" x14ac:dyDescent="0.25">
      <c r="B85" s="139">
        <v>14</v>
      </c>
      <c r="C85" s="139">
        <v>1</v>
      </c>
      <c r="D85" s="139" t="str">
        <f t="shared" si="48"/>
        <v>SORTING_WEST_L_2_24</v>
      </c>
      <c r="E85" s="139" t="s">
        <v>35</v>
      </c>
      <c r="F85" s="138" t="s">
        <v>45</v>
      </c>
      <c r="G85" s="140" t="s">
        <v>19</v>
      </c>
      <c r="H85" s="140" t="s">
        <v>13</v>
      </c>
      <c r="I85" s="140">
        <v>2</v>
      </c>
      <c r="J85" s="139"/>
      <c r="K85" s="184">
        <f>COUNT(AE85:BH85)</f>
        <v>9</v>
      </c>
      <c r="L85" s="139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101"/>
      <c r="AD85" s="101"/>
      <c r="AE85" s="8">
        <v>1</v>
      </c>
      <c r="AF85" s="3">
        <f>AE85+1</f>
        <v>2</v>
      </c>
      <c r="AG85" s="3">
        <f t="shared" ref="AG85:AV89" si="52">AF85+1</f>
        <v>3</v>
      </c>
      <c r="AH85" s="3">
        <f t="shared" si="52"/>
        <v>4</v>
      </c>
      <c r="AI85" s="3">
        <f t="shared" si="52"/>
        <v>5</v>
      </c>
      <c r="AJ85" s="31">
        <f t="shared" si="52"/>
        <v>6</v>
      </c>
      <c r="AK85" s="86">
        <f t="shared" si="52"/>
        <v>7</v>
      </c>
      <c r="AL85" s="3">
        <f t="shared" si="52"/>
        <v>8</v>
      </c>
      <c r="AM85" s="3">
        <f t="shared" si="52"/>
        <v>9</v>
      </c>
      <c r="AN85" s="4"/>
      <c r="AO85" s="4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5"/>
      <c r="DB85" s="5"/>
      <c r="DC85" s="5"/>
      <c r="DD85" s="5"/>
    </row>
    <row r="86" spans="1:108" ht="15" customHeight="1" x14ac:dyDescent="0.25">
      <c r="B86" s="139">
        <v>14</v>
      </c>
      <c r="C86" s="139">
        <v>2</v>
      </c>
      <c r="D86" s="139" t="str">
        <f t="shared" si="48"/>
        <v>TRANSFER_WEST_L_2_24</v>
      </c>
      <c r="E86" s="139" t="s">
        <v>21</v>
      </c>
      <c r="F86" s="138" t="s">
        <v>21</v>
      </c>
      <c r="G86" s="140" t="s">
        <v>19</v>
      </c>
      <c r="H86" s="140" t="s">
        <v>13</v>
      </c>
      <c r="I86" s="140">
        <v>2</v>
      </c>
      <c r="J86" s="139"/>
      <c r="K86" s="184">
        <f>COUNT(AE86:BH86)</f>
        <v>11</v>
      </c>
      <c r="L86" s="139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101"/>
      <c r="AD86" s="101"/>
      <c r="AE86" s="8">
        <v>1</v>
      </c>
      <c r="AF86" s="3">
        <f>AE86+1</f>
        <v>2</v>
      </c>
      <c r="AG86" s="3">
        <f t="shared" si="52"/>
        <v>3</v>
      </c>
      <c r="AH86" s="3">
        <f t="shared" si="52"/>
        <v>4</v>
      </c>
      <c r="AI86" s="3">
        <f t="shared" si="52"/>
        <v>5</v>
      </c>
      <c r="AJ86" s="31">
        <f t="shared" si="52"/>
        <v>6</v>
      </c>
      <c r="AK86" s="86">
        <f t="shared" si="52"/>
        <v>7</v>
      </c>
      <c r="AL86" s="3">
        <f t="shared" si="52"/>
        <v>8</v>
      </c>
      <c r="AM86" s="3">
        <f t="shared" si="52"/>
        <v>9</v>
      </c>
      <c r="AN86" s="3">
        <f t="shared" si="52"/>
        <v>10</v>
      </c>
      <c r="AO86" s="3">
        <f t="shared" si="52"/>
        <v>11</v>
      </c>
      <c r="AP86" s="4"/>
      <c r="AQ86" s="4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5"/>
      <c r="DB86" s="5"/>
      <c r="DC86" s="5"/>
      <c r="DD86" s="5"/>
    </row>
    <row r="87" spans="1:108" ht="15" customHeight="1" x14ac:dyDescent="0.25">
      <c r="B87" s="139">
        <v>14</v>
      </c>
      <c r="C87" s="139">
        <v>3</v>
      </c>
      <c r="D87" s="139" t="str">
        <f t="shared" si="48"/>
        <v>PREPARE_WEST_L_2_24</v>
      </c>
      <c r="E87" s="139" t="s">
        <v>0</v>
      </c>
      <c r="F87" s="138" t="s">
        <v>46</v>
      </c>
      <c r="G87" s="140" t="s">
        <v>19</v>
      </c>
      <c r="H87" s="140" t="s">
        <v>13</v>
      </c>
      <c r="I87" s="140">
        <v>2</v>
      </c>
      <c r="J87" s="141"/>
      <c r="K87" s="184">
        <f>COUNT(M87:BH87)</f>
        <v>31</v>
      </c>
      <c r="L87" s="139"/>
      <c r="M87" s="3">
        <v>1</v>
      </c>
      <c r="N87" s="3">
        <f>M87+1</f>
        <v>2</v>
      </c>
      <c r="O87" s="3">
        <f t="shared" ref="O87:AC87" si="53">N87+1</f>
        <v>3</v>
      </c>
      <c r="P87" s="3">
        <f t="shared" si="53"/>
        <v>4</v>
      </c>
      <c r="Q87" s="3">
        <f t="shared" si="53"/>
        <v>5</v>
      </c>
      <c r="R87" s="3">
        <f t="shared" si="53"/>
        <v>6</v>
      </c>
      <c r="S87" s="3">
        <f t="shared" si="53"/>
        <v>7</v>
      </c>
      <c r="T87" s="3">
        <f t="shared" si="53"/>
        <v>8</v>
      </c>
      <c r="U87" s="3">
        <f t="shared" si="53"/>
        <v>9</v>
      </c>
      <c r="V87" s="3">
        <f t="shared" si="53"/>
        <v>10</v>
      </c>
      <c r="W87" s="3">
        <f t="shared" si="53"/>
        <v>11</v>
      </c>
      <c r="X87" s="3">
        <f t="shared" si="53"/>
        <v>12</v>
      </c>
      <c r="Y87" s="3">
        <f t="shared" si="53"/>
        <v>13</v>
      </c>
      <c r="Z87" s="3">
        <f t="shared" si="53"/>
        <v>14</v>
      </c>
      <c r="AA87" s="3">
        <f t="shared" si="53"/>
        <v>15</v>
      </c>
      <c r="AB87" s="3">
        <f t="shared" si="53"/>
        <v>16</v>
      </c>
      <c r="AC87" s="30">
        <f t="shared" si="53"/>
        <v>17</v>
      </c>
      <c r="AD87" s="30"/>
      <c r="AE87" s="8">
        <f>AC87+1</f>
        <v>18</v>
      </c>
      <c r="AF87" s="3">
        <f t="shared" ref="AF87:AM89" si="54">AE87+1</f>
        <v>19</v>
      </c>
      <c r="AG87" s="3">
        <f t="shared" si="54"/>
        <v>20</v>
      </c>
      <c r="AH87" s="3">
        <f t="shared" si="54"/>
        <v>21</v>
      </c>
      <c r="AI87" s="3">
        <f t="shared" si="54"/>
        <v>22</v>
      </c>
      <c r="AJ87" s="31">
        <f t="shared" si="54"/>
        <v>23</v>
      </c>
      <c r="AK87" s="86">
        <f t="shared" si="54"/>
        <v>24</v>
      </c>
      <c r="AL87" s="3">
        <f t="shared" si="54"/>
        <v>25</v>
      </c>
      <c r="AM87" s="3">
        <f t="shared" si="54"/>
        <v>26</v>
      </c>
      <c r="AN87" s="3">
        <f t="shared" si="52"/>
        <v>27</v>
      </c>
      <c r="AO87" s="3">
        <f t="shared" si="52"/>
        <v>28</v>
      </c>
      <c r="AP87" s="3">
        <f t="shared" si="52"/>
        <v>29</v>
      </c>
      <c r="AQ87" s="3">
        <f t="shared" si="52"/>
        <v>30</v>
      </c>
      <c r="AR87" s="3">
        <f t="shared" si="52"/>
        <v>31</v>
      </c>
      <c r="AS87" s="4"/>
      <c r="AT87" s="4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5"/>
      <c r="DB87" s="5"/>
      <c r="DC87" s="5"/>
      <c r="DD87" s="5"/>
    </row>
    <row r="88" spans="1:108" ht="15" customHeight="1" x14ac:dyDescent="0.25">
      <c r="B88" s="139">
        <v>14</v>
      </c>
      <c r="C88" s="139">
        <v>4</v>
      </c>
      <c r="D88" s="139" t="str">
        <f t="shared" si="48"/>
        <v>SUPPLY_WEST_L_2_24</v>
      </c>
      <c r="E88" s="139" t="s">
        <v>0</v>
      </c>
      <c r="F88" s="142" t="s">
        <v>0</v>
      </c>
      <c r="G88" s="140" t="s">
        <v>19</v>
      </c>
      <c r="H88" s="140" t="s">
        <v>13</v>
      </c>
      <c r="I88" s="140">
        <v>2</v>
      </c>
      <c r="J88" s="143"/>
      <c r="K88" s="184">
        <f>COUNT(AK88:CF88)</f>
        <v>10</v>
      </c>
      <c r="L88" s="140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101"/>
      <c r="AD88" s="101"/>
      <c r="AE88" s="42"/>
      <c r="AF88" s="46"/>
      <c r="AG88" s="46"/>
      <c r="AH88" s="46"/>
      <c r="AI88" s="46"/>
      <c r="AJ88" s="57"/>
      <c r="AK88" s="86">
        <v>1</v>
      </c>
      <c r="AL88" s="86">
        <f>AK88+1</f>
        <v>2</v>
      </c>
      <c r="AM88" s="86">
        <f t="shared" si="54"/>
        <v>3</v>
      </c>
      <c r="AN88" s="86">
        <f t="shared" si="52"/>
        <v>4</v>
      </c>
      <c r="AO88" s="86">
        <f t="shared" si="52"/>
        <v>5</v>
      </c>
      <c r="AP88" s="86">
        <f t="shared" si="52"/>
        <v>6</v>
      </c>
      <c r="AQ88" s="86">
        <f t="shared" si="52"/>
        <v>7</v>
      </c>
      <c r="AR88" s="86">
        <f t="shared" si="52"/>
        <v>8</v>
      </c>
      <c r="AS88" s="86">
        <f t="shared" si="52"/>
        <v>9</v>
      </c>
      <c r="AT88" s="86">
        <f t="shared" si="52"/>
        <v>10</v>
      </c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97"/>
      <c r="BI88" s="4"/>
      <c r="BJ88" s="4"/>
      <c r="BK88" s="4"/>
      <c r="BL88" s="4"/>
      <c r="BM88" s="4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5"/>
      <c r="DB88" s="5"/>
      <c r="DC88" s="5"/>
      <c r="DD88" s="5"/>
    </row>
    <row r="89" spans="1:108" ht="15" customHeight="1" x14ac:dyDescent="0.25">
      <c r="B89" s="139">
        <v>14</v>
      </c>
      <c r="C89" s="140">
        <v>5</v>
      </c>
      <c r="D89" s="139" t="str">
        <f t="shared" si="48"/>
        <v>EMPTY_WEST_L_2_24</v>
      </c>
      <c r="E89" s="140" t="s">
        <v>0</v>
      </c>
      <c r="F89" s="142" t="s">
        <v>32</v>
      </c>
      <c r="G89" s="140" t="s">
        <v>19</v>
      </c>
      <c r="H89" s="140" t="s">
        <v>13</v>
      </c>
      <c r="I89" s="140">
        <v>2</v>
      </c>
      <c r="J89" s="139"/>
      <c r="K89" s="184">
        <f>COUNT(AK89:CF89)</f>
        <v>28</v>
      </c>
      <c r="L89" s="139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101"/>
      <c r="AD89" s="101"/>
      <c r="AE89" s="42"/>
      <c r="AF89" s="46"/>
      <c r="AG89" s="46"/>
      <c r="AH89" s="46"/>
      <c r="AI89" s="46"/>
      <c r="AJ89" s="57"/>
      <c r="AK89" s="86">
        <v>1</v>
      </c>
      <c r="AL89" s="86">
        <f>AK89+1</f>
        <v>2</v>
      </c>
      <c r="AM89" s="86">
        <f t="shared" si="54"/>
        <v>3</v>
      </c>
      <c r="AN89" s="86">
        <f t="shared" si="52"/>
        <v>4</v>
      </c>
      <c r="AO89" s="86">
        <f t="shared" si="52"/>
        <v>5</v>
      </c>
      <c r="AP89" s="86">
        <f t="shared" si="52"/>
        <v>6</v>
      </c>
      <c r="AQ89" s="86">
        <f t="shared" si="52"/>
        <v>7</v>
      </c>
      <c r="AR89" s="86">
        <f t="shared" si="52"/>
        <v>8</v>
      </c>
      <c r="AS89" s="86">
        <f t="shared" si="52"/>
        <v>9</v>
      </c>
      <c r="AT89" s="86">
        <f t="shared" si="52"/>
        <v>10</v>
      </c>
      <c r="AU89" s="86">
        <f t="shared" si="52"/>
        <v>11</v>
      </c>
      <c r="AV89" s="86">
        <f t="shared" si="52"/>
        <v>12</v>
      </c>
      <c r="AW89" s="86">
        <f t="shared" ref="AW89:BM89" si="55">AV89+1</f>
        <v>13</v>
      </c>
      <c r="AX89" s="86">
        <f t="shared" si="55"/>
        <v>14</v>
      </c>
      <c r="AY89" s="86">
        <f t="shared" si="55"/>
        <v>15</v>
      </c>
      <c r="AZ89" s="86">
        <f t="shared" si="55"/>
        <v>16</v>
      </c>
      <c r="BA89" s="86">
        <f t="shared" si="55"/>
        <v>17</v>
      </c>
      <c r="BB89" s="86"/>
      <c r="BC89" s="86">
        <f>BA89+1</f>
        <v>18</v>
      </c>
      <c r="BD89" s="86">
        <f t="shared" si="55"/>
        <v>19</v>
      </c>
      <c r="BE89" s="86">
        <f t="shared" si="55"/>
        <v>20</v>
      </c>
      <c r="BF89" s="86">
        <f t="shared" si="55"/>
        <v>21</v>
      </c>
      <c r="BG89" s="86">
        <f t="shared" si="55"/>
        <v>22</v>
      </c>
      <c r="BH89" s="86">
        <f t="shared" si="55"/>
        <v>23</v>
      </c>
      <c r="BI89" s="86">
        <f t="shared" si="55"/>
        <v>24</v>
      </c>
      <c r="BJ89" s="86">
        <f t="shared" si="55"/>
        <v>25</v>
      </c>
      <c r="BK89" s="86">
        <f t="shared" si="55"/>
        <v>26</v>
      </c>
      <c r="BL89" s="86">
        <f t="shared" si="55"/>
        <v>27</v>
      </c>
      <c r="BM89" s="86">
        <f t="shared" si="55"/>
        <v>28</v>
      </c>
      <c r="BN89" s="46"/>
      <c r="BO89" s="4"/>
      <c r="BP89" s="4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5"/>
      <c r="DB89" s="5"/>
      <c r="DC89" s="5"/>
      <c r="DD89" s="5"/>
    </row>
    <row r="90" spans="1:108" ht="15" customHeight="1" x14ac:dyDescent="0.25">
      <c r="B90" s="139">
        <v>14</v>
      </c>
      <c r="C90" s="140">
        <v>6</v>
      </c>
      <c r="D90" s="139" t="str">
        <f t="shared" si="48"/>
        <v>COUNTDOWN_WEST_L_2_24</v>
      </c>
      <c r="E90" s="140"/>
      <c r="F90" s="142" t="s">
        <v>33</v>
      </c>
      <c r="G90" s="140" t="s">
        <v>19</v>
      </c>
      <c r="H90" s="140" t="s">
        <v>13</v>
      </c>
      <c r="I90" s="140">
        <v>2</v>
      </c>
      <c r="J90" s="144"/>
      <c r="K90" s="144"/>
      <c r="L90" s="140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101"/>
      <c r="AD90" s="101"/>
      <c r="AE90" s="8"/>
      <c r="AF90" s="3"/>
      <c r="AG90" s="3"/>
      <c r="AH90" s="3"/>
      <c r="AI90" s="3"/>
      <c r="AJ90" s="31"/>
      <c r="AK90" s="132"/>
      <c r="AL90" s="132"/>
      <c r="AM90" s="132"/>
      <c r="AN90" s="6"/>
      <c r="AO90" s="46"/>
      <c r="AP90" s="46"/>
      <c r="AQ90" s="56"/>
      <c r="AR90" s="56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5"/>
      <c r="DB90" s="5"/>
      <c r="DC90" s="5"/>
      <c r="DD90" s="5"/>
    </row>
    <row r="91" spans="1:108" ht="15" customHeight="1" x14ac:dyDescent="0.25">
      <c r="B91" s="139">
        <v>16</v>
      </c>
      <c r="C91" s="139">
        <v>1</v>
      </c>
      <c r="D91" s="139" t="str">
        <f t="shared" si="48"/>
        <v>SORTING_WEST_N_1_24</v>
      </c>
      <c r="E91" s="139" t="s">
        <v>35</v>
      </c>
      <c r="F91" s="138" t="s">
        <v>45</v>
      </c>
      <c r="G91" s="140" t="s">
        <v>19</v>
      </c>
      <c r="H91" s="140" t="s">
        <v>15</v>
      </c>
      <c r="I91" s="140">
        <v>1</v>
      </c>
      <c r="J91" s="139"/>
      <c r="K91" s="184">
        <f>COUNT(AE91:BH91)</f>
        <v>11</v>
      </c>
      <c r="L91" s="139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101"/>
      <c r="AD91" s="101"/>
      <c r="AE91" s="8">
        <v>1</v>
      </c>
      <c r="AF91" s="3">
        <f>AE91+1</f>
        <v>2</v>
      </c>
      <c r="AG91" s="3">
        <f t="shared" ref="AG91:AV95" si="56">AF91+1</f>
        <v>3</v>
      </c>
      <c r="AH91" s="3">
        <f t="shared" si="56"/>
        <v>4</v>
      </c>
      <c r="AI91" s="3">
        <f t="shared" si="56"/>
        <v>5</v>
      </c>
      <c r="AJ91" s="31">
        <f t="shared" si="56"/>
        <v>6</v>
      </c>
      <c r="AK91" s="86">
        <f t="shared" si="56"/>
        <v>7</v>
      </c>
      <c r="AL91" s="3">
        <f t="shared" si="56"/>
        <v>8</v>
      </c>
      <c r="AM91" s="3">
        <f t="shared" si="56"/>
        <v>9</v>
      </c>
      <c r="AN91" s="3">
        <f t="shared" si="56"/>
        <v>10</v>
      </c>
      <c r="AO91" s="3">
        <f t="shared" si="56"/>
        <v>11</v>
      </c>
      <c r="AP91" s="4"/>
      <c r="AQ91" s="4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5"/>
      <c r="DB91" s="5"/>
      <c r="DC91" s="5"/>
      <c r="DD91" s="5"/>
    </row>
    <row r="92" spans="1:108" ht="15" customHeight="1" x14ac:dyDescent="0.25">
      <c r="B92" s="139">
        <v>16</v>
      </c>
      <c r="C92" s="139">
        <v>2</v>
      </c>
      <c r="D92" s="139" t="str">
        <f t="shared" si="48"/>
        <v>TRANSFER_WEST_N_1_24</v>
      </c>
      <c r="E92" s="139" t="s">
        <v>21</v>
      </c>
      <c r="F92" s="138" t="s">
        <v>21</v>
      </c>
      <c r="G92" s="140" t="s">
        <v>19</v>
      </c>
      <c r="H92" s="140" t="s">
        <v>15</v>
      </c>
      <c r="I92" s="140">
        <v>1</v>
      </c>
      <c r="J92" s="139"/>
      <c r="K92" s="184">
        <f>COUNT(AE92:BH92)</f>
        <v>13</v>
      </c>
      <c r="L92" s="139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101"/>
      <c r="AD92" s="101"/>
      <c r="AE92" s="8">
        <v>1</v>
      </c>
      <c r="AF92" s="3">
        <f>AE92+1</f>
        <v>2</v>
      </c>
      <c r="AG92" s="3">
        <f t="shared" si="56"/>
        <v>3</v>
      </c>
      <c r="AH92" s="3">
        <f t="shared" si="56"/>
        <v>4</v>
      </c>
      <c r="AI92" s="3">
        <f t="shared" si="56"/>
        <v>5</v>
      </c>
      <c r="AJ92" s="31">
        <f t="shared" si="56"/>
        <v>6</v>
      </c>
      <c r="AK92" s="86">
        <f t="shared" si="56"/>
        <v>7</v>
      </c>
      <c r="AL92" s="3">
        <f t="shared" si="56"/>
        <v>8</v>
      </c>
      <c r="AM92" s="3">
        <f t="shared" si="56"/>
        <v>9</v>
      </c>
      <c r="AN92" s="3">
        <f t="shared" si="56"/>
        <v>10</v>
      </c>
      <c r="AO92" s="3">
        <f t="shared" si="56"/>
        <v>11</v>
      </c>
      <c r="AP92" s="3">
        <f t="shared" si="56"/>
        <v>12</v>
      </c>
      <c r="AQ92" s="3">
        <f t="shared" si="56"/>
        <v>13</v>
      </c>
      <c r="AR92" s="4"/>
      <c r="AS92" s="4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5"/>
      <c r="DB92" s="5"/>
      <c r="DC92" s="5"/>
      <c r="DD92" s="5"/>
    </row>
    <row r="93" spans="1:108" ht="15" customHeight="1" x14ac:dyDescent="0.25">
      <c r="B93" s="139">
        <v>16</v>
      </c>
      <c r="C93" s="139">
        <v>3</v>
      </c>
      <c r="D93" s="139" t="str">
        <f t="shared" si="48"/>
        <v>PREPARE_WEST_N_1_24</v>
      </c>
      <c r="E93" s="139" t="s">
        <v>0</v>
      </c>
      <c r="F93" s="138" t="s">
        <v>46</v>
      </c>
      <c r="G93" s="140" t="s">
        <v>19</v>
      </c>
      <c r="H93" s="140" t="s">
        <v>15</v>
      </c>
      <c r="I93" s="140">
        <v>1</v>
      </c>
      <c r="J93" s="141"/>
      <c r="K93" s="184">
        <f>COUNT(M93:BH93)</f>
        <v>33</v>
      </c>
      <c r="L93" s="139"/>
      <c r="M93" s="3">
        <v>1</v>
      </c>
      <c r="N93" s="3">
        <f>M93+1</f>
        <v>2</v>
      </c>
      <c r="O93" s="3">
        <f t="shared" ref="O93:AC93" si="57">N93+1</f>
        <v>3</v>
      </c>
      <c r="P93" s="3">
        <f t="shared" si="57"/>
        <v>4</v>
      </c>
      <c r="Q93" s="3">
        <f t="shared" si="57"/>
        <v>5</v>
      </c>
      <c r="R93" s="3">
        <f t="shared" si="57"/>
        <v>6</v>
      </c>
      <c r="S93" s="3">
        <f t="shared" si="57"/>
        <v>7</v>
      </c>
      <c r="T93" s="3">
        <f t="shared" si="57"/>
        <v>8</v>
      </c>
      <c r="U93" s="3">
        <f t="shared" si="57"/>
        <v>9</v>
      </c>
      <c r="V93" s="3">
        <f t="shared" si="57"/>
        <v>10</v>
      </c>
      <c r="W93" s="3">
        <f t="shared" si="57"/>
        <v>11</v>
      </c>
      <c r="X93" s="3">
        <f t="shared" si="57"/>
        <v>12</v>
      </c>
      <c r="Y93" s="3">
        <f t="shared" si="57"/>
        <v>13</v>
      </c>
      <c r="Z93" s="3">
        <f t="shared" si="57"/>
        <v>14</v>
      </c>
      <c r="AA93" s="3">
        <f t="shared" si="57"/>
        <v>15</v>
      </c>
      <c r="AB93" s="3">
        <f t="shared" si="57"/>
        <v>16</v>
      </c>
      <c r="AC93" s="30">
        <f t="shared" si="57"/>
        <v>17</v>
      </c>
      <c r="AD93" s="30"/>
      <c r="AE93" s="8">
        <f>AC93+1</f>
        <v>18</v>
      </c>
      <c r="AF93" s="3">
        <f t="shared" ref="AF93:AM95" si="58">AE93+1</f>
        <v>19</v>
      </c>
      <c r="AG93" s="3">
        <f t="shared" si="58"/>
        <v>20</v>
      </c>
      <c r="AH93" s="3">
        <f t="shared" si="58"/>
        <v>21</v>
      </c>
      <c r="AI93" s="3">
        <f t="shared" si="58"/>
        <v>22</v>
      </c>
      <c r="AJ93" s="31">
        <f t="shared" si="58"/>
        <v>23</v>
      </c>
      <c r="AK93" s="86">
        <f t="shared" si="58"/>
        <v>24</v>
      </c>
      <c r="AL93" s="3">
        <f t="shared" si="58"/>
        <v>25</v>
      </c>
      <c r="AM93" s="3">
        <f t="shared" si="58"/>
        <v>26</v>
      </c>
      <c r="AN93" s="3">
        <f t="shared" si="56"/>
        <v>27</v>
      </c>
      <c r="AO93" s="3">
        <f t="shared" si="56"/>
        <v>28</v>
      </c>
      <c r="AP93" s="3">
        <f t="shared" si="56"/>
        <v>29</v>
      </c>
      <c r="AQ93" s="3">
        <f t="shared" si="56"/>
        <v>30</v>
      </c>
      <c r="AR93" s="3">
        <f t="shared" si="56"/>
        <v>31</v>
      </c>
      <c r="AS93" s="3">
        <f t="shared" si="56"/>
        <v>32</v>
      </c>
      <c r="AT93" s="3">
        <f t="shared" si="56"/>
        <v>33</v>
      </c>
      <c r="AU93" s="4"/>
      <c r="AV93" s="4"/>
      <c r="AW93" s="4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5"/>
      <c r="DB93" s="5"/>
      <c r="DC93" s="5"/>
      <c r="DD93" s="5"/>
    </row>
    <row r="94" spans="1:108" ht="15" customHeight="1" x14ac:dyDescent="0.25">
      <c r="B94" s="139">
        <v>16</v>
      </c>
      <c r="C94" s="139">
        <v>4</v>
      </c>
      <c r="D94" s="139" t="str">
        <f t="shared" si="48"/>
        <v>SUPPLY_WEST_N_1_24</v>
      </c>
      <c r="E94" s="139" t="s">
        <v>0</v>
      </c>
      <c r="F94" s="142" t="s">
        <v>0</v>
      </c>
      <c r="G94" s="140" t="s">
        <v>19</v>
      </c>
      <c r="H94" s="140" t="s">
        <v>15</v>
      </c>
      <c r="I94" s="140">
        <v>1</v>
      </c>
      <c r="J94" s="143"/>
      <c r="K94" s="184">
        <f>COUNT(AK94:CF94)</f>
        <v>13</v>
      </c>
      <c r="L94" s="140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101"/>
      <c r="AD94" s="101"/>
      <c r="AE94" s="42"/>
      <c r="AF94" s="46"/>
      <c r="AG94" s="46"/>
      <c r="AH94" s="46"/>
      <c r="AI94" s="46"/>
      <c r="AJ94" s="57"/>
      <c r="AK94" s="86">
        <v>1</v>
      </c>
      <c r="AL94" s="86">
        <f>AK94+1</f>
        <v>2</v>
      </c>
      <c r="AM94" s="86">
        <f t="shared" si="58"/>
        <v>3</v>
      </c>
      <c r="AN94" s="86">
        <f t="shared" si="56"/>
        <v>4</v>
      </c>
      <c r="AO94" s="86">
        <f t="shared" si="56"/>
        <v>5</v>
      </c>
      <c r="AP94" s="86">
        <f t="shared" si="56"/>
        <v>6</v>
      </c>
      <c r="AQ94" s="86">
        <f t="shared" si="56"/>
        <v>7</v>
      </c>
      <c r="AR94" s="86">
        <f t="shared" si="56"/>
        <v>8</v>
      </c>
      <c r="AS94" s="86">
        <f t="shared" si="56"/>
        <v>9</v>
      </c>
      <c r="AT94" s="86">
        <f t="shared" si="56"/>
        <v>10</v>
      </c>
      <c r="AU94" s="86">
        <f t="shared" si="56"/>
        <v>11</v>
      </c>
      <c r="AV94" s="86">
        <f t="shared" si="56"/>
        <v>12</v>
      </c>
      <c r="AW94" s="86">
        <f t="shared" ref="AW94:BM95" si="59">AV94+1</f>
        <v>13</v>
      </c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97"/>
      <c r="BO94" s="4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5"/>
      <c r="DB94" s="5"/>
      <c r="DC94" s="5"/>
      <c r="DD94" s="5"/>
    </row>
    <row r="95" spans="1:108" ht="15" customHeight="1" x14ac:dyDescent="0.25">
      <c r="B95" s="139">
        <v>16</v>
      </c>
      <c r="C95" s="140">
        <v>5</v>
      </c>
      <c r="D95" s="139" t="str">
        <f t="shared" si="48"/>
        <v>EMPTY_WEST_N_1_24</v>
      </c>
      <c r="E95" s="140" t="s">
        <v>0</v>
      </c>
      <c r="F95" s="142" t="s">
        <v>32</v>
      </c>
      <c r="G95" s="140" t="s">
        <v>19</v>
      </c>
      <c r="H95" s="140" t="s">
        <v>15</v>
      </c>
      <c r="I95" s="140">
        <v>1</v>
      </c>
      <c r="J95" s="139"/>
      <c r="K95" s="184">
        <f>COUNT(AK95:CF95)</f>
        <v>30</v>
      </c>
      <c r="L95" s="139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101"/>
      <c r="AD95" s="101"/>
      <c r="AE95" s="42"/>
      <c r="AF95" s="46"/>
      <c r="AG95" s="46"/>
      <c r="AH95" s="46"/>
      <c r="AI95" s="46"/>
      <c r="AJ95" s="57"/>
      <c r="AK95" s="86">
        <v>1</v>
      </c>
      <c r="AL95" s="86">
        <f>AK95+1</f>
        <v>2</v>
      </c>
      <c r="AM95" s="86">
        <f t="shared" si="58"/>
        <v>3</v>
      </c>
      <c r="AN95" s="86">
        <f t="shared" si="56"/>
        <v>4</v>
      </c>
      <c r="AO95" s="86">
        <f t="shared" si="56"/>
        <v>5</v>
      </c>
      <c r="AP95" s="86">
        <f t="shared" si="56"/>
        <v>6</v>
      </c>
      <c r="AQ95" s="86">
        <f t="shared" si="56"/>
        <v>7</v>
      </c>
      <c r="AR95" s="86">
        <f t="shared" si="56"/>
        <v>8</v>
      </c>
      <c r="AS95" s="86">
        <f t="shared" si="56"/>
        <v>9</v>
      </c>
      <c r="AT95" s="86">
        <f t="shared" si="56"/>
        <v>10</v>
      </c>
      <c r="AU95" s="86">
        <f t="shared" si="56"/>
        <v>11</v>
      </c>
      <c r="AV95" s="86">
        <f t="shared" si="56"/>
        <v>12</v>
      </c>
      <c r="AW95" s="86">
        <f t="shared" si="59"/>
        <v>13</v>
      </c>
      <c r="AX95" s="86">
        <f t="shared" si="59"/>
        <v>14</v>
      </c>
      <c r="AY95" s="86">
        <f t="shared" si="59"/>
        <v>15</v>
      </c>
      <c r="AZ95" s="86">
        <f t="shared" si="59"/>
        <v>16</v>
      </c>
      <c r="BA95" s="86">
        <f t="shared" si="59"/>
        <v>17</v>
      </c>
      <c r="BB95" s="86"/>
      <c r="BC95" s="86">
        <f>BA95+1</f>
        <v>18</v>
      </c>
      <c r="BD95" s="86">
        <f t="shared" si="59"/>
        <v>19</v>
      </c>
      <c r="BE95" s="86">
        <f t="shared" si="59"/>
        <v>20</v>
      </c>
      <c r="BF95" s="86">
        <f t="shared" si="59"/>
        <v>21</v>
      </c>
      <c r="BG95" s="86">
        <f t="shared" si="59"/>
        <v>22</v>
      </c>
      <c r="BH95" s="86">
        <f t="shared" si="59"/>
        <v>23</v>
      </c>
      <c r="BI95" s="86">
        <f t="shared" si="59"/>
        <v>24</v>
      </c>
      <c r="BJ95" s="86">
        <f t="shared" si="59"/>
        <v>25</v>
      </c>
      <c r="BK95" s="86">
        <f t="shared" si="59"/>
        <v>26</v>
      </c>
      <c r="BL95" s="86">
        <f t="shared" si="59"/>
        <v>27</v>
      </c>
      <c r="BM95" s="86">
        <f t="shared" si="59"/>
        <v>28</v>
      </c>
      <c r="BN95" s="86">
        <f t="shared" ref="BN95:BO95" si="60">BM95+1</f>
        <v>29</v>
      </c>
      <c r="BO95" s="86">
        <f t="shared" si="60"/>
        <v>30</v>
      </c>
      <c r="BP95" s="46"/>
      <c r="BQ95" s="4"/>
      <c r="BR95" s="4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5"/>
      <c r="DB95" s="5"/>
      <c r="DC95" s="5"/>
      <c r="DD95" s="5"/>
    </row>
    <row r="96" spans="1:108" ht="15" customHeight="1" x14ac:dyDescent="0.25">
      <c r="B96" s="139">
        <v>16</v>
      </c>
      <c r="C96" s="140">
        <v>6</v>
      </c>
      <c r="D96" s="139" t="str">
        <f t="shared" si="48"/>
        <v>COUNTDOWN_WEST_N_1_24</v>
      </c>
      <c r="E96" s="140"/>
      <c r="F96" s="142" t="s">
        <v>33</v>
      </c>
      <c r="G96" s="140" t="s">
        <v>19</v>
      </c>
      <c r="H96" s="140" t="s">
        <v>15</v>
      </c>
      <c r="I96" s="140">
        <v>1</v>
      </c>
      <c r="J96" s="144"/>
      <c r="K96" s="144"/>
      <c r="L96" s="140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101"/>
      <c r="AD96" s="101"/>
      <c r="AE96" s="42"/>
      <c r="AF96" s="46"/>
      <c r="AG96" s="46"/>
      <c r="AH96" s="46"/>
      <c r="AI96" s="46"/>
      <c r="AJ96" s="57"/>
      <c r="AK96" s="133"/>
      <c r="AL96" s="133"/>
      <c r="AM96" s="133"/>
      <c r="AN96" s="46"/>
      <c r="AO96" s="46"/>
      <c r="AP96" s="46"/>
      <c r="AQ96" s="6"/>
      <c r="AR96" s="6"/>
      <c r="AS96" s="46"/>
      <c r="AT96" s="46"/>
      <c r="AU96" s="56"/>
      <c r="AV96" s="56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5"/>
      <c r="DB96" s="5"/>
      <c r="DC96" s="5"/>
      <c r="DD96" s="5"/>
    </row>
    <row r="97" spans="1:108" ht="15" customHeight="1" x14ac:dyDescent="0.25">
      <c r="B97" s="139">
        <v>17</v>
      </c>
      <c r="C97" s="139">
        <v>1</v>
      </c>
      <c r="D97" s="139" t="str">
        <f t="shared" si="48"/>
        <v>SORTING_WEST_J_2_24</v>
      </c>
      <c r="E97" s="139" t="s">
        <v>35</v>
      </c>
      <c r="F97" s="138" t="s">
        <v>45</v>
      </c>
      <c r="G97" s="140" t="s">
        <v>19</v>
      </c>
      <c r="H97" s="140" t="s">
        <v>11</v>
      </c>
      <c r="I97" s="140">
        <v>2</v>
      </c>
      <c r="J97" s="139"/>
      <c r="K97" s="184">
        <f>COUNT(AE97:BH97)</f>
        <v>13</v>
      </c>
      <c r="L97" s="139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101"/>
      <c r="AD97" s="101"/>
      <c r="AE97" s="8">
        <v>1</v>
      </c>
      <c r="AF97" s="3">
        <f>AE97+1</f>
        <v>2</v>
      </c>
      <c r="AG97" s="3">
        <f t="shared" ref="AG97:AS98" si="61">AF97+1</f>
        <v>3</v>
      </c>
      <c r="AH97" s="3">
        <f t="shared" si="61"/>
        <v>4</v>
      </c>
      <c r="AI97" s="3">
        <f t="shared" si="61"/>
        <v>5</v>
      </c>
      <c r="AJ97" s="31">
        <f t="shared" si="61"/>
        <v>6</v>
      </c>
      <c r="AK97" s="86">
        <f t="shared" si="61"/>
        <v>7</v>
      </c>
      <c r="AL97" s="3">
        <f t="shared" si="61"/>
        <v>8</v>
      </c>
      <c r="AM97" s="3">
        <f t="shared" si="61"/>
        <v>9</v>
      </c>
      <c r="AN97" s="3">
        <f t="shared" si="61"/>
        <v>10</v>
      </c>
      <c r="AO97" s="3">
        <f t="shared" si="61"/>
        <v>11</v>
      </c>
      <c r="AP97" s="3">
        <f t="shared" si="61"/>
        <v>12</v>
      </c>
      <c r="AQ97" s="3">
        <f t="shared" si="61"/>
        <v>13</v>
      </c>
      <c r="AR97" s="4"/>
      <c r="AS97" s="4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5"/>
      <c r="DB97" s="5"/>
      <c r="DC97" s="5"/>
      <c r="DD97" s="5"/>
    </row>
    <row r="98" spans="1:108" ht="15" customHeight="1" x14ac:dyDescent="0.25">
      <c r="B98" s="139">
        <v>17</v>
      </c>
      <c r="C98" s="139">
        <v>2</v>
      </c>
      <c r="D98" s="139" t="str">
        <f t="shared" si="48"/>
        <v>TRANSFER_WEST_J_2_24</v>
      </c>
      <c r="E98" s="139" t="s">
        <v>21</v>
      </c>
      <c r="F98" s="138" t="s">
        <v>21</v>
      </c>
      <c r="G98" s="140" t="s">
        <v>19</v>
      </c>
      <c r="H98" s="140" t="s">
        <v>11</v>
      </c>
      <c r="I98" s="140">
        <v>2</v>
      </c>
      <c r="J98" s="139"/>
      <c r="K98" s="184">
        <f>COUNT(AE98:BH98)</f>
        <v>15</v>
      </c>
      <c r="L98" s="139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101"/>
      <c r="AD98" s="101"/>
      <c r="AE98" s="8">
        <v>1</v>
      </c>
      <c r="AF98" s="3">
        <f>AE98+1</f>
        <v>2</v>
      </c>
      <c r="AG98" s="3">
        <f t="shared" si="61"/>
        <v>3</v>
      </c>
      <c r="AH98" s="3">
        <f t="shared" si="61"/>
        <v>4</v>
      </c>
      <c r="AI98" s="3">
        <f t="shared" si="61"/>
        <v>5</v>
      </c>
      <c r="AJ98" s="31">
        <f t="shared" si="61"/>
        <v>6</v>
      </c>
      <c r="AK98" s="86">
        <f t="shared" si="61"/>
        <v>7</v>
      </c>
      <c r="AL98" s="3">
        <f t="shared" si="61"/>
        <v>8</v>
      </c>
      <c r="AM98" s="3">
        <f t="shared" si="61"/>
        <v>9</v>
      </c>
      <c r="AN98" s="3">
        <f t="shared" si="61"/>
        <v>10</v>
      </c>
      <c r="AO98" s="3">
        <f t="shared" si="61"/>
        <v>11</v>
      </c>
      <c r="AP98" s="3">
        <f t="shared" si="61"/>
        <v>12</v>
      </c>
      <c r="AQ98" s="3">
        <f t="shared" si="61"/>
        <v>13</v>
      </c>
      <c r="AR98" s="3">
        <f t="shared" si="61"/>
        <v>14</v>
      </c>
      <c r="AS98" s="3">
        <f t="shared" si="61"/>
        <v>15</v>
      </c>
      <c r="AT98" s="4"/>
      <c r="AU98" s="4"/>
      <c r="AV98" s="4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5"/>
      <c r="DB98" s="5"/>
      <c r="DC98" s="5"/>
      <c r="DD98" s="5"/>
    </row>
    <row r="99" spans="1:108" ht="15" customHeight="1" x14ac:dyDescent="0.25">
      <c r="B99" s="139">
        <v>17</v>
      </c>
      <c r="C99" s="139">
        <v>3</v>
      </c>
      <c r="D99" s="139" t="str">
        <f t="shared" si="48"/>
        <v>PREPARE_WEST_J_2_24</v>
      </c>
      <c r="E99" s="139" t="s">
        <v>0</v>
      </c>
      <c r="F99" s="138" t="s">
        <v>46</v>
      </c>
      <c r="G99" s="140" t="s">
        <v>19</v>
      </c>
      <c r="H99" s="140" t="s">
        <v>11</v>
      </c>
      <c r="I99" s="140">
        <v>2</v>
      </c>
      <c r="J99" s="141"/>
      <c r="K99" s="184">
        <f>COUNT(M99:BH99)</f>
        <v>36</v>
      </c>
      <c r="L99" s="139"/>
      <c r="M99" s="3">
        <v>1</v>
      </c>
      <c r="N99" s="3">
        <f>M99+1</f>
        <v>2</v>
      </c>
      <c r="O99" s="3">
        <f t="shared" ref="O99:AC99" si="62">N99+1</f>
        <v>3</v>
      </c>
      <c r="P99" s="3">
        <f t="shared" si="62"/>
        <v>4</v>
      </c>
      <c r="Q99" s="3">
        <f t="shared" si="62"/>
        <v>5</v>
      </c>
      <c r="R99" s="3">
        <f t="shared" si="62"/>
        <v>6</v>
      </c>
      <c r="S99" s="3">
        <f t="shared" si="62"/>
        <v>7</v>
      </c>
      <c r="T99" s="3">
        <f t="shared" si="62"/>
        <v>8</v>
      </c>
      <c r="U99" s="3">
        <f t="shared" si="62"/>
        <v>9</v>
      </c>
      <c r="V99" s="3">
        <f t="shared" si="62"/>
        <v>10</v>
      </c>
      <c r="W99" s="3">
        <f t="shared" si="62"/>
        <v>11</v>
      </c>
      <c r="X99" s="3">
        <f t="shared" si="62"/>
        <v>12</v>
      </c>
      <c r="Y99" s="3">
        <f t="shared" si="62"/>
        <v>13</v>
      </c>
      <c r="Z99" s="3">
        <f t="shared" si="62"/>
        <v>14</v>
      </c>
      <c r="AA99" s="3">
        <f t="shared" si="62"/>
        <v>15</v>
      </c>
      <c r="AB99" s="3">
        <f t="shared" si="62"/>
        <v>16</v>
      </c>
      <c r="AC99" s="30">
        <f t="shared" si="62"/>
        <v>17</v>
      </c>
      <c r="AD99" s="30"/>
      <c r="AE99" s="8">
        <f>AC99+1</f>
        <v>18</v>
      </c>
      <c r="AF99" s="3">
        <f t="shared" ref="AF99:AU99" si="63">AE99+1</f>
        <v>19</v>
      </c>
      <c r="AG99" s="3">
        <f t="shared" si="63"/>
        <v>20</v>
      </c>
      <c r="AH99" s="3">
        <f t="shared" si="63"/>
        <v>21</v>
      </c>
      <c r="AI99" s="3">
        <f t="shared" si="63"/>
        <v>22</v>
      </c>
      <c r="AJ99" s="31">
        <f t="shared" si="63"/>
        <v>23</v>
      </c>
      <c r="AK99" s="86">
        <f t="shared" si="63"/>
        <v>24</v>
      </c>
      <c r="AL99" s="3">
        <f t="shared" si="63"/>
        <v>25</v>
      </c>
      <c r="AM99" s="3">
        <f t="shared" si="63"/>
        <v>26</v>
      </c>
      <c r="AN99" s="3">
        <f t="shared" si="63"/>
        <v>27</v>
      </c>
      <c r="AO99" s="3">
        <f t="shared" si="63"/>
        <v>28</v>
      </c>
      <c r="AP99" s="3">
        <f t="shared" si="63"/>
        <v>29</v>
      </c>
      <c r="AQ99" s="3">
        <f t="shared" si="63"/>
        <v>30</v>
      </c>
      <c r="AR99" s="3">
        <f t="shared" si="63"/>
        <v>31</v>
      </c>
      <c r="AS99" s="3">
        <f t="shared" si="63"/>
        <v>32</v>
      </c>
      <c r="AT99" s="3">
        <f t="shared" si="63"/>
        <v>33</v>
      </c>
      <c r="AU99" s="3">
        <f t="shared" si="63"/>
        <v>34</v>
      </c>
      <c r="AV99" s="3">
        <f t="shared" ref="AM99:BA101" si="64">AU99+1</f>
        <v>35</v>
      </c>
      <c r="AW99" s="3">
        <f t="shared" si="64"/>
        <v>36</v>
      </c>
      <c r="AX99" s="4"/>
      <c r="AY99" s="4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5"/>
      <c r="DB99" s="5"/>
      <c r="DC99" s="5"/>
      <c r="DD99" s="5"/>
    </row>
    <row r="100" spans="1:108" ht="15" customHeight="1" x14ac:dyDescent="0.25">
      <c r="B100" s="139">
        <v>17</v>
      </c>
      <c r="C100" s="139">
        <v>4</v>
      </c>
      <c r="D100" s="139" t="str">
        <f t="shared" si="48"/>
        <v>SUPPLY_WEST_J_2_24</v>
      </c>
      <c r="E100" s="139" t="s">
        <v>0</v>
      </c>
      <c r="F100" s="142" t="s">
        <v>0</v>
      </c>
      <c r="G100" s="140" t="s">
        <v>19</v>
      </c>
      <c r="H100" s="140" t="s">
        <v>11</v>
      </c>
      <c r="I100" s="140">
        <v>2</v>
      </c>
      <c r="J100" s="143"/>
      <c r="K100" s="184">
        <f>COUNT(AK100:CF100)</f>
        <v>15</v>
      </c>
      <c r="L100" s="140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101"/>
      <c r="AD100" s="101"/>
      <c r="AE100" s="42"/>
      <c r="AF100" s="46"/>
      <c r="AG100" s="46"/>
      <c r="AH100" s="46"/>
      <c r="AI100" s="46"/>
      <c r="AJ100" s="57"/>
      <c r="AK100" s="86">
        <v>1</v>
      </c>
      <c r="AL100" s="86">
        <f>AK100+1</f>
        <v>2</v>
      </c>
      <c r="AM100" s="86">
        <f t="shared" si="64"/>
        <v>3</v>
      </c>
      <c r="AN100" s="86">
        <f t="shared" si="64"/>
        <v>4</v>
      </c>
      <c r="AO100" s="86">
        <f t="shared" si="64"/>
        <v>5</v>
      </c>
      <c r="AP100" s="86">
        <f t="shared" si="64"/>
        <v>6</v>
      </c>
      <c r="AQ100" s="86">
        <f t="shared" si="64"/>
        <v>7</v>
      </c>
      <c r="AR100" s="86">
        <f t="shared" si="64"/>
        <v>8</v>
      </c>
      <c r="AS100" s="86">
        <f t="shared" si="64"/>
        <v>9</v>
      </c>
      <c r="AT100" s="86">
        <f t="shared" si="64"/>
        <v>10</v>
      </c>
      <c r="AU100" s="86">
        <f t="shared" si="64"/>
        <v>11</v>
      </c>
      <c r="AV100" s="86">
        <f t="shared" si="64"/>
        <v>12</v>
      </c>
      <c r="AW100" s="86">
        <f t="shared" si="64"/>
        <v>13</v>
      </c>
      <c r="AX100" s="86">
        <f t="shared" si="64"/>
        <v>14</v>
      </c>
      <c r="AY100" s="86">
        <f t="shared" si="64"/>
        <v>15</v>
      </c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97"/>
      <c r="BQ100" s="4"/>
      <c r="BR100" s="4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5"/>
      <c r="DB100" s="5"/>
      <c r="DC100" s="5"/>
      <c r="DD100" s="5"/>
    </row>
    <row r="101" spans="1:108" ht="15" customHeight="1" x14ac:dyDescent="0.25">
      <c r="B101" s="139">
        <v>17</v>
      </c>
      <c r="C101" s="140">
        <v>5</v>
      </c>
      <c r="D101" s="139" t="str">
        <f t="shared" si="48"/>
        <v>EMPTY_WEST_J_2_24</v>
      </c>
      <c r="E101" s="140" t="s">
        <v>0</v>
      </c>
      <c r="F101" s="142" t="s">
        <v>32</v>
      </c>
      <c r="G101" s="140" t="s">
        <v>19</v>
      </c>
      <c r="H101" s="140" t="s">
        <v>11</v>
      </c>
      <c r="I101" s="140">
        <v>2</v>
      </c>
      <c r="J101" s="139"/>
      <c r="K101" s="184">
        <f>COUNT(AK101:CF101)</f>
        <v>33</v>
      </c>
      <c r="L101" s="139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101"/>
      <c r="AD101" s="101"/>
      <c r="AE101" s="42"/>
      <c r="AF101" s="46"/>
      <c r="AG101" s="46"/>
      <c r="AH101" s="46"/>
      <c r="AI101" s="46"/>
      <c r="AJ101" s="57"/>
      <c r="AK101" s="86">
        <v>1</v>
      </c>
      <c r="AL101" s="86">
        <f>AK101+1</f>
        <v>2</v>
      </c>
      <c r="AM101" s="86">
        <f t="shared" si="64"/>
        <v>3</v>
      </c>
      <c r="AN101" s="86">
        <f t="shared" si="64"/>
        <v>4</v>
      </c>
      <c r="AO101" s="86">
        <f t="shared" si="64"/>
        <v>5</v>
      </c>
      <c r="AP101" s="86">
        <f t="shared" si="64"/>
        <v>6</v>
      </c>
      <c r="AQ101" s="86">
        <f t="shared" si="64"/>
        <v>7</v>
      </c>
      <c r="AR101" s="86">
        <f t="shared" si="64"/>
        <v>8</v>
      </c>
      <c r="AS101" s="86">
        <f t="shared" si="64"/>
        <v>9</v>
      </c>
      <c r="AT101" s="86">
        <f t="shared" si="64"/>
        <v>10</v>
      </c>
      <c r="AU101" s="86">
        <f t="shared" si="64"/>
        <v>11</v>
      </c>
      <c r="AV101" s="86">
        <f t="shared" si="64"/>
        <v>12</v>
      </c>
      <c r="AW101" s="86">
        <f t="shared" si="64"/>
        <v>13</v>
      </c>
      <c r="AX101" s="86">
        <f t="shared" si="64"/>
        <v>14</v>
      </c>
      <c r="AY101" s="86">
        <f t="shared" si="64"/>
        <v>15</v>
      </c>
      <c r="AZ101" s="86">
        <f t="shared" si="64"/>
        <v>16</v>
      </c>
      <c r="BA101" s="86">
        <f t="shared" si="64"/>
        <v>17</v>
      </c>
      <c r="BB101" s="86"/>
      <c r="BC101" s="86">
        <f>BA101+1</f>
        <v>18</v>
      </c>
      <c r="BD101" s="86">
        <f t="shared" ref="BD101:BR101" si="65">BC101+1</f>
        <v>19</v>
      </c>
      <c r="BE101" s="86">
        <f t="shared" si="65"/>
        <v>20</v>
      </c>
      <c r="BF101" s="86">
        <f t="shared" si="65"/>
        <v>21</v>
      </c>
      <c r="BG101" s="86">
        <f t="shared" si="65"/>
        <v>22</v>
      </c>
      <c r="BH101" s="86">
        <f t="shared" si="65"/>
        <v>23</v>
      </c>
      <c r="BI101" s="86">
        <f t="shared" si="65"/>
        <v>24</v>
      </c>
      <c r="BJ101" s="86">
        <f t="shared" si="65"/>
        <v>25</v>
      </c>
      <c r="BK101" s="86">
        <f t="shared" si="65"/>
        <v>26</v>
      </c>
      <c r="BL101" s="86">
        <f t="shared" si="65"/>
        <v>27</v>
      </c>
      <c r="BM101" s="86">
        <f t="shared" si="65"/>
        <v>28</v>
      </c>
      <c r="BN101" s="86">
        <f t="shared" si="65"/>
        <v>29</v>
      </c>
      <c r="BO101" s="86">
        <f t="shared" si="65"/>
        <v>30</v>
      </c>
      <c r="BP101" s="86">
        <f t="shared" si="65"/>
        <v>31</v>
      </c>
      <c r="BQ101" s="86">
        <f t="shared" si="65"/>
        <v>32</v>
      </c>
      <c r="BR101" s="86">
        <f t="shared" si="65"/>
        <v>33</v>
      </c>
      <c r="BS101" s="46"/>
      <c r="BT101" s="4"/>
      <c r="BU101" s="4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5"/>
      <c r="DB101" s="5"/>
      <c r="DC101" s="5"/>
      <c r="DD101" s="5"/>
    </row>
    <row r="102" spans="1:108" ht="15" customHeight="1" x14ac:dyDescent="0.25">
      <c r="B102" s="139">
        <v>17</v>
      </c>
      <c r="C102" s="140">
        <v>6</v>
      </c>
      <c r="D102" s="139" t="str">
        <f t="shared" si="48"/>
        <v>COUNTDOWN_WEST_J_2_24</v>
      </c>
      <c r="E102" s="140"/>
      <c r="F102" s="142" t="s">
        <v>33</v>
      </c>
      <c r="G102" s="140" t="s">
        <v>19</v>
      </c>
      <c r="H102" s="140" t="s">
        <v>11</v>
      </c>
      <c r="I102" s="140">
        <v>2</v>
      </c>
      <c r="J102" s="144"/>
      <c r="K102" s="144"/>
      <c r="L102" s="140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101"/>
      <c r="AD102" s="101"/>
      <c r="AE102" s="8"/>
      <c r="AF102" s="3"/>
      <c r="AG102" s="3"/>
      <c r="AH102" s="3"/>
      <c r="AI102" s="3"/>
      <c r="AJ102" s="31"/>
      <c r="AK102" s="86"/>
      <c r="AL102" s="86"/>
      <c r="AM102" s="86"/>
      <c r="AN102" s="3"/>
      <c r="AO102" s="3"/>
      <c r="AP102" s="3"/>
      <c r="AQ102" s="3"/>
      <c r="AR102" s="3"/>
      <c r="AS102" s="6"/>
      <c r="AT102" s="6"/>
      <c r="AU102" s="46"/>
      <c r="AV102" s="46"/>
      <c r="AW102" s="56"/>
      <c r="AX102" s="56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5"/>
      <c r="DB102" s="5"/>
      <c r="DC102" s="5"/>
      <c r="DD102" s="5"/>
    </row>
    <row r="103" spans="1:108" ht="15" customHeight="1" x14ac:dyDescent="0.25">
      <c r="B103" s="139">
        <v>18</v>
      </c>
      <c r="C103" s="139">
        <v>1</v>
      </c>
      <c r="D103" s="139" t="str">
        <f t="shared" si="48"/>
        <v>SORTING_WEST_Q_1_24</v>
      </c>
      <c r="E103" s="139" t="s">
        <v>35</v>
      </c>
      <c r="F103" s="138" t="s">
        <v>45</v>
      </c>
      <c r="G103" s="140" t="s">
        <v>19</v>
      </c>
      <c r="H103" s="140" t="s">
        <v>59</v>
      </c>
      <c r="I103" s="140">
        <v>1</v>
      </c>
      <c r="J103" s="143"/>
      <c r="K103" s="184">
        <f>COUNT(AE103:BH103)</f>
        <v>15</v>
      </c>
      <c r="L103" s="140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101"/>
      <c r="AD103" s="101"/>
      <c r="AE103" s="8">
        <v>1</v>
      </c>
      <c r="AF103" s="3">
        <f>AE103+1</f>
        <v>2</v>
      </c>
      <c r="AG103" s="3">
        <f t="shared" ref="AG103:AV105" si="66">AF103+1</f>
        <v>3</v>
      </c>
      <c r="AH103" s="3">
        <f t="shared" si="66"/>
        <v>4</v>
      </c>
      <c r="AI103" s="3">
        <f t="shared" si="66"/>
        <v>5</v>
      </c>
      <c r="AJ103" s="31">
        <f t="shared" si="66"/>
        <v>6</v>
      </c>
      <c r="AK103" s="86">
        <f t="shared" si="66"/>
        <v>7</v>
      </c>
      <c r="AL103" s="3">
        <f t="shared" si="66"/>
        <v>8</v>
      </c>
      <c r="AM103" s="3">
        <f t="shared" si="66"/>
        <v>9</v>
      </c>
      <c r="AN103" s="3">
        <f t="shared" si="66"/>
        <v>10</v>
      </c>
      <c r="AO103" s="3">
        <f t="shared" si="66"/>
        <v>11</v>
      </c>
      <c r="AP103" s="3">
        <f t="shared" si="66"/>
        <v>12</v>
      </c>
      <c r="AQ103" s="3">
        <f t="shared" si="66"/>
        <v>13</v>
      </c>
      <c r="AR103" s="3">
        <f t="shared" si="66"/>
        <v>14</v>
      </c>
      <c r="AS103" s="3">
        <f t="shared" si="66"/>
        <v>15</v>
      </c>
      <c r="AT103" s="4"/>
      <c r="AU103" s="4"/>
      <c r="AV103" s="4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5"/>
      <c r="DB103" s="5"/>
      <c r="DC103" s="5"/>
      <c r="DD103" s="5"/>
    </row>
    <row r="104" spans="1:108" ht="15" customHeight="1" x14ac:dyDescent="0.25">
      <c r="B104" s="139">
        <v>18</v>
      </c>
      <c r="C104" s="139">
        <v>2</v>
      </c>
      <c r="D104" s="139" t="str">
        <f t="shared" si="48"/>
        <v>TRANSFER_WEST_Q_1_24</v>
      </c>
      <c r="E104" s="139" t="s">
        <v>21</v>
      </c>
      <c r="F104" s="138" t="s">
        <v>21</v>
      </c>
      <c r="G104" s="140" t="s">
        <v>19</v>
      </c>
      <c r="H104" s="140" t="s">
        <v>59</v>
      </c>
      <c r="I104" s="140">
        <v>1</v>
      </c>
      <c r="J104" s="143"/>
      <c r="K104" s="184">
        <f>COUNT(AE104:BH104)</f>
        <v>18</v>
      </c>
      <c r="L104" s="140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101"/>
      <c r="AD104" s="101"/>
      <c r="AE104" s="8">
        <v>1</v>
      </c>
      <c r="AF104" s="3">
        <f>AE104+1</f>
        <v>2</v>
      </c>
      <c r="AG104" s="3">
        <f t="shared" si="66"/>
        <v>3</v>
      </c>
      <c r="AH104" s="3">
        <f t="shared" si="66"/>
        <v>4</v>
      </c>
      <c r="AI104" s="3">
        <f t="shared" si="66"/>
        <v>5</v>
      </c>
      <c r="AJ104" s="31">
        <f t="shared" si="66"/>
        <v>6</v>
      </c>
      <c r="AK104" s="86">
        <f t="shared" si="66"/>
        <v>7</v>
      </c>
      <c r="AL104" s="3">
        <f t="shared" si="66"/>
        <v>8</v>
      </c>
      <c r="AM104" s="3">
        <f t="shared" si="66"/>
        <v>9</v>
      </c>
      <c r="AN104" s="3">
        <f t="shared" si="66"/>
        <v>10</v>
      </c>
      <c r="AO104" s="3">
        <f t="shared" si="66"/>
        <v>11</v>
      </c>
      <c r="AP104" s="3">
        <f t="shared" si="66"/>
        <v>12</v>
      </c>
      <c r="AQ104" s="3">
        <f t="shared" si="66"/>
        <v>13</v>
      </c>
      <c r="AR104" s="3">
        <f t="shared" si="66"/>
        <v>14</v>
      </c>
      <c r="AS104" s="3">
        <f t="shared" si="66"/>
        <v>15</v>
      </c>
      <c r="AT104" s="3">
        <f t="shared" si="66"/>
        <v>16</v>
      </c>
      <c r="AU104" s="3">
        <f t="shared" si="66"/>
        <v>17</v>
      </c>
      <c r="AV104" s="3">
        <f t="shared" si="66"/>
        <v>18</v>
      </c>
      <c r="AW104" s="4"/>
      <c r="AX104" s="4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5"/>
      <c r="DB104" s="5"/>
      <c r="DC104" s="5"/>
      <c r="DD104" s="5"/>
    </row>
    <row r="105" spans="1:108" ht="15" customHeight="1" x14ac:dyDescent="0.25">
      <c r="B105" s="139">
        <v>18</v>
      </c>
      <c r="C105" s="139">
        <v>3</v>
      </c>
      <c r="D105" s="139" t="str">
        <f t="shared" si="48"/>
        <v>PREPARE_WEST_Q_1_24</v>
      </c>
      <c r="E105" s="139" t="s">
        <v>0</v>
      </c>
      <c r="F105" s="138" t="s">
        <v>46</v>
      </c>
      <c r="G105" s="140" t="s">
        <v>19</v>
      </c>
      <c r="H105" s="140" t="s">
        <v>59</v>
      </c>
      <c r="I105" s="140">
        <v>1</v>
      </c>
      <c r="J105" s="143"/>
      <c r="K105" s="184">
        <f>COUNT(M105:BH105)</f>
        <v>38</v>
      </c>
      <c r="L105" s="140"/>
      <c r="M105" s="3">
        <v>1</v>
      </c>
      <c r="N105" s="3">
        <f>M105+1</f>
        <v>2</v>
      </c>
      <c r="O105" s="3">
        <f t="shared" ref="O105:AC105" si="67">N105+1</f>
        <v>3</v>
      </c>
      <c r="P105" s="3">
        <f t="shared" si="67"/>
        <v>4</v>
      </c>
      <c r="Q105" s="3">
        <f t="shared" si="67"/>
        <v>5</v>
      </c>
      <c r="R105" s="3">
        <f t="shared" si="67"/>
        <v>6</v>
      </c>
      <c r="S105" s="3">
        <f t="shared" si="67"/>
        <v>7</v>
      </c>
      <c r="T105" s="3">
        <f t="shared" si="67"/>
        <v>8</v>
      </c>
      <c r="U105" s="3">
        <f t="shared" si="67"/>
        <v>9</v>
      </c>
      <c r="V105" s="3">
        <f t="shared" si="67"/>
        <v>10</v>
      </c>
      <c r="W105" s="3">
        <f t="shared" si="67"/>
        <v>11</v>
      </c>
      <c r="X105" s="3">
        <f t="shared" si="67"/>
        <v>12</v>
      </c>
      <c r="Y105" s="3">
        <f t="shared" si="67"/>
        <v>13</v>
      </c>
      <c r="Z105" s="3">
        <f t="shared" si="67"/>
        <v>14</v>
      </c>
      <c r="AA105" s="3">
        <f t="shared" si="67"/>
        <v>15</v>
      </c>
      <c r="AB105" s="3">
        <f t="shared" si="67"/>
        <v>16</v>
      </c>
      <c r="AC105" s="30">
        <f t="shared" si="67"/>
        <v>17</v>
      </c>
      <c r="AD105" s="30"/>
      <c r="AE105" s="8">
        <f>AC105+1</f>
        <v>18</v>
      </c>
      <c r="AF105" s="3">
        <f t="shared" ref="AF105:AU105" si="68">AE105+1</f>
        <v>19</v>
      </c>
      <c r="AG105" s="3">
        <f t="shared" si="68"/>
        <v>20</v>
      </c>
      <c r="AH105" s="3">
        <f t="shared" si="68"/>
        <v>21</v>
      </c>
      <c r="AI105" s="3">
        <f t="shared" si="68"/>
        <v>22</v>
      </c>
      <c r="AJ105" s="31">
        <f t="shared" si="68"/>
        <v>23</v>
      </c>
      <c r="AK105" s="86">
        <f t="shared" si="68"/>
        <v>24</v>
      </c>
      <c r="AL105" s="3">
        <f t="shared" si="68"/>
        <v>25</v>
      </c>
      <c r="AM105" s="3">
        <f t="shared" si="68"/>
        <v>26</v>
      </c>
      <c r="AN105" s="3">
        <f t="shared" si="68"/>
        <v>27</v>
      </c>
      <c r="AO105" s="3">
        <f t="shared" si="68"/>
        <v>28</v>
      </c>
      <c r="AP105" s="3">
        <f t="shared" si="68"/>
        <v>29</v>
      </c>
      <c r="AQ105" s="3">
        <f t="shared" si="68"/>
        <v>30</v>
      </c>
      <c r="AR105" s="3">
        <f t="shared" si="68"/>
        <v>31</v>
      </c>
      <c r="AS105" s="3">
        <f t="shared" si="68"/>
        <v>32</v>
      </c>
      <c r="AT105" s="3">
        <f t="shared" si="68"/>
        <v>33</v>
      </c>
      <c r="AU105" s="3">
        <f t="shared" si="68"/>
        <v>34</v>
      </c>
      <c r="AV105" s="3">
        <f t="shared" si="66"/>
        <v>35</v>
      </c>
      <c r="AW105" s="3">
        <f t="shared" ref="AM105:BA107" si="69">AV105+1</f>
        <v>36</v>
      </c>
      <c r="AX105" s="3">
        <f t="shared" si="69"/>
        <v>37</v>
      </c>
      <c r="AY105" s="3">
        <f t="shared" si="69"/>
        <v>38</v>
      </c>
      <c r="AZ105" s="4"/>
      <c r="BA105" s="4"/>
      <c r="BB105" s="4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5"/>
      <c r="DB105" s="5"/>
      <c r="DC105" s="5"/>
      <c r="DD105" s="5"/>
    </row>
    <row r="106" spans="1:108" ht="15" customHeight="1" x14ac:dyDescent="0.25">
      <c r="B106" s="139">
        <v>18</v>
      </c>
      <c r="C106" s="139">
        <v>4</v>
      </c>
      <c r="D106" s="139" t="str">
        <f t="shared" si="48"/>
        <v>SUPPLY_WEST_Q_1_24</v>
      </c>
      <c r="E106" s="139" t="s">
        <v>0</v>
      </c>
      <c r="F106" s="142" t="s">
        <v>0</v>
      </c>
      <c r="G106" s="140" t="s">
        <v>19</v>
      </c>
      <c r="H106" s="140" t="s">
        <v>59</v>
      </c>
      <c r="I106" s="140">
        <v>1</v>
      </c>
      <c r="J106" s="143"/>
      <c r="K106" s="184">
        <f>COUNT(AK106:CF106)</f>
        <v>17</v>
      </c>
      <c r="L106" s="140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101"/>
      <c r="AD106" s="101"/>
      <c r="AE106" s="42"/>
      <c r="AF106" s="46"/>
      <c r="AG106" s="46"/>
      <c r="AH106" s="46"/>
      <c r="AI106" s="46"/>
      <c r="AJ106" s="57"/>
      <c r="AK106" s="86">
        <v>1</v>
      </c>
      <c r="AL106" s="86">
        <f>AK106+1</f>
        <v>2</v>
      </c>
      <c r="AM106" s="86">
        <f t="shared" si="69"/>
        <v>3</v>
      </c>
      <c r="AN106" s="86">
        <f t="shared" si="69"/>
        <v>4</v>
      </c>
      <c r="AO106" s="86">
        <f t="shared" si="69"/>
        <v>5</v>
      </c>
      <c r="AP106" s="86">
        <f t="shared" si="69"/>
        <v>6</v>
      </c>
      <c r="AQ106" s="86">
        <f t="shared" si="69"/>
        <v>7</v>
      </c>
      <c r="AR106" s="86">
        <f t="shared" si="69"/>
        <v>8</v>
      </c>
      <c r="AS106" s="86">
        <f t="shared" si="69"/>
        <v>9</v>
      </c>
      <c r="AT106" s="86">
        <f t="shared" si="69"/>
        <v>10</v>
      </c>
      <c r="AU106" s="86">
        <f t="shared" si="69"/>
        <v>11</v>
      </c>
      <c r="AV106" s="86">
        <f t="shared" si="69"/>
        <v>12</v>
      </c>
      <c r="AW106" s="86">
        <f t="shared" si="69"/>
        <v>13</v>
      </c>
      <c r="AX106" s="86">
        <f t="shared" si="69"/>
        <v>14</v>
      </c>
      <c r="AY106" s="86">
        <f t="shared" si="69"/>
        <v>15</v>
      </c>
      <c r="AZ106" s="86">
        <f t="shared" si="69"/>
        <v>16</v>
      </c>
      <c r="BA106" s="86">
        <f t="shared" si="69"/>
        <v>17</v>
      </c>
      <c r="BB106" s="86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97"/>
      <c r="BS106" s="4"/>
      <c r="BT106" s="4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5"/>
      <c r="DB106" s="5"/>
      <c r="DC106" s="5"/>
      <c r="DD106" s="5"/>
    </row>
    <row r="107" spans="1:108" ht="15" customHeight="1" x14ac:dyDescent="0.25">
      <c r="B107" s="139">
        <v>18</v>
      </c>
      <c r="C107" s="140">
        <v>5</v>
      </c>
      <c r="D107" s="139" t="str">
        <f t="shared" si="48"/>
        <v>EMPTY_WEST_Q_1_24</v>
      </c>
      <c r="E107" s="140" t="s">
        <v>0</v>
      </c>
      <c r="F107" s="142" t="s">
        <v>32</v>
      </c>
      <c r="G107" s="140" t="s">
        <v>19</v>
      </c>
      <c r="H107" s="140" t="s">
        <v>59</v>
      </c>
      <c r="I107" s="140">
        <v>1</v>
      </c>
      <c r="J107" s="143"/>
      <c r="K107" s="184">
        <f>COUNT(AK107:CF107)</f>
        <v>35</v>
      </c>
      <c r="L107" s="140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101"/>
      <c r="AD107" s="101"/>
      <c r="AE107" s="42"/>
      <c r="AF107" s="46"/>
      <c r="AG107" s="46"/>
      <c r="AH107" s="46"/>
      <c r="AI107" s="46"/>
      <c r="AJ107" s="57"/>
      <c r="AK107" s="86">
        <v>1</v>
      </c>
      <c r="AL107" s="86">
        <f>AK107+1</f>
        <v>2</v>
      </c>
      <c r="AM107" s="86">
        <f t="shared" si="69"/>
        <v>3</v>
      </c>
      <c r="AN107" s="86">
        <f t="shared" si="69"/>
        <v>4</v>
      </c>
      <c r="AO107" s="86">
        <f t="shared" si="69"/>
        <v>5</v>
      </c>
      <c r="AP107" s="86">
        <f t="shared" si="69"/>
        <v>6</v>
      </c>
      <c r="AQ107" s="86">
        <f t="shared" si="69"/>
        <v>7</v>
      </c>
      <c r="AR107" s="86">
        <f t="shared" si="69"/>
        <v>8</v>
      </c>
      <c r="AS107" s="86">
        <f t="shared" si="69"/>
        <v>9</v>
      </c>
      <c r="AT107" s="86">
        <f t="shared" si="69"/>
        <v>10</v>
      </c>
      <c r="AU107" s="86">
        <f t="shared" si="69"/>
        <v>11</v>
      </c>
      <c r="AV107" s="86">
        <f t="shared" si="69"/>
        <v>12</v>
      </c>
      <c r="AW107" s="86">
        <f t="shared" si="69"/>
        <v>13</v>
      </c>
      <c r="AX107" s="86">
        <f t="shared" si="69"/>
        <v>14</v>
      </c>
      <c r="AY107" s="86">
        <f t="shared" si="69"/>
        <v>15</v>
      </c>
      <c r="AZ107" s="86">
        <f t="shared" si="69"/>
        <v>16</v>
      </c>
      <c r="BA107" s="86">
        <f t="shared" si="69"/>
        <v>17</v>
      </c>
      <c r="BB107" s="86"/>
      <c r="BC107" s="86">
        <f>BA107+1</f>
        <v>18</v>
      </c>
      <c r="BD107" s="86">
        <f t="shared" ref="BD107:BS107" si="70">BC107+1</f>
        <v>19</v>
      </c>
      <c r="BE107" s="86">
        <f t="shared" si="70"/>
        <v>20</v>
      </c>
      <c r="BF107" s="86">
        <f t="shared" si="70"/>
        <v>21</v>
      </c>
      <c r="BG107" s="86">
        <f t="shared" si="70"/>
        <v>22</v>
      </c>
      <c r="BH107" s="86">
        <f t="shared" si="70"/>
        <v>23</v>
      </c>
      <c r="BI107" s="86">
        <f t="shared" si="70"/>
        <v>24</v>
      </c>
      <c r="BJ107" s="86">
        <f t="shared" si="70"/>
        <v>25</v>
      </c>
      <c r="BK107" s="86">
        <f t="shared" si="70"/>
        <v>26</v>
      </c>
      <c r="BL107" s="86">
        <f t="shared" si="70"/>
        <v>27</v>
      </c>
      <c r="BM107" s="86">
        <f t="shared" si="70"/>
        <v>28</v>
      </c>
      <c r="BN107" s="86">
        <f t="shared" si="70"/>
        <v>29</v>
      </c>
      <c r="BO107" s="86">
        <f t="shared" si="70"/>
        <v>30</v>
      </c>
      <c r="BP107" s="86">
        <f t="shared" si="70"/>
        <v>31</v>
      </c>
      <c r="BQ107" s="86">
        <f t="shared" si="70"/>
        <v>32</v>
      </c>
      <c r="BR107" s="86">
        <f t="shared" si="70"/>
        <v>33</v>
      </c>
      <c r="BS107" s="86">
        <f t="shared" si="70"/>
        <v>34</v>
      </c>
      <c r="BT107" s="86">
        <f t="shared" ref="BT107" si="71">BS107+1</f>
        <v>35</v>
      </c>
      <c r="BU107" s="46"/>
      <c r="BV107" s="4"/>
      <c r="BW107" s="4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5"/>
      <c r="DB107" s="5"/>
      <c r="DC107" s="5"/>
      <c r="DD107" s="5"/>
    </row>
    <row r="108" spans="1:108" ht="15" customHeight="1" x14ac:dyDescent="0.25">
      <c r="B108" s="139">
        <v>18</v>
      </c>
      <c r="C108" s="140">
        <v>6</v>
      </c>
      <c r="D108" s="139" t="str">
        <f t="shared" si="48"/>
        <v>COUNTDOWN_WEST_Q_1_24</v>
      </c>
      <c r="E108" s="140"/>
      <c r="F108" s="142" t="s">
        <v>33</v>
      </c>
      <c r="G108" s="140" t="s">
        <v>19</v>
      </c>
      <c r="H108" s="140" t="s">
        <v>59</v>
      </c>
      <c r="I108" s="140">
        <v>1</v>
      </c>
      <c r="J108" s="144"/>
      <c r="K108" s="144"/>
      <c r="L108" s="140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101"/>
      <c r="AD108" s="101"/>
      <c r="AE108" s="42"/>
      <c r="AF108" s="46"/>
      <c r="AG108" s="46"/>
      <c r="AH108" s="46"/>
      <c r="AI108" s="46"/>
      <c r="AJ108" s="57"/>
      <c r="AK108" s="133"/>
      <c r="AL108" s="133"/>
      <c r="AM108" s="133"/>
      <c r="AN108" s="46"/>
      <c r="AO108" s="46"/>
      <c r="AP108" s="46"/>
      <c r="AQ108" s="46"/>
      <c r="AR108" s="46"/>
      <c r="AS108" s="46"/>
      <c r="AT108" s="46"/>
      <c r="AU108" s="6"/>
      <c r="AV108" s="6"/>
      <c r="AW108" s="46"/>
      <c r="AX108" s="46"/>
      <c r="AY108" s="56"/>
      <c r="AZ108" s="56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5"/>
      <c r="DB108" s="5"/>
      <c r="DC108" s="5"/>
      <c r="DD108" s="5"/>
    </row>
    <row r="109" spans="1:108" ht="15" customHeight="1" x14ac:dyDescent="0.25">
      <c r="A109" t="s">
        <v>7</v>
      </c>
      <c r="B109" s="139">
        <v>19</v>
      </c>
      <c r="C109" s="139">
        <v>1</v>
      </c>
      <c r="D109" s="139" t="str">
        <f t="shared" si="48"/>
        <v>SORTING_WEST_F_2_24</v>
      </c>
      <c r="E109" s="139" t="s">
        <v>35</v>
      </c>
      <c r="F109" s="138" t="s">
        <v>45</v>
      </c>
      <c r="G109" s="140" t="s">
        <v>19</v>
      </c>
      <c r="H109" s="140" t="s">
        <v>7</v>
      </c>
      <c r="I109" s="140">
        <v>2</v>
      </c>
      <c r="J109" s="139"/>
      <c r="K109" s="184">
        <f>COUNT(AE109:BH109)</f>
        <v>18</v>
      </c>
      <c r="L109" s="139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101"/>
      <c r="AD109" s="101"/>
      <c r="AE109" s="8">
        <v>1</v>
      </c>
      <c r="AF109" s="3">
        <f>AE109+1</f>
        <v>2</v>
      </c>
      <c r="AG109" s="3">
        <f t="shared" ref="AG109:AV111" si="72">AF109+1</f>
        <v>3</v>
      </c>
      <c r="AH109" s="3">
        <f t="shared" si="72"/>
        <v>4</v>
      </c>
      <c r="AI109" s="3">
        <f t="shared" si="72"/>
        <v>5</v>
      </c>
      <c r="AJ109" s="31">
        <f t="shared" si="72"/>
        <v>6</v>
      </c>
      <c r="AK109" s="86">
        <f t="shared" si="72"/>
        <v>7</v>
      </c>
      <c r="AL109" s="3">
        <f t="shared" si="72"/>
        <v>8</v>
      </c>
      <c r="AM109" s="3">
        <f t="shared" si="72"/>
        <v>9</v>
      </c>
      <c r="AN109" s="3">
        <f t="shared" si="72"/>
        <v>10</v>
      </c>
      <c r="AO109" s="3">
        <f t="shared" si="72"/>
        <v>11</v>
      </c>
      <c r="AP109" s="3">
        <f t="shared" si="72"/>
        <v>12</v>
      </c>
      <c r="AQ109" s="3">
        <f t="shared" si="72"/>
        <v>13</v>
      </c>
      <c r="AR109" s="3">
        <f t="shared" si="72"/>
        <v>14</v>
      </c>
      <c r="AS109" s="3">
        <f t="shared" si="72"/>
        <v>15</v>
      </c>
      <c r="AT109" s="3">
        <f t="shared" si="72"/>
        <v>16</v>
      </c>
      <c r="AU109" s="3">
        <f t="shared" si="72"/>
        <v>17</v>
      </c>
      <c r="AV109" s="3">
        <f t="shared" si="72"/>
        <v>18</v>
      </c>
      <c r="AW109" s="4"/>
      <c r="AX109" s="4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5"/>
      <c r="DB109" s="5"/>
      <c r="DC109" s="5"/>
      <c r="DD109" s="5"/>
    </row>
    <row r="110" spans="1:108" ht="15" customHeight="1" x14ac:dyDescent="0.25">
      <c r="A110" t="s">
        <v>7</v>
      </c>
      <c r="B110" s="139">
        <v>19</v>
      </c>
      <c r="C110" s="139">
        <v>2</v>
      </c>
      <c r="D110" s="139" t="str">
        <f t="shared" si="48"/>
        <v>TRANSFER_WEST_F_2_24</v>
      </c>
      <c r="E110" s="139" t="s">
        <v>21</v>
      </c>
      <c r="F110" s="138" t="s">
        <v>21</v>
      </c>
      <c r="G110" s="140" t="s">
        <v>19</v>
      </c>
      <c r="H110" s="140" t="s">
        <v>7</v>
      </c>
      <c r="I110" s="140">
        <v>2</v>
      </c>
      <c r="J110" s="139"/>
      <c r="K110" s="184">
        <f>COUNT(AE110:BH110)</f>
        <v>20</v>
      </c>
      <c r="L110" s="139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101"/>
      <c r="AD110" s="101"/>
      <c r="AE110" s="8">
        <v>1</v>
      </c>
      <c r="AF110" s="3">
        <f>AE110+1</f>
        <v>2</v>
      </c>
      <c r="AG110" s="3">
        <f t="shared" si="72"/>
        <v>3</v>
      </c>
      <c r="AH110" s="3">
        <f t="shared" si="72"/>
        <v>4</v>
      </c>
      <c r="AI110" s="3">
        <f t="shared" si="72"/>
        <v>5</v>
      </c>
      <c r="AJ110" s="31">
        <f t="shared" si="72"/>
        <v>6</v>
      </c>
      <c r="AK110" s="86">
        <f t="shared" si="72"/>
        <v>7</v>
      </c>
      <c r="AL110" s="3">
        <f t="shared" si="72"/>
        <v>8</v>
      </c>
      <c r="AM110" s="3">
        <f t="shared" si="72"/>
        <v>9</v>
      </c>
      <c r="AN110" s="3">
        <f t="shared" si="72"/>
        <v>10</v>
      </c>
      <c r="AO110" s="3">
        <f t="shared" si="72"/>
        <v>11</v>
      </c>
      <c r="AP110" s="3">
        <f t="shared" si="72"/>
        <v>12</v>
      </c>
      <c r="AQ110" s="3">
        <f t="shared" si="72"/>
        <v>13</v>
      </c>
      <c r="AR110" s="3">
        <f t="shared" si="72"/>
        <v>14</v>
      </c>
      <c r="AS110" s="3">
        <f t="shared" si="72"/>
        <v>15</v>
      </c>
      <c r="AT110" s="3">
        <f t="shared" si="72"/>
        <v>16</v>
      </c>
      <c r="AU110" s="3">
        <f t="shared" si="72"/>
        <v>17</v>
      </c>
      <c r="AV110" s="3">
        <f t="shared" si="72"/>
        <v>18</v>
      </c>
      <c r="AW110" s="3">
        <f t="shared" ref="AM110:BA113" si="73">AV110+1</f>
        <v>19</v>
      </c>
      <c r="AX110" s="3">
        <f t="shared" si="73"/>
        <v>20</v>
      </c>
      <c r="AY110" s="4"/>
      <c r="AZ110" s="4"/>
      <c r="BA110" s="4"/>
      <c r="BB110" s="4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5"/>
      <c r="DB110" s="5"/>
      <c r="DC110" s="5"/>
      <c r="DD110" s="5"/>
    </row>
    <row r="111" spans="1:108" ht="15" customHeight="1" x14ac:dyDescent="0.25">
      <c r="A111" t="s">
        <v>7</v>
      </c>
      <c r="B111" s="139">
        <v>19</v>
      </c>
      <c r="C111" s="139">
        <v>3</v>
      </c>
      <c r="D111" s="139" t="str">
        <f t="shared" si="48"/>
        <v>PREPARE_WEST_F_2_24</v>
      </c>
      <c r="E111" s="139" t="s">
        <v>0</v>
      </c>
      <c r="F111" s="138" t="s">
        <v>46</v>
      </c>
      <c r="G111" s="140" t="s">
        <v>19</v>
      </c>
      <c r="H111" s="140" t="s">
        <v>7</v>
      </c>
      <c r="I111" s="140">
        <v>2</v>
      </c>
      <c r="J111" s="141"/>
      <c r="K111" s="184">
        <f>COUNT(M111:BH111)</f>
        <v>39</v>
      </c>
      <c r="L111" s="139"/>
      <c r="M111" s="3">
        <v>1</v>
      </c>
      <c r="N111" s="3">
        <f>M111+1</f>
        <v>2</v>
      </c>
      <c r="O111" s="3">
        <f t="shared" ref="O111:AC111" si="74">N111+1</f>
        <v>3</v>
      </c>
      <c r="P111" s="3">
        <f t="shared" si="74"/>
        <v>4</v>
      </c>
      <c r="Q111" s="3">
        <f t="shared" si="74"/>
        <v>5</v>
      </c>
      <c r="R111" s="3">
        <f t="shared" si="74"/>
        <v>6</v>
      </c>
      <c r="S111" s="3">
        <f t="shared" si="74"/>
        <v>7</v>
      </c>
      <c r="T111" s="3">
        <f t="shared" si="74"/>
        <v>8</v>
      </c>
      <c r="U111" s="3">
        <f t="shared" si="74"/>
        <v>9</v>
      </c>
      <c r="V111" s="3">
        <f t="shared" si="74"/>
        <v>10</v>
      </c>
      <c r="W111" s="3">
        <f t="shared" si="74"/>
        <v>11</v>
      </c>
      <c r="X111" s="3">
        <f t="shared" si="74"/>
        <v>12</v>
      </c>
      <c r="Y111" s="3">
        <f t="shared" si="74"/>
        <v>13</v>
      </c>
      <c r="Z111" s="3">
        <f t="shared" si="74"/>
        <v>14</v>
      </c>
      <c r="AA111" s="3">
        <f t="shared" si="74"/>
        <v>15</v>
      </c>
      <c r="AB111" s="3">
        <f t="shared" si="74"/>
        <v>16</v>
      </c>
      <c r="AC111" s="30">
        <f t="shared" si="74"/>
        <v>17</v>
      </c>
      <c r="AD111" s="30"/>
      <c r="AE111" s="8">
        <f>AC111+1</f>
        <v>18</v>
      </c>
      <c r="AF111" s="3">
        <f t="shared" ref="AF111:AU111" si="75">AE111+1</f>
        <v>19</v>
      </c>
      <c r="AG111" s="3">
        <f t="shared" si="75"/>
        <v>20</v>
      </c>
      <c r="AH111" s="3">
        <f t="shared" si="75"/>
        <v>21</v>
      </c>
      <c r="AI111" s="3">
        <f t="shared" si="75"/>
        <v>22</v>
      </c>
      <c r="AJ111" s="31">
        <f t="shared" si="75"/>
        <v>23</v>
      </c>
      <c r="AK111" s="86">
        <f t="shared" si="75"/>
        <v>24</v>
      </c>
      <c r="AL111" s="3">
        <f t="shared" si="75"/>
        <v>25</v>
      </c>
      <c r="AM111" s="3">
        <f t="shared" si="75"/>
        <v>26</v>
      </c>
      <c r="AN111" s="3">
        <f t="shared" si="75"/>
        <v>27</v>
      </c>
      <c r="AO111" s="3">
        <f t="shared" si="75"/>
        <v>28</v>
      </c>
      <c r="AP111" s="3">
        <f t="shared" si="75"/>
        <v>29</v>
      </c>
      <c r="AQ111" s="3">
        <f t="shared" si="75"/>
        <v>30</v>
      </c>
      <c r="AR111" s="3">
        <f t="shared" si="75"/>
        <v>31</v>
      </c>
      <c r="AS111" s="3">
        <f t="shared" si="75"/>
        <v>32</v>
      </c>
      <c r="AT111" s="3">
        <f t="shared" si="75"/>
        <v>33</v>
      </c>
      <c r="AU111" s="3">
        <f t="shared" si="75"/>
        <v>34</v>
      </c>
      <c r="AV111" s="3">
        <f t="shared" si="72"/>
        <v>35</v>
      </c>
      <c r="AW111" s="3">
        <f t="shared" si="73"/>
        <v>36</v>
      </c>
      <c r="AX111" s="3">
        <f t="shared" si="73"/>
        <v>37</v>
      </c>
      <c r="AY111" s="3">
        <f t="shared" si="73"/>
        <v>38</v>
      </c>
      <c r="AZ111" s="3">
        <f t="shared" si="73"/>
        <v>39</v>
      </c>
      <c r="BA111" s="4"/>
      <c r="BB111" s="4"/>
      <c r="BC111" s="4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5"/>
      <c r="DB111" s="5"/>
      <c r="DC111" s="5"/>
      <c r="DD111" s="5"/>
    </row>
    <row r="112" spans="1:108" ht="15" customHeight="1" x14ac:dyDescent="0.25">
      <c r="A112" t="s">
        <v>7</v>
      </c>
      <c r="B112" s="139">
        <v>19</v>
      </c>
      <c r="C112" s="139">
        <v>4</v>
      </c>
      <c r="D112" s="139" t="str">
        <f t="shared" si="48"/>
        <v>SUPPLY_WEST_F_2_24</v>
      </c>
      <c r="E112" s="139" t="s">
        <v>0</v>
      </c>
      <c r="F112" s="142" t="s">
        <v>0</v>
      </c>
      <c r="G112" s="140" t="s">
        <v>19</v>
      </c>
      <c r="H112" s="140" t="s">
        <v>7</v>
      </c>
      <c r="I112" s="140">
        <v>2</v>
      </c>
      <c r="J112" s="143"/>
      <c r="K112" s="184">
        <f>COUNT(AK112:CF112)</f>
        <v>18</v>
      </c>
      <c r="L112" s="140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101"/>
      <c r="AD112" s="101"/>
      <c r="AE112" s="42"/>
      <c r="AF112" s="46"/>
      <c r="AG112" s="46"/>
      <c r="AH112" s="46"/>
      <c r="AI112" s="46"/>
      <c r="AJ112" s="57"/>
      <c r="AK112" s="86">
        <v>1</v>
      </c>
      <c r="AL112" s="86">
        <f>AK112+1</f>
        <v>2</v>
      </c>
      <c r="AM112" s="86">
        <f t="shared" si="73"/>
        <v>3</v>
      </c>
      <c r="AN112" s="86">
        <f t="shared" si="73"/>
        <v>4</v>
      </c>
      <c r="AO112" s="86">
        <f t="shared" si="73"/>
        <v>5</v>
      </c>
      <c r="AP112" s="86">
        <f t="shared" si="73"/>
        <v>6</v>
      </c>
      <c r="AQ112" s="86">
        <f t="shared" si="73"/>
        <v>7</v>
      </c>
      <c r="AR112" s="86">
        <f t="shared" si="73"/>
        <v>8</v>
      </c>
      <c r="AS112" s="86">
        <f t="shared" si="73"/>
        <v>9</v>
      </c>
      <c r="AT112" s="86">
        <f t="shared" si="73"/>
        <v>10</v>
      </c>
      <c r="AU112" s="86">
        <f t="shared" si="73"/>
        <v>11</v>
      </c>
      <c r="AV112" s="86">
        <f t="shared" si="73"/>
        <v>12</v>
      </c>
      <c r="AW112" s="86">
        <f t="shared" si="73"/>
        <v>13</v>
      </c>
      <c r="AX112" s="86">
        <f t="shared" si="73"/>
        <v>14</v>
      </c>
      <c r="AY112" s="86">
        <f t="shared" si="73"/>
        <v>15</v>
      </c>
      <c r="AZ112" s="86">
        <f t="shared" si="73"/>
        <v>16</v>
      </c>
      <c r="BA112" s="86">
        <f t="shared" si="73"/>
        <v>17</v>
      </c>
      <c r="BB112" s="86"/>
      <c r="BC112" s="86">
        <f>BA112+1</f>
        <v>18</v>
      </c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97"/>
      <c r="BV112" s="4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5"/>
      <c r="DB112" s="5"/>
      <c r="DC112" s="5"/>
      <c r="DD112" s="5"/>
    </row>
    <row r="113" spans="1:108" ht="15" customHeight="1" x14ac:dyDescent="0.25">
      <c r="A113" t="s">
        <v>7</v>
      </c>
      <c r="B113" s="139">
        <v>19</v>
      </c>
      <c r="C113" s="140">
        <v>5</v>
      </c>
      <c r="D113" s="139" t="str">
        <f t="shared" si="48"/>
        <v>EMPTY_WEST_F_2_24</v>
      </c>
      <c r="E113" s="140" t="s">
        <v>0</v>
      </c>
      <c r="F113" s="142" t="s">
        <v>32</v>
      </c>
      <c r="G113" s="140" t="s">
        <v>19</v>
      </c>
      <c r="H113" s="140" t="s">
        <v>7</v>
      </c>
      <c r="I113" s="140">
        <v>2</v>
      </c>
      <c r="J113" s="139"/>
      <c r="K113" s="184">
        <f>COUNT(AK113:CF113)</f>
        <v>37</v>
      </c>
      <c r="L113" s="139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101"/>
      <c r="AD113" s="101"/>
      <c r="AE113" s="42"/>
      <c r="AF113" s="46"/>
      <c r="AG113" s="46"/>
      <c r="AH113" s="46"/>
      <c r="AI113" s="46"/>
      <c r="AJ113" s="57"/>
      <c r="AK113" s="86">
        <v>1</v>
      </c>
      <c r="AL113" s="86">
        <f>AK113+1</f>
        <v>2</v>
      </c>
      <c r="AM113" s="86">
        <f t="shared" si="73"/>
        <v>3</v>
      </c>
      <c r="AN113" s="86">
        <f t="shared" si="73"/>
        <v>4</v>
      </c>
      <c r="AO113" s="86">
        <f t="shared" si="73"/>
        <v>5</v>
      </c>
      <c r="AP113" s="86">
        <f t="shared" si="73"/>
        <v>6</v>
      </c>
      <c r="AQ113" s="86">
        <f t="shared" si="73"/>
        <v>7</v>
      </c>
      <c r="AR113" s="86">
        <f t="shared" si="73"/>
        <v>8</v>
      </c>
      <c r="AS113" s="86">
        <f t="shared" si="73"/>
        <v>9</v>
      </c>
      <c r="AT113" s="86">
        <f t="shared" si="73"/>
        <v>10</v>
      </c>
      <c r="AU113" s="86">
        <f t="shared" si="73"/>
        <v>11</v>
      </c>
      <c r="AV113" s="86">
        <f t="shared" si="73"/>
        <v>12</v>
      </c>
      <c r="AW113" s="86">
        <f t="shared" si="73"/>
        <v>13</v>
      </c>
      <c r="AX113" s="86">
        <f t="shared" si="73"/>
        <v>14</v>
      </c>
      <c r="AY113" s="86">
        <f t="shared" si="73"/>
        <v>15</v>
      </c>
      <c r="AZ113" s="86">
        <f t="shared" si="73"/>
        <v>16</v>
      </c>
      <c r="BA113" s="86">
        <f t="shared" si="73"/>
        <v>17</v>
      </c>
      <c r="BB113" s="86"/>
      <c r="BC113" s="86">
        <f>BA113+1</f>
        <v>18</v>
      </c>
      <c r="BD113" s="86">
        <f t="shared" ref="BD113:BS113" si="76">BC113+1</f>
        <v>19</v>
      </c>
      <c r="BE113" s="86">
        <f t="shared" si="76"/>
        <v>20</v>
      </c>
      <c r="BF113" s="86">
        <f t="shared" si="76"/>
        <v>21</v>
      </c>
      <c r="BG113" s="86">
        <f t="shared" si="76"/>
        <v>22</v>
      </c>
      <c r="BH113" s="86">
        <f t="shared" si="76"/>
        <v>23</v>
      </c>
      <c r="BI113" s="86">
        <f t="shared" si="76"/>
        <v>24</v>
      </c>
      <c r="BJ113" s="86">
        <f t="shared" si="76"/>
        <v>25</v>
      </c>
      <c r="BK113" s="86">
        <f t="shared" si="76"/>
        <v>26</v>
      </c>
      <c r="BL113" s="86">
        <f t="shared" si="76"/>
        <v>27</v>
      </c>
      <c r="BM113" s="86">
        <f t="shared" si="76"/>
        <v>28</v>
      </c>
      <c r="BN113" s="86">
        <f t="shared" si="76"/>
        <v>29</v>
      </c>
      <c r="BO113" s="86">
        <f t="shared" si="76"/>
        <v>30</v>
      </c>
      <c r="BP113" s="86">
        <f t="shared" si="76"/>
        <v>31</v>
      </c>
      <c r="BQ113" s="86">
        <f t="shared" si="76"/>
        <v>32</v>
      </c>
      <c r="BR113" s="86">
        <f t="shared" si="76"/>
        <v>33</v>
      </c>
      <c r="BS113" s="86">
        <f t="shared" si="76"/>
        <v>34</v>
      </c>
      <c r="BT113" s="86">
        <f t="shared" ref="BT113:BV113" si="77">BS113+1</f>
        <v>35</v>
      </c>
      <c r="BU113" s="86">
        <f t="shared" si="77"/>
        <v>36</v>
      </c>
      <c r="BV113" s="86">
        <f t="shared" si="77"/>
        <v>37</v>
      </c>
      <c r="BW113" s="46"/>
      <c r="BX113" s="4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5"/>
      <c r="DB113" s="5"/>
      <c r="DC113" s="5"/>
      <c r="DD113" s="5"/>
    </row>
    <row r="114" spans="1:108" ht="15" customHeight="1" x14ac:dyDescent="0.25">
      <c r="A114" t="s">
        <v>7</v>
      </c>
      <c r="B114" s="139">
        <v>19</v>
      </c>
      <c r="C114" s="140">
        <v>6</v>
      </c>
      <c r="D114" s="139" t="str">
        <f t="shared" si="48"/>
        <v>COUNTDOWN_WEST_F_2_24</v>
      </c>
      <c r="E114" s="140"/>
      <c r="F114" s="142" t="s">
        <v>33</v>
      </c>
      <c r="G114" s="140" t="s">
        <v>19</v>
      </c>
      <c r="H114" s="140" t="s">
        <v>7</v>
      </c>
      <c r="I114" s="140">
        <v>2</v>
      </c>
      <c r="J114" s="144"/>
      <c r="K114" s="144"/>
      <c r="L114" s="140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101"/>
      <c r="AD114" s="101"/>
      <c r="AE114" s="8"/>
      <c r="AF114" s="3"/>
      <c r="AG114" s="3"/>
      <c r="AH114" s="3"/>
      <c r="AI114" s="3"/>
      <c r="AJ114" s="31"/>
      <c r="AK114" s="86"/>
      <c r="AL114" s="86"/>
      <c r="AM114" s="86"/>
      <c r="AN114" s="3"/>
      <c r="AO114" s="3"/>
      <c r="AP114" s="3"/>
      <c r="AQ114" s="3"/>
      <c r="AR114" s="3"/>
      <c r="AS114" s="3"/>
      <c r="AT114" s="3"/>
      <c r="AU114" s="3"/>
      <c r="AV114" s="3"/>
      <c r="AW114" s="6"/>
      <c r="AX114" s="6"/>
      <c r="AY114" s="46"/>
      <c r="AZ114" s="46"/>
      <c r="BA114" s="46"/>
      <c r="BB114" s="46"/>
      <c r="BC114" s="56"/>
      <c r="BD114" s="56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5"/>
      <c r="DB114" s="5"/>
      <c r="DC114" s="5"/>
      <c r="DD114" s="5"/>
    </row>
    <row r="115" spans="1:108" ht="15" customHeight="1" x14ac:dyDescent="0.25">
      <c r="A115" t="s">
        <v>14</v>
      </c>
      <c r="B115" s="139">
        <v>20</v>
      </c>
      <c r="C115" s="139">
        <v>1</v>
      </c>
      <c r="D115" s="139" t="str">
        <f t="shared" si="48"/>
        <v>SORTING_WEST_M_1_24</v>
      </c>
      <c r="E115" s="139" t="s">
        <v>35</v>
      </c>
      <c r="F115" s="138" t="s">
        <v>45</v>
      </c>
      <c r="G115" s="140" t="s">
        <v>19</v>
      </c>
      <c r="H115" s="140" t="s">
        <v>14</v>
      </c>
      <c r="I115" s="140">
        <v>1</v>
      </c>
      <c r="J115" s="139"/>
      <c r="K115" s="184">
        <f>COUNT(AE115:BH115)</f>
        <v>20</v>
      </c>
      <c r="L115" s="139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101"/>
      <c r="AD115" s="101"/>
      <c r="AE115" s="8">
        <v>1</v>
      </c>
      <c r="AF115" s="3">
        <f>AE115+1</f>
        <v>2</v>
      </c>
      <c r="AG115" s="3">
        <f t="shared" ref="AG115:AV119" si="78">AF115+1</f>
        <v>3</v>
      </c>
      <c r="AH115" s="3">
        <f t="shared" si="78"/>
        <v>4</v>
      </c>
      <c r="AI115" s="3">
        <f t="shared" si="78"/>
        <v>5</v>
      </c>
      <c r="AJ115" s="31">
        <f t="shared" si="78"/>
        <v>6</v>
      </c>
      <c r="AK115" s="86">
        <f t="shared" si="78"/>
        <v>7</v>
      </c>
      <c r="AL115" s="3">
        <f t="shared" si="78"/>
        <v>8</v>
      </c>
      <c r="AM115" s="3">
        <f t="shared" si="78"/>
        <v>9</v>
      </c>
      <c r="AN115" s="3">
        <f t="shared" si="78"/>
        <v>10</v>
      </c>
      <c r="AO115" s="3">
        <f t="shared" si="78"/>
        <v>11</v>
      </c>
      <c r="AP115" s="3">
        <f t="shared" si="78"/>
        <v>12</v>
      </c>
      <c r="AQ115" s="3">
        <f t="shared" si="78"/>
        <v>13</v>
      </c>
      <c r="AR115" s="3">
        <f t="shared" si="78"/>
        <v>14</v>
      </c>
      <c r="AS115" s="3">
        <f t="shared" si="78"/>
        <v>15</v>
      </c>
      <c r="AT115" s="3">
        <f t="shared" si="78"/>
        <v>16</v>
      </c>
      <c r="AU115" s="3">
        <f t="shared" si="78"/>
        <v>17</v>
      </c>
      <c r="AV115" s="3">
        <f t="shared" si="78"/>
        <v>18</v>
      </c>
      <c r="AW115" s="3">
        <f t="shared" ref="AW115:BM119" si="79">AV115+1</f>
        <v>19</v>
      </c>
      <c r="AX115" s="3">
        <f t="shared" si="79"/>
        <v>20</v>
      </c>
      <c r="AY115" s="4"/>
      <c r="AZ115" s="4"/>
      <c r="BA115" s="4"/>
      <c r="BB115" s="4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5"/>
      <c r="DB115" s="5"/>
      <c r="DC115" s="5"/>
      <c r="DD115" s="5"/>
    </row>
    <row r="116" spans="1:108" ht="15" customHeight="1" x14ac:dyDescent="0.25">
      <c r="A116" t="s">
        <v>14</v>
      </c>
      <c r="B116" s="139">
        <v>20</v>
      </c>
      <c r="C116" s="139">
        <v>2</v>
      </c>
      <c r="D116" s="139" t="str">
        <f t="shared" si="48"/>
        <v>TRANSFER_WEST_M_1_24</v>
      </c>
      <c r="E116" s="139" t="s">
        <v>21</v>
      </c>
      <c r="F116" s="138" t="s">
        <v>21</v>
      </c>
      <c r="G116" s="140" t="s">
        <v>19</v>
      </c>
      <c r="H116" s="140" t="s">
        <v>14</v>
      </c>
      <c r="I116" s="140">
        <v>1</v>
      </c>
      <c r="J116" s="139"/>
      <c r="K116" s="184">
        <f>COUNT(AE116:BH116)</f>
        <v>23</v>
      </c>
      <c r="L116" s="139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101"/>
      <c r="AD116" s="101"/>
      <c r="AE116" s="8">
        <v>1</v>
      </c>
      <c r="AF116" s="3">
        <f>AE116+1</f>
        <v>2</v>
      </c>
      <c r="AG116" s="3">
        <f t="shared" si="78"/>
        <v>3</v>
      </c>
      <c r="AH116" s="3">
        <f t="shared" si="78"/>
        <v>4</v>
      </c>
      <c r="AI116" s="3">
        <f t="shared" si="78"/>
        <v>5</v>
      </c>
      <c r="AJ116" s="31">
        <f t="shared" si="78"/>
        <v>6</v>
      </c>
      <c r="AK116" s="86">
        <f t="shared" si="78"/>
        <v>7</v>
      </c>
      <c r="AL116" s="3">
        <f t="shared" si="78"/>
        <v>8</v>
      </c>
      <c r="AM116" s="3">
        <f t="shared" si="78"/>
        <v>9</v>
      </c>
      <c r="AN116" s="3">
        <f t="shared" si="78"/>
        <v>10</v>
      </c>
      <c r="AO116" s="3">
        <f t="shared" si="78"/>
        <v>11</v>
      </c>
      <c r="AP116" s="3">
        <f t="shared" si="78"/>
        <v>12</v>
      </c>
      <c r="AQ116" s="3">
        <f t="shared" si="78"/>
        <v>13</v>
      </c>
      <c r="AR116" s="3">
        <f t="shared" si="78"/>
        <v>14</v>
      </c>
      <c r="AS116" s="3">
        <f t="shared" si="78"/>
        <v>15</v>
      </c>
      <c r="AT116" s="3">
        <f t="shared" si="78"/>
        <v>16</v>
      </c>
      <c r="AU116" s="3">
        <f t="shared" si="78"/>
        <v>17</v>
      </c>
      <c r="AV116" s="3">
        <f t="shared" si="78"/>
        <v>18</v>
      </c>
      <c r="AW116" s="3">
        <f t="shared" si="79"/>
        <v>19</v>
      </c>
      <c r="AX116" s="3">
        <f t="shared" si="79"/>
        <v>20</v>
      </c>
      <c r="AY116" s="3">
        <f t="shared" si="79"/>
        <v>21</v>
      </c>
      <c r="AZ116" s="3">
        <f t="shared" si="79"/>
        <v>22</v>
      </c>
      <c r="BA116" s="3">
        <f t="shared" si="79"/>
        <v>23</v>
      </c>
      <c r="BB116" s="3"/>
      <c r="BC116" s="4"/>
      <c r="BD116" s="4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5"/>
      <c r="DB116" s="5"/>
      <c r="DC116" s="5"/>
      <c r="DD116" s="5"/>
    </row>
    <row r="117" spans="1:108" ht="15" customHeight="1" x14ac:dyDescent="0.25">
      <c r="A117" t="s">
        <v>14</v>
      </c>
      <c r="B117" s="139">
        <v>20</v>
      </c>
      <c r="C117" s="139">
        <v>3</v>
      </c>
      <c r="D117" s="139" t="str">
        <f t="shared" si="48"/>
        <v>PREPARE_WEST_M_1_24</v>
      </c>
      <c r="E117" s="139" t="s">
        <v>0</v>
      </c>
      <c r="F117" s="138" t="s">
        <v>46</v>
      </c>
      <c r="G117" s="140" t="s">
        <v>19</v>
      </c>
      <c r="H117" s="140" t="s">
        <v>14</v>
      </c>
      <c r="I117" s="140">
        <v>1</v>
      </c>
      <c r="J117" s="141"/>
      <c r="K117" s="184">
        <f>COUNT(M117:BH117)</f>
        <v>42</v>
      </c>
      <c r="L117" s="139"/>
      <c r="M117" s="3">
        <v>1</v>
      </c>
      <c r="N117" s="3">
        <f>M117+1</f>
        <v>2</v>
      </c>
      <c r="O117" s="3">
        <f t="shared" ref="O117:AC117" si="80">N117+1</f>
        <v>3</v>
      </c>
      <c r="P117" s="3">
        <f t="shared" si="80"/>
        <v>4</v>
      </c>
      <c r="Q117" s="3">
        <f t="shared" si="80"/>
        <v>5</v>
      </c>
      <c r="R117" s="3">
        <f t="shared" si="80"/>
        <v>6</v>
      </c>
      <c r="S117" s="3">
        <f t="shared" si="80"/>
        <v>7</v>
      </c>
      <c r="T117" s="3">
        <f t="shared" si="80"/>
        <v>8</v>
      </c>
      <c r="U117" s="3">
        <f t="shared" si="80"/>
        <v>9</v>
      </c>
      <c r="V117" s="3">
        <f t="shared" si="80"/>
        <v>10</v>
      </c>
      <c r="W117" s="3">
        <f t="shared" si="80"/>
        <v>11</v>
      </c>
      <c r="X117" s="3">
        <f t="shared" si="80"/>
        <v>12</v>
      </c>
      <c r="Y117" s="3">
        <f t="shared" si="80"/>
        <v>13</v>
      </c>
      <c r="Z117" s="3">
        <f t="shared" si="80"/>
        <v>14</v>
      </c>
      <c r="AA117" s="3">
        <f t="shared" si="80"/>
        <v>15</v>
      </c>
      <c r="AB117" s="3">
        <f t="shared" si="80"/>
        <v>16</v>
      </c>
      <c r="AC117" s="30">
        <f t="shared" si="80"/>
        <v>17</v>
      </c>
      <c r="AD117" s="30"/>
      <c r="AE117" s="8">
        <f>AC117+1</f>
        <v>18</v>
      </c>
      <c r="AF117" s="3">
        <f t="shared" ref="AF117:AU119" si="81">AE117+1</f>
        <v>19</v>
      </c>
      <c r="AG117" s="3">
        <f t="shared" si="81"/>
        <v>20</v>
      </c>
      <c r="AH117" s="3">
        <f t="shared" si="81"/>
        <v>21</v>
      </c>
      <c r="AI117" s="3">
        <f t="shared" si="81"/>
        <v>22</v>
      </c>
      <c r="AJ117" s="31">
        <f t="shared" si="81"/>
        <v>23</v>
      </c>
      <c r="AK117" s="86">
        <f t="shared" si="81"/>
        <v>24</v>
      </c>
      <c r="AL117" s="3">
        <f t="shared" si="81"/>
        <v>25</v>
      </c>
      <c r="AM117" s="3">
        <f t="shared" si="81"/>
        <v>26</v>
      </c>
      <c r="AN117" s="3">
        <f t="shared" si="81"/>
        <v>27</v>
      </c>
      <c r="AO117" s="3">
        <f t="shared" si="81"/>
        <v>28</v>
      </c>
      <c r="AP117" s="3">
        <f t="shared" si="81"/>
        <v>29</v>
      </c>
      <c r="AQ117" s="3">
        <f t="shared" si="81"/>
        <v>30</v>
      </c>
      <c r="AR117" s="3">
        <f t="shared" si="81"/>
        <v>31</v>
      </c>
      <c r="AS117" s="3">
        <f t="shared" si="81"/>
        <v>32</v>
      </c>
      <c r="AT117" s="3">
        <f t="shared" si="81"/>
        <v>33</v>
      </c>
      <c r="AU117" s="3">
        <f t="shared" si="81"/>
        <v>34</v>
      </c>
      <c r="AV117" s="3">
        <f t="shared" si="78"/>
        <v>35</v>
      </c>
      <c r="AW117" s="3">
        <f t="shared" si="79"/>
        <v>36</v>
      </c>
      <c r="AX117" s="3">
        <f t="shared" si="79"/>
        <v>37</v>
      </c>
      <c r="AY117" s="3">
        <f t="shared" si="79"/>
        <v>38</v>
      </c>
      <c r="AZ117" s="3">
        <f t="shared" si="79"/>
        <v>39</v>
      </c>
      <c r="BA117" s="3">
        <f t="shared" si="79"/>
        <v>40</v>
      </c>
      <c r="BB117" s="3"/>
      <c r="BC117" s="3">
        <f>BA117+1</f>
        <v>41</v>
      </c>
      <c r="BD117" s="3">
        <f t="shared" si="79"/>
        <v>42</v>
      </c>
      <c r="BE117" s="4"/>
      <c r="BF117" s="4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5"/>
      <c r="DB117" s="5"/>
      <c r="DC117" s="5"/>
      <c r="DD117" s="5"/>
    </row>
    <row r="118" spans="1:108" ht="15" customHeight="1" x14ac:dyDescent="0.25">
      <c r="A118" t="s">
        <v>14</v>
      </c>
      <c r="B118" s="139">
        <v>20</v>
      </c>
      <c r="C118" s="139">
        <v>4</v>
      </c>
      <c r="D118" s="139" t="str">
        <f t="shared" si="48"/>
        <v>SUPPLY_WEST_M_1_24</v>
      </c>
      <c r="E118" s="139" t="s">
        <v>0</v>
      </c>
      <c r="F118" s="142" t="s">
        <v>0</v>
      </c>
      <c r="G118" s="140" t="s">
        <v>19</v>
      </c>
      <c r="H118" s="140" t="s">
        <v>14</v>
      </c>
      <c r="I118" s="140">
        <v>1</v>
      </c>
      <c r="J118" s="143"/>
      <c r="K118" s="184">
        <f>COUNT(AK118:CF118)</f>
        <v>21</v>
      </c>
      <c r="L118" s="140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101"/>
      <c r="AD118" s="101"/>
      <c r="AE118" s="42"/>
      <c r="AF118" s="46"/>
      <c r="AG118" s="46"/>
      <c r="AH118" s="46"/>
      <c r="AI118" s="46"/>
      <c r="AJ118" s="57"/>
      <c r="AK118" s="86">
        <v>1</v>
      </c>
      <c r="AL118" s="86">
        <f>AK118+1</f>
        <v>2</v>
      </c>
      <c r="AM118" s="86">
        <f t="shared" si="81"/>
        <v>3</v>
      </c>
      <c r="AN118" s="86">
        <f t="shared" si="81"/>
        <v>4</v>
      </c>
      <c r="AO118" s="86">
        <f t="shared" si="81"/>
        <v>5</v>
      </c>
      <c r="AP118" s="86">
        <f t="shared" si="81"/>
        <v>6</v>
      </c>
      <c r="AQ118" s="86">
        <f t="shared" si="81"/>
        <v>7</v>
      </c>
      <c r="AR118" s="86">
        <f t="shared" si="81"/>
        <v>8</v>
      </c>
      <c r="AS118" s="86">
        <f t="shared" si="81"/>
        <v>9</v>
      </c>
      <c r="AT118" s="86">
        <f t="shared" si="81"/>
        <v>10</v>
      </c>
      <c r="AU118" s="86">
        <f t="shared" si="81"/>
        <v>11</v>
      </c>
      <c r="AV118" s="86">
        <f t="shared" si="78"/>
        <v>12</v>
      </c>
      <c r="AW118" s="86">
        <f t="shared" si="79"/>
        <v>13</v>
      </c>
      <c r="AX118" s="86">
        <f t="shared" si="79"/>
        <v>14</v>
      </c>
      <c r="AY118" s="86">
        <f t="shared" si="79"/>
        <v>15</v>
      </c>
      <c r="AZ118" s="86">
        <f t="shared" si="79"/>
        <v>16</v>
      </c>
      <c r="BA118" s="86">
        <f t="shared" si="79"/>
        <v>17</v>
      </c>
      <c r="BB118" s="86"/>
      <c r="BC118" s="86">
        <f>BA118+1</f>
        <v>18</v>
      </c>
      <c r="BD118" s="86">
        <f t="shared" si="79"/>
        <v>19</v>
      </c>
      <c r="BE118" s="86">
        <f t="shared" si="79"/>
        <v>20</v>
      </c>
      <c r="BF118" s="86">
        <f t="shared" si="79"/>
        <v>21</v>
      </c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97"/>
      <c r="BX118" s="4"/>
      <c r="BY118" s="4"/>
      <c r="BZ118" s="4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5"/>
      <c r="DB118" s="5"/>
      <c r="DC118" s="5"/>
      <c r="DD118" s="5"/>
    </row>
    <row r="119" spans="1:108" ht="15" customHeight="1" x14ac:dyDescent="0.25">
      <c r="A119" t="s">
        <v>14</v>
      </c>
      <c r="B119" s="139">
        <v>20</v>
      </c>
      <c r="C119" s="140">
        <v>5</v>
      </c>
      <c r="D119" s="139" t="str">
        <f t="shared" si="48"/>
        <v>EMPTY_WEST_M_1_24</v>
      </c>
      <c r="E119" s="140" t="s">
        <v>0</v>
      </c>
      <c r="F119" s="142" t="s">
        <v>32</v>
      </c>
      <c r="G119" s="140" t="s">
        <v>19</v>
      </c>
      <c r="H119" s="140" t="s">
        <v>14</v>
      </c>
      <c r="I119" s="140">
        <v>1</v>
      </c>
      <c r="J119" s="139"/>
      <c r="K119" s="184">
        <f>COUNT(AK119:CF119)</f>
        <v>40</v>
      </c>
      <c r="L119" s="139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101"/>
      <c r="AD119" s="101"/>
      <c r="AE119" s="42"/>
      <c r="AF119" s="46"/>
      <c r="AG119" s="46"/>
      <c r="AH119" s="46"/>
      <c r="AI119" s="46"/>
      <c r="AJ119" s="57"/>
      <c r="AK119" s="86">
        <v>1</v>
      </c>
      <c r="AL119" s="86">
        <f>AK119+1</f>
        <v>2</v>
      </c>
      <c r="AM119" s="86">
        <f t="shared" si="81"/>
        <v>3</v>
      </c>
      <c r="AN119" s="86">
        <f t="shared" si="81"/>
        <v>4</v>
      </c>
      <c r="AO119" s="86">
        <f t="shared" si="81"/>
        <v>5</v>
      </c>
      <c r="AP119" s="86">
        <f t="shared" si="81"/>
        <v>6</v>
      </c>
      <c r="AQ119" s="86">
        <f t="shared" si="81"/>
        <v>7</v>
      </c>
      <c r="AR119" s="86">
        <f t="shared" si="81"/>
        <v>8</v>
      </c>
      <c r="AS119" s="86">
        <f t="shared" si="81"/>
        <v>9</v>
      </c>
      <c r="AT119" s="86">
        <f t="shared" si="81"/>
        <v>10</v>
      </c>
      <c r="AU119" s="86">
        <f t="shared" si="81"/>
        <v>11</v>
      </c>
      <c r="AV119" s="86">
        <f t="shared" si="78"/>
        <v>12</v>
      </c>
      <c r="AW119" s="86">
        <f t="shared" si="79"/>
        <v>13</v>
      </c>
      <c r="AX119" s="86">
        <f t="shared" si="79"/>
        <v>14</v>
      </c>
      <c r="AY119" s="86">
        <f t="shared" si="79"/>
        <v>15</v>
      </c>
      <c r="AZ119" s="86">
        <f t="shared" si="79"/>
        <v>16</v>
      </c>
      <c r="BA119" s="86">
        <f t="shared" si="79"/>
        <v>17</v>
      </c>
      <c r="BB119" s="86"/>
      <c r="BC119" s="86">
        <f>BA119+1</f>
        <v>18</v>
      </c>
      <c r="BD119" s="86">
        <f t="shared" si="79"/>
        <v>19</v>
      </c>
      <c r="BE119" s="86">
        <f t="shared" si="79"/>
        <v>20</v>
      </c>
      <c r="BF119" s="86">
        <f t="shared" si="79"/>
        <v>21</v>
      </c>
      <c r="BG119" s="86">
        <f t="shared" si="79"/>
        <v>22</v>
      </c>
      <c r="BH119" s="86">
        <f t="shared" si="79"/>
        <v>23</v>
      </c>
      <c r="BI119" s="86">
        <f t="shared" si="79"/>
        <v>24</v>
      </c>
      <c r="BJ119" s="86">
        <f t="shared" si="79"/>
        <v>25</v>
      </c>
      <c r="BK119" s="86">
        <f t="shared" si="79"/>
        <v>26</v>
      </c>
      <c r="BL119" s="86">
        <f t="shared" si="79"/>
        <v>27</v>
      </c>
      <c r="BM119" s="86">
        <f t="shared" si="79"/>
        <v>28</v>
      </c>
      <c r="BN119" s="86">
        <f t="shared" ref="BN119:BY119" si="82">BM119+1</f>
        <v>29</v>
      </c>
      <c r="BO119" s="86">
        <f t="shared" si="82"/>
        <v>30</v>
      </c>
      <c r="BP119" s="86">
        <f t="shared" si="82"/>
        <v>31</v>
      </c>
      <c r="BQ119" s="86">
        <f t="shared" si="82"/>
        <v>32</v>
      </c>
      <c r="BR119" s="86">
        <f t="shared" si="82"/>
        <v>33</v>
      </c>
      <c r="BS119" s="86">
        <f t="shared" si="82"/>
        <v>34</v>
      </c>
      <c r="BT119" s="86">
        <f t="shared" si="82"/>
        <v>35</v>
      </c>
      <c r="BU119" s="86">
        <f t="shared" si="82"/>
        <v>36</v>
      </c>
      <c r="BV119" s="86">
        <f t="shared" si="82"/>
        <v>37</v>
      </c>
      <c r="BW119" s="86">
        <f t="shared" si="82"/>
        <v>38</v>
      </c>
      <c r="BX119" s="86">
        <f t="shared" si="82"/>
        <v>39</v>
      </c>
      <c r="BY119" s="86">
        <f t="shared" si="82"/>
        <v>40</v>
      </c>
      <c r="BZ119" s="86"/>
      <c r="CA119" s="46"/>
      <c r="CB119" s="4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5"/>
      <c r="DB119" s="5"/>
      <c r="DC119" s="5"/>
      <c r="DD119" s="5"/>
    </row>
    <row r="120" spans="1:108" ht="15.75" customHeight="1" thickBot="1" x14ac:dyDescent="0.3">
      <c r="A120" t="s">
        <v>14</v>
      </c>
      <c r="B120" s="139">
        <v>20</v>
      </c>
      <c r="C120" s="140">
        <v>6</v>
      </c>
      <c r="D120" s="139" t="str">
        <f t="shared" si="48"/>
        <v>COUNTDOWN_WEST_M_1_24</v>
      </c>
      <c r="E120" s="140"/>
      <c r="F120" s="142" t="s">
        <v>33</v>
      </c>
      <c r="G120" s="140" t="s">
        <v>19</v>
      </c>
      <c r="H120" s="140" t="s">
        <v>14</v>
      </c>
      <c r="I120" s="140">
        <v>1</v>
      </c>
      <c r="J120" s="144"/>
      <c r="K120" s="144"/>
      <c r="L120" s="140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101"/>
      <c r="AD120" s="101"/>
      <c r="AE120" s="221"/>
      <c r="AF120" s="83"/>
      <c r="AG120" s="83"/>
      <c r="AH120" s="83"/>
      <c r="AI120" s="83"/>
      <c r="AJ120" s="222"/>
      <c r="AK120" s="133"/>
      <c r="AL120" s="133"/>
      <c r="AM120" s="133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6"/>
      <c r="AZ120" s="6"/>
      <c r="BA120" s="6"/>
      <c r="BB120" s="6"/>
      <c r="BC120" s="46"/>
      <c r="BD120" s="46"/>
      <c r="BE120" s="56"/>
      <c r="BF120" s="56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5"/>
      <c r="DB120" s="5"/>
      <c r="DC120" s="5"/>
      <c r="DD120" s="5"/>
    </row>
  </sheetData>
  <mergeCells count="2">
    <mergeCell ref="AB2:AF2"/>
    <mergeCell ref="AI2:AN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H1241"/>
  <sheetViews>
    <sheetView tabSelected="1" topLeftCell="A1206" workbookViewId="0">
      <selection activeCell="H1147" sqref="H1147:H1241"/>
    </sheetView>
  </sheetViews>
  <sheetFormatPr defaultRowHeight="15" x14ac:dyDescent="0.25"/>
  <cols>
    <col min="1" max="1" width="10.85546875" style="2" customWidth="1"/>
    <col min="2" max="2" width="24.42578125" style="2" bestFit="1" customWidth="1"/>
    <col min="3" max="3" width="13.28515625" style="2" customWidth="1"/>
    <col min="4" max="4" width="8.5703125" style="2" customWidth="1"/>
    <col min="5" max="5" width="10.5703125" style="2" customWidth="1"/>
    <col min="6" max="6" width="9" style="2" customWidth="1"/>
    <col min="7" max="7" width="10.140625" style="2" customWidth="1"/>
    <col min="8" max="8" width="12.5703125" style="2" customWidth="1"/>
    <col min="9" max="9" width="16.85546875" style="2" bestFit="1" customWidth="1"/>
    <col min="10" max="16384" width="9.140625" style="2"/>
  </cols>
  <sheetData>
    <row r="1" spans="1:8" x14ac:dyDescent="0.25">
      <c r="A1" s="225" t="s">
        <v>48</v>
      </c>
      <c r="B1" s="225"/>
    </row>
    <row r="2" spans="1:8" x14ac:dyDescent="0.25">
      <c r="A2" s="226" t="s">
        <v>49</v>
      </c>
      <c r="B2" s="226"/>
    </row>
    <row r="3" spans="1:8" x14ac:dyDescent="0.25">
      <c r="A3" s="2" t="s">
        <v>50</v>
      </c>
    </row>
    <row r="4" spans="1:8" hidden="1" x14ac:dyDescent="0.25">
      <c r="A4" s="227" t="s">
        <v>51</v>
      </c>
      <c r="B4" s="227"/>
      <c r="C4" s="228">
        <v>20190831</v>
      </c>
      <c r="D4" s="228"/>
    </row>
    <row r="6" spans="1:8" ht="15.75" thickBot="1" x14ac:dyDescent="0.3">
      <c r="A6" s="229" t="s">
        <v>52</v>
      </c>
      <c r="B6" s="229"/>
      <c r="C6" s="229" t="s">
        <v>53</v>
      </c>
      <c r="D6" s="229" t="s">
        <v>54</v>
      </c>
      <c r="E6" s="229" t="s">
        <v>55</v>
      </c>
      <c r="F6" s="229" t="s">
        <v>56</v>
      </c>
      <c r="G6" s="229" t="s">
        <v>57</v>
      </c>
      <c r="H6" s="229" t="s">
        <v>58</v>
      </c>
    </row>
    <row r="7" spans="1:8" ht="15.75" hidden="1" thickTop="1" x14ac:dyDescent="0.25">
      <c r="A7" s="2">
        <v>43</v>
      </c>
      <c r="B7" s="2" t="str">
        <f t="shared" ref="B7:B73" si="0">C7&amp;"_"&amp;D7&amp;"_"&amp;E7&amp;"_"&amp;F7&amp;"_"&amp;G7</f>
        <v>SORTING_EAST_UNP_1_12</v>
      </c>
      <c r="C7" s="223" t="s">
        <v>45</v>
      </c>
      <c r="D7" s="223" t="s">
        <v>18</v>
      </c>
      <c r="E7" s="223" t="s">
        <v>42</v>
      </c>
      <c r="F7" s="224">
        <v>1</v>
      </c>
      <c r="G7" s="195">
        <v>12</v>
      </c>
      <c r="H7" s="195"/>
    </row>
    <row r="8" spans="1:8" ht="15.75" hidden="1" thickTop="1" x14ac:dyDescent="0.25">
      <c r="A8" s="2">
        <v>43</v>
      </c>
      <c r="B8" s="2" t="str">
        <f t="shared" si="0"/>
        <v>SORTING_EAST_A_2_12</v>
      </c>
      <c r="C8" s="223" t="s">
        <v>45</v>
      </c>
      <c r="D8" s="223" t="s">
        <v>18</v>
      </c>
      <c r="E8" s="352" t="s">
        <v>2</v>
      </c>
      <c r="F8" s="224">
        <v>2</v>
      </c>
      <c r="G8" s="195">
        <v>12</v>
      </c>
      <c r="H8" s="195"/>
    </row>
    <row r="9" spans="1:8" ht="15.75" hidden="1" thickTop="1" x14ac:dyDescent="0.25">
      <c r="A9" s="2">
        <v>43</v>
      </c>
      <c r="B9" s="2" t="str">
        <f t="shared" si="0"/>
        <v>SORTING_EAST_C/U_1_12</v>
      </c>
      <c r="C9" s="223" t="s">
        <v>45</v>
      </c>
      <c r="D9" s="223" t="s">
        <v>18</v>
      </c>
      <c r="E9" s="352" t="s">
        <v>67</v>
      </c>
      <c r="F9" s="224">
        <v>1</v>
      </c>
      <c r="G9" s="195">
        <v>12</v>
      </c>
      <c r="H9" s="195"/>
    </row>
    <row r="10" spans="1:8" ht="15.75" hidden="1" thickTop="1" x14ac:dyDescent="0.25">
      <c r="A10" s="2">
        <v>43</v>
      </c>
      <c r="B10" s="2" t="str">
        <f t="shared" si="0"/>
        <v>SORTING_EAST_C_2_12</v>
      </c>
      <c r="C10" s="223" t="s">
        <v>45</v>
      </c>
      <c r="D10" s="223" t="s">
        <v>18</v>
      </c>
      <c r="E10" s="223" t="s">
        <v>4</v>
      </c>
      <c r="F10" s="224">
        <v>2</v>
      </c>
      <c r="G10" s="195">
        <v>12</v>
      </c>
      <c r="H10" s="195"/>
    </row>
    <row r="11" spans="1:8" ht="15.75" hidden="1" thickTop="1" x14ac:dyDescent="0.25">
      <c r="A11" s="2">
        <v>43</v>
      </c>
      <c r="B11" s="2" t="str">
        <f t="shared" si="0"/>
        <v>SORTING_EAST_I_1_12</v>
      </c>
      <c r="C11" s="223" t="s">
        <v>45</v>
      </c>
      <c r="D11" s="223" t="s">
        <v>18</v>
      </c>
      <c r="E11" s="223" t="s">
        <v>10</v>
      </c>
      <c r="F11" s="224">
        <v>1</v>
      </c>
      <c r="G11" s="195">
        <v>12</v>
      </c>
      <c r="H11" s="195"/>
    </row>
    <row r="12" spans="1:8" ht="15.75" hidden="1" thickTop="1" x14ac:dyDescent="0.25">
      <c r="A12" s="2">
        <v>43</v>
      </c>
      <c r="B12" s="2" t="str">
        <f t="shared" si="0"/>
        <v>SORTING_EAST_G_2_12</v>
      </c>
      <c r="C12" s="223" t="s">
        <v>45</v>
      </c>
      <c r="D12" s="223" t="s">
        <v>18</v>
      </c>
      <c r="E12" s="223" t="s">
        <v>8</v>
      </c>
      <c r="F12" s="224">
        <v>2</v>
      </c>
      <c r="G12" s="195">
        <v>12</v>
      </c>
      <c r="H12" s="195"/>
    </row>
    <row r="13" spans="1:8" ht="15.75" hidden="1" thickTop="1" x14ac:dyDescent="0.25">
      <c r="A13" s="2">
        <v>43</v>
      </c>
      <c r="B13" s="2" t="str">
        <f t="shared" si="0"/>
        <v>SORTING_EAST_B_1_12</v>
      </c>
      <c r="C13" s="223" t="s">
        <v>45</v>
      </c>
      <c r="D13" s="223" t="s">
        <v>18</v>
      </c>
      <c r="E13" s="223" t="s">
        <v>3</v>
      </c>
      <c r="F13" s="224">
        <v>1</v>
      </c>
      <c r="G13" s="195">
        <v>12</v>
      </c>
      <c r="H13" s="195"/>
    </row>
    <row r="14" spans="1:8" ht="15.75" hidden="1" thickTop="1" x14ac:dyDescent="0.25">
      <c r="A14" s="2">
        <v>43</v>
      </c>
      <c r="B14" s="2" t="str">
        <f t="shared" si="0"/>
        <v>SORTING_EAST_E_2_12</v>
      </c>
      <c r="C14" s="223" t="s">
        <v>45</v>
      </c>
      <c r="D14" s="223" t="s">
        <v>18</v>
      </c>
      <c r="E14" s="223" t="s">
        <v>6</v>
      </c>
      <c r="F14" s="224">
        <v>2</v>
      </c>
      <c r="G14" s="195">
        <v>12</v>
      </c>
      <c r="H14" s="195"/>
    </row>
    <row r="15" spans="1:8" ht="15.75" hidden="1" thickTop="1" x14ac:dyDescent="0.25">
      <c r="A15" s="2">
        <v>43</v>
      </c>
      <c r="B15" s="2" t="str">
        <f t="shared" si="0"/>
        <v>SORTING_EAST_D_1_12</v>
      </c>
      <c r="C15" s="223" t="s">
        <v>45</v>
      </c>
      <c r="D15" s="223" t="s">
        <v>18</v>
      </c>
      <c r="E15" s="223" t="s">
        <v>47</v>
      </c>
      <c r="F15" s="224">
        <v>1</v>
      </c>
      <c r="G15" s="195">
        <v>12</v>
      </c>
      <c r="H15" s="195"/>
    </row>
    <row r="16" spans="1:8" ht="15.75" hidden="1" thickTop="1" x14ac:dyDescent="0.25">
      <c r="A16" s="2">
        <v>43</v>
      </c>
      <c r="B16" s="2" t="str">
        <f t="shared" si="0"/>
        <v>SORTING_EAST_K_2_12</v>
      </c>
      <c r="C16" s="223" t="s">
        <v>45</v>
      </c>
      <c r="D16" s="223" t="s">
        <v>18</v>
      </c>
      <c r="E16" s="223" t="s">
        <v>12</v>
      </c>
      <c r="F16" s="224">
        <v>2</v>
      </c>
      <c r="G16" s="195">
        <v>12</v>
      </c>
      <c r="H16" s="195"/>
    </row>
    <row r="17" spans="1:8" ht="15.75" hidden="1" thickTop="1" x14ac:dyDescent="0.25">
      <c r="A17" s="2">
        <v>43</v>
      </c>
      <c r="B17" s="2" t="str">
        <f t="shared" si="0"/>
        <v>SORTING_WEST_H_1_12</v>
      </c>
      <c r="C17" s="223" t="s">
        <v>45</v>
      </c>
      <c r="D17" s="223" t="s">
        <v>19</v>
      </c>
      <c r="E17" s="223" t="s">
        <v>9</v>
      </c>
      <c r="F17" s="224">
        <v>1</v>
      </c>
      <c r="G17" s="195">
        <v>12</v>
      </c>
      <c r="H17" s="195"/>
    </row>
    <row r="18" spans="1:8" ht="15.75" hidden="1" thickTop="1" x14ac:dyDescent="0.25">
      <c r="A18" s="2">
        <v>43</v>
      </c>
      <c r="B18" s="2" t="str">
        <f t="shared" si="0"/>
        <v>SORTING_WEST_P_2_12</v>
      </c>
      <c r="C18" s="223" t="s">
        <v>45</v>
      </c>
      <c r="D18" s="223" t="s">
        <v>19</v>
      </c>
      <c r="E18" s="223" t="s">
        <v>41</v>
      </c>
      <c r="F18" s="224">
        <v>2</v>
      </c>
      <c r="G18" s="195">
        <v>12</v>
      </c>
      <c r="H18" s="195"/>
    </row>
    <row r="19" spans="1:8" ht="15.75" hidden="1" thickTop="1" x14ac:dyDescent="0.25">
      <c r="A19" s="2">
        <v>43</v>
      </c>
      <c r="B19" s="2" t="str">
        <f t="shared" si="0"/>
        <v>SORTING_WEST_O_1_12</v>
      </c>
      <c r="C19" s="223" t="s">
        <v>45</v>
      </c>
      <c r="D19" s="223" t="s">
        <v>19</v>
      </c>
      <c r="E19" s="223" t="s">
        <v>40</v>
      </c>
      <c r="F19" s="224">
        <v>1</v>
      </c>
      <c r="G19" s="195">
        <v>12</v>
      </c>
      <c r="H19" s="195"/>
    </row>
    <row r="20" spans="1:8" ht="15.75" hidden="1" thickTop="1" x14ac:dyDescent="0.25">
      <c r="A20" s="2">
        <v>43</v>
      </c>
      <c r="B20" s="2" t="str">
        <f t="shared" si="0"/>
        <v>SORTING_WEST_L_2_12</v>
      </c>
      <c r="C20" s="223" t="s">
        <v>45</v>
      </c>
      <c r="D20" s="223" t="s">
        <v>19</v>
      </c>
      <c r="E20" s="223" t="s">
        <v>13</v>
      </c>
      <c r="F20" s="224">
        <v>2</v>
      </c>
      <c r="G20" s="195">
        <v>12</v>
      </c>
      <c r="H20" s="195"/>
    </row>
    <row r="21" spans="1:8" ht="15.75" hidden="1" thickTop="1" x14ac:dyDescent="0.25">
      <c r="A21" s="2">
        <v>43</v>
      </c>
      <c r="B21" s="2" t="str">
        <f t="shared" si="0"/>
        <v>SORTING_WEST_N_1_12</v>
      </c>
      <c r="C21" s="223" t="s">
        <v>45</v>
      </c>
      <c r="D21" s="223" t="s">
        <v>19</v>
      </c>
      <c r="E21" s="223" t="s">
        <v>15</v>
      </c>
      <c r="F21" s="224">
        <v>1</v>
      </c>
      <c r="G21" s="195">
        <v>12</v>
      </c>
      <c r="H21" s="195"/>
    </row>
    <row r="22" spans="1:8" ht="15.75" hidden="1" thickTop="1" x14ac:dyDescent="0.25">
      <c r="A22" s="2">
        <v>43</v>
      </c>
      <c r="B22" s="2" t="str">
        <f t="shared" si="0"/>
        <v>SORTING_WEST_J_2_12</v>
      </c>
      <c r="C22" s="223" t="s">
        <v>45</v>
      </c>
      <c r="D22" s="223" t="s">
        <v>19</v>
      </c>
      <c r="E22" s="223" t="s">
        <v>11</v>
      </c>
      <c r="F22" s="224">
        <v>2</v>
      </c>
      <c r="G22" s="195">
        <v>12</v>
      </c>
      <c r="H22" s="195"/>
    </row>
    <row r="23" spans="1:8" ht="15.75" hidden="1" thickTop="1" x14ac:dyDescent="0.25">
      <c r="A23" s="2">
        <v>43</v>
      </c>
      <c r="B23" s="2" t="str">
        <f t="shared" si="0"/>
        <v>SORTING_WEST_Q_1_12</v>
      </c>
      <c r="C23" s="223" t="s">
        <v>45</v>
      </c>
      <c r="D23" s="223" t="s">
        <v>19</v>
      </c>
      <c r="E23" s="223" t="s">
        <v>59</v>
      </c>
      <c r="F23" s="224">
        <v>1</v>
      </c>
      <c r="G23" s="195">
        <v>12</v>
      </c>
      <c r="H23" s="195"/>
    </row>
    <row r="24" spans="1:8" ht="15.75" hidden="1" thickTop="1" x14ac:dyDescent="0.25">
      <c r="A24" s="2">
        <v>43</v>
      </c>
      <c r="B24" s="2" t="str">
        <f t="shared" si="0"/>
        <v>SORTING_WEST_F_2_12</v>
      </c>
      <c r="C24" s="223" t="s">
        <v>45</v>
      </c>
      <c r="D24" s="223" t="s">
        <v>19</v>
      </c>
      <c r="E24" s="223" t="s">
        <v>7</v>
      </c>
      <c r="F24" s="224">
        <v>2</v>
      </c>
      <c r="G24" s="195">
        <v>12</v>
      </c>
      <c r="H24" s="195"/>
    </row>
    <row r="25" spans="1:8" ht="15.75" hidden="1" thickTop="1" x14ac:dyDescent="0.25">
      <c r="A25" s="2">
        <v>43</v>
      </c>
      <c r="B25" s="2" t="str">
        <f t="shared" si="0"/>
        <v>SORTING_WEST_M_1_12</v>
      </c>
      <c r="C25" s="223" t="s">
        <v>45</v>
      </c>
      <c r="D25" s="223" t="s">
        <v>19</v>
      </c>
      <c r="E25" s="223" t="s">
        <v>14</v>
      </c>
      <c r="F25" s="224">
        <v>1</v>
      </c>
      <c r="G25" s="195">
        <v>12</v>
      </c>
      <c r="H25" s="195"/>
    </row>
    <row r="26" spans="1:8" ht="15.75" hidden="1" thickTop="1" x14ac:dyDescent="0.25">
      <c r="A26" s="2">
        <v>43</v>
      </c>
      <c r="B26" s="2" t="str">
        <f t="shared" si="0"/>
        <v>TRANSFER_EAST_UNP_1_12</v>
      </c>
      <c r="C26" s="223" t="s">
        <v>21</v>
      </c>
      <c r="D26" s="223" t="s">
        <v>18</v>
      </c>
      <c r="E26" s="223" t="s">
        <v>42</v>
      </c>
      <c r="F26" s="224">
        <v>1</v>
      </c>
      <c r="G26" s="195">
        <v>12</v>
      </c>
      <c r="H26" s="195"/>
    </row>
    <row r="27" spans="1:8" ht="15.75" hidden="1" thickTop="1" x14ac:dyDescent="0.25">
      <c r="A27" s="2">
        <v>43</v>
      </c>
      <c r="B27" s="2" t="str">
        <f t="shared" si="0"/>
        <v>TRANSFER_EAST_A_2_12</v>
      </c>
      <c r="C27" s="223" t="s">
        <v>21</v>
      </c>
      <c r="D27" s="223" t="s">
        <v>18</v>
      </c>
      <c r="E27" s="352" t="s">
        <v>2</v>
      </c>
      <c r="F27" s="224">
        <v>2</v>
      </c>
      <c r="G27" s="195">
        <v>12</v>
      </c>
      <c r="H27" s="195"/>
    </row>
    <row r="28" spans="1:8" ht="15.75" hidden="1" thickTop="1" x14ac:dyDescent="0.25">
      <c r="A28" s="2">
        <v>43</v>
      </c>
      <c r="B28" s="2" t="str">
        <f t="shared" si="0"/>
        <v>TRANSFER_EAST_C/U_1_12</v>
      </c>
      <c r="C28" s="223" t="s">
        <v>21</v>
      </c>
      <c r="D28" s="223" t="s">
        <v>18</v>
      </c>
      <c r="E28" s="352" t="s">
        <v>67</v>
      </c>
      <c r="F28" s="224">
        <v>1</v>
      </c>
      <c r="G28" s="195">
        <v>12</v>
      </c>
      <c r="H28" s="195"/>
    </row>
    <row r="29" spans="1:8" ht="15.75" hidden="1" thickTop="1" x14ac:dyDescent="0.25">
      <c r="A29" s="2">
        <v>43</v>
      </c>
      <c r="B29" s="2" t="str">
        <f t="shared" si="0"/>
        <v>TRANSFER_EAST_C_2_12</v>
      </c>
      <c r="C29" s="223" t="s">
        <v>21</v>
      </c>
      <c r="D29" s="223" t="s">
        <v>18</v>
      </c>
      <c r="E29" s="223" t="s">
        <v>4</v>
      </c>
      <c r="F29" s="224">
        <v>2</v>
      </c>
      <c r="G29" s="195">
        <v>12</v>
      </c>
      <c r="H29" s="195"/>
    </row>
    <row r="30" spans="1:8" ht="15.75" hidden="1" thickTop="1" x14ac:dyDescent="0.25">
      <c r="A30" s="2">
        <v>43</v>
      </c>
      <c r="B30" s="2" t="str">
        <f t="shared" si="0"/>
        <v>TRANSFER_EAST_I_1_12</v>
      </c>
      <c r="C30" s="223" t="s">
        <v>21</v>
      </c>
      <c r="D30" s="223" t="s">
        <v>18</v>
      </c>
      <c r="E30" s="223" t="s">
        <v>10</v>
      </c>
      <c r="F30" s="224">
        <v>1</v>
      </c>
      <c r="G30" s="195">
        <v>12</v>
      </c>
      <c r="H30" s="195"/>
    </row>
    <row r="31" spans="1:8" ht="15.75" hidden="1" thickTop="1" x14ac:dyDescent="0.25">
      <c r="A31" s="2">
        <v>43</v>
      </c>
      <c r="B31" s="2" t="str">
        <f t="shared" si="0"/>
        <v>TRANSFER_EAST_G_2_12</v>
      </c>
      <c r="C31" s="223" t="s">
        <v>21</v>
      </c>
      <c r="D31" s="223" t="s">
        <v>18</v>
      </c>
      <c r="E31" s="223" t="s">
        <v>8</v>
      </c>
      <c r="F31" s="224">
        <v>2</v>
      </c>
      <c r="G31" s="195">
        <v>12</v>
      </c>
      <c r="H31" s="195"/>
    </row>
    <row r="32" spans="1:8" ht="15.75" hidden="1" thickTop="1" x14ac:dyDescent="0.25">
      <c r="A32" s="2">
        <v>43</v>
      </c>
      <c r="B32" s="2" t="str">
        <f t="shared" si="0"/>
        <v>TRANSFER_EAST_B_1_12</v>
      </c>
      <c r="C32" s="223" t="s">
        <v>21</v>
      </c>
      <c r="D32" s="223" t="s">
        <v>18</v>
      </c>
      <c r="E32" s="223" t="s">
        <v>3</v>
      </c>
      <c r="F32" s="224">
        <v>1</v>
      </c>
      <c r="G32" s="195">
        <v>12</v>
      </c>
      <c r="H32" s="195"/>
    </row>
    <row r="33" spans="1:8" ht="15.75" hidden="1" thickTop="1" x14ac:dyDescent="0.25">
      <c r="A33" s="2">
        <v>43</v>
      </c>
      <c r="B33" s="2" t="str">
        <f t="shared" si="0"/>
        <v>TRANSFER_EAST_E_2_12</v>
      </c>
      <c r="C33" s="223" t="s">
        <v>21</v>
      </c>
      <c r="D33" s="223" t="s">
        <v>18</v>
      </c>
      <c r="E33" s="223" t="s">
        <v>6</v>
      </c>
      <c r="F33" s="224">
        <v>2</v>
      </c>
      <c r="G33" s="195">
        <v>12</v>
      </c>
      <c r="H33" s="195"/>
    </row>
    <row r="34" spans="1:8" ht="15.75" hidden="1" thickTop="1" x14ac:dyDescent="0.25">
      <c r="A34" s="2">
        <v>43</v>
      </c>
      <c r="B34" s="2" t="str">
        <f t="shared" si="0"/>
        <v>TRANSFER_EAST_D_1_12</v>
      </c>
      <c r="C34" s="223" t="s">
        <v>21</v>
      </c>
      <c r="D34" s="223" t="s">
        <v>18</v>
      </c>
      <c r="E34" s="223" t="s">
        <v>47</v>
      </c>
      <c r="F34" s="224">
        <v>1</v>
      </c>
      <c r="G34" s="195">
        <v>12</v>
      </c>
      <c r="H34" s="195"/>
    </row>
    <row r="35" spans="1:8" ht="15.75" hidden="1" thickTop="1" x14ac:dyDescent="0.25">
      <c r="A35" s="2">
        <v>43</v>
      </c>
      <c r="B35" s="2" t="str">
        <f t="shared" si="0"/>
        <v>TRANSFER_EAST_K_2_12</v>
      </c>
      <c r="C35" s="223" t="s">
        <v>21</v>
      </c>
      <c r="D35" s="223" t="s">
        <v>18</v>
      </c>
      <c r="E35" s="223" t="s">
        <v>12</v>
      </c>
      <c r="F35" s="224">
        <v>2</v>
      </c>
      <c r="G35" s="195">
        <v>12</v>
      </c>
      <c r="H35" s="195"/>
    </row>
    <row r="36" spans="1:8" ht="15.75" hidden="1" thickTop="1" x14ac:dyDescent="0.25">
      <c r="A36" s="2">
        <v>43</v>
      </c>
      <c r="B36" s="2" t="str">
        <f t="shared" si="0"/>
        <v>TRANSFER_WEST_H_1_12</v>
      </c>
      <c r="C36" s="223" t="s">
        <v>21</v>
      </c>
      <c r="D36" s="223" t="s">
        <v>19</v>
      </c>
      <c r="E36" s="223" t="s">
        <v>9</v>
      </c>
      <c r="F36" s="224">
        <v>1</v>
      </c>
      <c r="G36" s="195">
        <v>12</v>
      </c>
      <c r="H36" s="195"/>
    </row>
    <row r="37" spans="1:8" ht="15.75" hidden="1" thickTop="1" x14ac:dyDescent="0.25">
      <c r="A37" s="2">
        <v>43</v>
      </c>
      <c r="B37" s="2" t="str">
        <f t="shared" si="0"/>
        <v>TRANSFER_WEST_P_2_12</v>
      </c>
      <c r="C37" s="223" t="s">
        <v>21</v>
      </c>
      <c r="D37" s="223" t="s">
        <v>19</v>
      </c>
      <c r="E37" s="223" t="s">
        <v>41</v>
      </c>
      <c r="F37" s="224">
        <v>2</v>
      </c>
      <c r="G37" s="195">
        <v>12</v>
      </c>
      <c r="H37" s="195"/>
    </row>
    <row r="38" spans="1:8" ht="15.75" hidden="1" thickTop="1" x14ac:dyDescent="0.25">
      <c r="A38" s="2">
        <v>43</v>
      </c>
      <c r="B38" s="2" t="str">
        <f t="shared" si="0"/>
        <v>TRANSFER_WEST_O_1_12</v>
      </c>
      <c r="C38" s="223" t="s">
        <v>21</v>
      </c>
      <c r="D38" s="223" t="s">
        <v>19</v>
      </c>
      <c r="E38" s="223" t="s">
        <v>40</v>
      </c>
      <c r="F38" s="224">
        <v>1</v>
      </c>
      <c r="G38" s="195">
        <v>12</v>
      </c>
      <c r="H38" s="195"/>
    </row>
    <row r="39" spans="1:8" ht="15.75" hidden="1" thickTop="1" x14ac:dyDescent="0.25">
      <c r="A39" s="2">
        <v>43</v>
      </c>
      <c r="B39" s="2" t="str">
        <f t="shared" si="0"/>
        <v>TRANSFER_WEST_L_2_12</v>
      </c>
      <c r="C39" s="223" t="s">
        <v>21</v>
      </c>
      <c r="D39" s="223" t="s">
        <v>19</v>
      </c>
      <c r="E39" s="223" t="s">
        <v>13</v>
      </c>
      <c r="F39" s="224">
        <v>2</v>
      </c>
      <c r="G39" s="195">
        <v>12</v>
      </c>
      <c r="H39" s="195"/>
    </row>
    <row r="40" spans="1:8" ht="15.75" hidden="1" thickTop="1" x14ac:dyDescent="0.25">
      <c r="A40" s="2">
        <v>43</v>
      </c>
      <c r="B40" s="2" t="str">
        <f t="shared" si="0"/>
        <v>TRANSFER_WEST_N_1_12</v>
      </c>
      <c r="C40" s="223" t="s">
        <v>21</v>
      </c>
      <c r="D40" s="223" t="s">
        <v>19</v>
      </c>
      <c r="E40" s="223" t="s">
        <v>15</v>
      </c>
      <c r="F40" s="224">
        <v>1</v>
      </c>
      <c r="G40" s="195">
        <v>12</v>
      </c>
      <c r="H40" s="195"/>
    </row>
    <row r="41" spans="1:8" ht="15.75" hidden="1" thickTop="1" x14ac:dyDescent="0.25">
      <c r="A41" s="2">
        <v>43</v>
      </c>
      <c r="B41" s="2" t="str">
        <f t="shared" si="0"/>
        <v>TRANSFER_WEST_J_2_12</v>
      </c>
      <c r="C41" s="223" t="s">
        <v>21</v>
      </c>
      <c r="D41" s="223" t="s">
        <v>19</v>
      </c>
      <c r="E41" s="223" t="s">
        <v>11</v>
      </c>
      <c r="F41" s="224">
        <v>2</v>
      </c>
      <c r="G41" s="195">
        <v>12</v>
      </c>
      <c r="H41" s="195"/>
    </row>
    <row r="42" spans="1:8" ht="15.75" hidden="1" thickTop="1" x14ac:dyDescent="0.25">
      <c r="A42" s="2">
        <v>43</v>
      </c>
      <c r="B42" s="2" t="str">
        <f t="shared" si="0"/>
        <v>TRANSFER_WEST_Q_1_12</v>
      </c>
      <c r="C42" s="223" t="s">
        <v>21</v>
      </c>
      <c r="D42" s="223" t="s">
        <v>19</v>
      </c>
      <c r="E42" s="223" t="s">
        <v>59</v>
      </c>
      <c r="F42" s="224">
        <v>1</v>
      </c>
      <c r="G42" s="195">
        <v>12</v>
      </c>
      <c r="H42" s="195"/>
    </row>
    <row r="43" spans="1:8" ht="15.75" hidden="1" thickTop="1" x14ac:dyDescent="0.25">
      <c r="A43" s="2">
        <v>43</v>
      </c>
      <c r="B43" s="2" t="str">
        <f t="shared" si="0"/>
        <v>TRANSFER_WEST_F_2_12</v>
      </c>
      <c r="C43" s="223" t="s">
        <v>21</v>
      </c>
      <c r="D43" s="223" t="s">
        <v>19</v>
      </c>
      <c r="E43" s="223" t="s">
        <v>7</v>
      </c>
      <c r="F43" s="224">
        <v>2</v>
      </c>
      <c r="G43" s="195">
        <v>12</v>
      </c>
      <c r="H43" s="195"/>
    </row>
    <row r="44" spans="1:8" ht="15.75" hidden="1" thickTop="1" x14ac:dyDescent="0.25">
      <c r="A44" s="2">
        <v>43</v>
      </c>
      <c r="B44" s="2" t="str">
        <f t="shared" si="0"/>
        <v>TRANSFER_WEST_M_1_12</v>
      </c>
      <c r="C44" s="223" t="s">
        <v>21</v>
      </c>
      <c r="D44" s="223" t="s">
        <v>19</v>
      </c>
      <c r="E44" s="223" t="s">
        <v>14</v>
      </c>
      <c r="F44" s="224">
        <v>1</v>
      </c>
      <c r="G44" s="195">
        <v>12</v>
      </c>
      <c r="H44" s="195"/>
    </row>
    <row r="45" spans="1:8" ht="15.75" hidden="1" thickTop="1" x14ac:dyDescent="0.25">
      <c r="A45" s="2">
        <v>43</v>
      </c>
      <c r="B45" s="2" t="str">
        <f t="shared" si="0"/>
        <v>PREPARE_EAST_UNP_1_12</v>
      </c>
      <c r="C45" s="223" t="s">
        <v>46</v>
      </c>
      <c r="D45" s="223" t="s">
        <v>18</v>
      </c>
      <c r="E45" s="223" t="s">
        <v>42</v>
      </c>
      <c r="F45" s="224">
        <v>1</v>
      </c>
      <c r="G45" s="195">
        <v>12</v>
      </c>
      <c r="H45" s="195"/>
    </row>
    <row r="46" spans="1:8" ht="15.75" hidden="1" thickTop="1" x14ac:dyDescent="0.25">
      <c r="A46" s="2">
        <v>43</v>
      </c>
      <c r="B46" s="2" t="str">
        <f t="shared" si="0"/>
        <v>PREPARE_EAST_A_2_12</v>
      </c>
      <c r="C46" s="223" t="s">
        <v>46</v>
      </c>
      <c r="D46" s="223" t="s">
        <v>18</v>
      </c>
      <c r="E46" s="352" t="s">
        <v>2</v>
      </c>
      <c r="F46" s="224">
        <v>2</v>
      </c>
      <c r="G46" s="195">
        <v>12</v>
      </c>
      <c r="H46" s="195"/>
    </row>
    <row r="47" spans="1:8" ht="15.75" hidden="1" thickTop="1" x14ac:dyDescent="0.25">
      <c r="A47" s="2">
        <v>43</v>
      </c>
      <c r="B47" s="2" t="str">
        <f t="shared" si="0"/>
        <v>PREPARE_EAST_C/U_1_12</v>
      </c>
      <c r="C47" s="223" t="s">
        <v>46</v>
      </c>
      <c r="D47" s="223" t="s">
        <v>18</v>
      </c>
      <c r="E47" s="352" t="s">
        <v>67</v>
      </c>
      <c r="F47" s="224">
        <v>1</v>
      </c>
      <c r="G47" s="195">
        <v>12</v>
      </c>
      <c r="H47" s="195"/>
    </row>
    <row r="48" spans="1:8" ht="15.75" hidden="1" thickTop="1" x14ac:dyDescent="0.25">
      <c r="A48" s="2">
        <v>43</v>
      </c>
      <c r="B48" s="2" t="str">
        <f t="shared" si="0"/>
        <v>PREPARE_EAST_C_2_12</v>
      </c>
      <c r="C48" s="223" t="s">
        <v>46</v>
      </c>
      <c r="D48" s="223" t="s">
        <v>18</v>
      </c>
      <c r="E48" s="223" t="s">
        <v>4</v>
      </c>
      <c r="F48" s="224">
        <v>2</v>
      </c>
      <c r="G48" s="195">
        <v>12</v>
      </c>
      <c r="H48" s="195"/>
    </row>
    <row r="49" spans="1:8" ht="15.75" hidden="1" thickTop="1" x14ac:dyDescent="0.25">
      <c r="A49" s="2">
        <v>43</v>
      </c>
      <c r="B49" s="2" t="str">
        <f t="shared" si="0"/>
        <v>PREPARE_EAST_I_1_12</v>
      </c>
      <c r="C49" s="223" t="s">
        <v>46</v>
      </c>
      <c r="D49" s="223" t="s">
        <v>18</v>
      </c>
      <c r="E49" s="223" t="s">
        <v>10</v>
      </c>
      <c r="F49" s="224">
        <v>1</v>
      </c>
      <c r="G49" s="195">
        <v>12</v>
      </c>
      <c r="H49" s="195"/>
    </row>
    <row r="50" spans="1:8" ht="15.75" hidden="1" thickTop="1" x14ac:dyDescent="0.25">
      <c r="A50" s="2">
        <v>43</v>
      </c>
      <c r="B50" s="2" t="str">
        <f t="shared" si="0"/>
        <v>PREPARE_EAST_G_2_12</v>
      </c>
      <c r="C50" s="223" t="s">
        <v>46</v>
      </c>
      <c r="D50" s="223" t="s">
        <v>18</v>
      </c>
      <c r="E50" s="223" t="s">
        <v>8</v>
      </c>
      <c r="F50" s="224">
        <v>2</v>
      </c>
      <c r="G50" s="195">
        <v>12</v>
      </c>
      <c r="H50" s="195"/>
    </row>
    <row r="51" spans="1:8" ht="15.75" hidden="1" thickTop="1" x14ac:dyDescent="0.25">
      <c r="A51" s="2">
        <v>43</v>
      </c>
      <c r="B51" s="2" t="str">
        <f t="shared" si="0"/>
        <v>PREPARE_EAST_B_1_12</v>
      </c>
      <c r="C51" s="223" t="s">
        <v>46</v>
      </c>
      <c r="D51" s="223" t="s">
        <v>18</v>
      </c>
      <c r="E51" s="223" t="s">
        <v>3</v>
      </c>
      <c r="F51" s="224">
        <v>1</v>
      </c>
      <c r="G51" s="195">
        <v>12</v>
      </c>
      <c r="H51" s="195"/>
    </row>
    <row r="52" spans="1:8" ht="15.75" hidden="1" thickTop="1" x14ac:dyDescent="0.25">
      <c r="A52" s="2">
        <v>43</v>
      </c>
      <c r="B52" s="2" t="str">
        <f t="shared" si="0"/>
        <v>PREPARE_EAST_E_2_12</v>
      </c>
      <c r="C52" s="223" t="s">
        <v>46</v>
      </c>
      <c r="D52" s="223" t="s">
        <v>18</v>
      </c>
      <c r="E52" s="223" t="s">
        <v>6</v>
      </c>
      <c r="F52" s="224">
        <v>2</v>
      </c>
      <c r="G52" s="195">
        <v>12</v>
      </c>
      <c r="H52" s="195"/>
    </row>
    <row r="53" spans="1:8" ht="15.75" hidden="1" thickTop="1" x14ac:dyDescent="0.25">
      <c r="A53" s="2">
        <v>43</v>
      </c>
      <c r="B53" s="2" t="str">
        <f t="shared" si="0"/>
        <v>PREPARE_EAST_D_1_12</v>
      </c>
      <c r="C53" s="223" t="s">
        <v>46</v>
      </c>
      <c r="D53" s="223" t="s">
        <v>18</v>
      </c>
      <c r="E53" s="223" t="s">
        <v>47</v>
      </c>
      <c r="F53" s="224">
        <v>1</v>
      </c>
      <c r="G53" s="195">
        <v>12</v>
      </c>
      <c r="H53" s="195"/>
    </row>
    <row r="54" spans="1:8" ht="15.75" hidden="1" thickTop="1" x14ac:dyDescent="0.25">
      <c r="A54" s="2">
        <v>43</v>
      </c>
      <c r="B54" s="2" t="str">
        <f t="shared" si="0"/>
        <v>PREPARE_EAST_K_2_12</v>
      </c>
      <c r="C54" s="223" t="s">
        <v>46</v>
      </c>
      <c r="D54" s="223" t="s">
        <v>18</v>
      </c>
      <c r="E54" s="223" t="s">
        <v>12</v>
      </c>
      <c r="F54" s="224">
        <v>2</v>
      </c>
      <c r="G54" s="195">
        <v>12</v>
      </c>
      <c r="H54" s="195"/>
    </row>
    <row r="55" spans="1:8" ht="15.75" hidden="1" thickTop="1" x14ac:dyDescent="0.25">
      <c r="A55" s="2">
        <v>43</v>
      </c>
      <c r="B55" s="2" t="str">
        <f t="shared" si="0"/>
        <v>PREPARE_WEST_H_1_12</v>
      </c>
      <c r="C55" s="223" t="s">
        <v>46</v>
      </c>
      <c r="D55" s="223" t="s">
        <v>19</v>
      </c>
      <c r="E55" s="223" t="s">
        <v>9</v>
      </c>
      <c r="F55" s="224">
        <v>1</v>
      </c>
      <c r="G55" s="195">
        <v>12</v>
      </c>
      <c r="H55" s="195"/>
    </row>
    <row r="56" spans="1:8" ht="15.75" hidden="1" thickTop="1" x14ac:dyDescent="0.25">
      <c r="A56" s="2">
        <v>43</v>
      </c>
      <c r="B56" s="2" t="str">
        <f t="shared" si="0"/>
        <v>PREPARE_WEST_P_2_12</v>
      </c>
      <c r="C56" s="223" t="s">
        <v>46</v>
      </c>
      <c r="D56" s="223" t="s">
        <v>19</v>
      </c>
      <c r="E56" s="223" t="s">
        <v>41</v>
      </c>
      <c r="F56" s="224">
        <v>2</v>
      </c>
      <c r="G56" s="195">
        <v>12</v>
      </c>
      <c r="H56" s="195"/>
    </row>
    <row r="57" spans="1:8" ht="15.75" hidden="1" thickTop="1" x14ac:dyDescent="0.25">
      <c r="A57" s="2">
        <v>43</v>
      </c>
      <c r="B57" s="2" t="str">
        <f t="shared" si="0"/>
        <v>PREPARE_WEST_O_1_12</v>
      </c>
      <c r="C57" s="223" t="s">
        <v>46</v>
      </c>
      <c r="D57" s="223" t="s">
        <v>19</v>
      </c>
      <c r="E57" s="223" t="s">
        <v>40</v>
      </c>
      <c r="F57" s="224">
        <v>1</v>
      </c>
      <c r="G57" s="195">
        <v>12</v>
      </c>
      <c r="H57" s="195"/>
    </row>
    <row r="58" spans="1:8" ht="15.75" hidden="1" thickTop="1" x14ac:dyDescent="0.25">
      <c r="A58" s="2">
        <v>43</v>
      </c>
      <c r="B58" s="2" t="str">
        <f t="shared" si="0"/>
        <v>PREPARE_WEST_L_2_12</v>
      </c>
      <c r="C58" s="223" t="s">
        <v>46</v>
      </c>
      <c r="D58" s="223" t="s">
        <v>19</v>
      </c>
      <c r="E58" s="223" t="s">
        <v>13</v>
      </c>
      <c r="F58" s="224">
        <v>2</v>
      </c>
      <c r="G58" s="195">
        <v>12</v>
      </c>
      <c r="H58" s="195"/>
    </row>
    <row r="59" spans="1:8" ht="15.75" hidden="1" thickTop="1" x14ac:dyDescent="0.25">
      <c r="A59" s="2">
        <v>43</v>
      </c>
      <c r="B59" s="2" t="str">
        <f t="shared" si="0"/>
        <v>PREPARE_WEST_N_1_12</v>
      </c>
      <c r="C59" s="223" t="s">
        <v>46</v>
      </c>
      <c r="D59" s="223" t="s">
        <v>19</v>
      </c>
      <c r="E59" s="223" t="s">
        <v>15</v>
      </c>
      <c r="F59" s="224">
        <v>1</v>
      </c>
      <c r="G59" s="195">
        <v>12</v>
      </c>
      <c r="H59" s="195"/>
    </row>
    <row r="60" spans="1:8" ht="15.75" hidden="1" thickTop="1" x14ac:dyDescent="0.25">
      <c r="A60" s="2">
        <v>43</v>
      </c>
      <c r="B60" s="2" t="str">
        <f t="shared" si="0"/>
        <v>PREPARE_WEST_J_2_12</v>
      </c>
      <c r="C60" s="223" t="s">
        <v>46</v>
      </c>
      <c r="D60" s="223" t="s">
        <v>19</v>
      </c>
      <c r="E60" s="223" t="s">
        <v>11</v>
      </c>
      <c r="F60" s="224">
        <v>2</v>
      </c>
      <c r="G60" s="195">
        <v>12</v>
      </c>
      <c r="H60" s="195"/>
    </row>
    <row r="61" spans="1:8" ht="15.75" hidden="1" thickTop="1" x14ac:dyDescent="0.25">
      <c r="A61" s="2">
        <v>43</v>
      </c>
      <c r="B61" s="2" t="str">
        <f t="shared" si="0"/>
        <v>PREPARE_WEST_Q_1_12</v>
      </c>
      <c r="C61" s="223" t="s">
        <v>46</v>
      </c>
      <c r="D61" s="223" t="s">
        <v>19</v>
      </c>
      <c r="E61" s="223" t="s">
        <v>59</v>
      </c>
      <c r="F61" s="224">
        <v>1</v>
      </c>
      <c r="G61" s="195">
        <v>12</v>
      </c>
      <c r="H61" s="195"/>
    </row>
    <row r="62" spans="1:8" ht="15.75" hidden="1" thickTop="1" x14ac:dyDescent="0.25">
      <c r="A62" s="2">
        <v>43</v>
      </c>
      <c r="B62" s="2" t="str">
        <f t="shared" si="0"/>
        <v>PREPARE_WEST_F_2_12</v>
      </c>
      <c r="C62" s="223" t="s">
        <v>46</v>
      </c>
      <c r="D62" s="223" t="s">
        <v>19</v>
      </c>
      <c r="E62" s="223" t="s">
        <v>7</v>
      </c>
      <c r="F62" s="224">
        <v>2</v>
      </c>
      <c r="G62" s="195">
        <v>12</v>
      </c>
      <c r="H62" s="195"/>
    </row>
    <row r="63" spans="1:8" ht="15.75" hidden="1" thickTop="1" x14ac:dyDescent="0.25">
      <c r="A63" s="2">
        <v>43</v>
      </c>
      <c r="B63" s="2" t="str">
        <f t="shared" si="0"/>
        <v>PREPARE_WEST_M_1_12</v>
      </c>
      <c r="C63" s="223" t="s">
        <v>46</v>
      </c>
      <c r="D63" s="223" t="s">
        <v>19</v>
      </c>
      <c r="E63" s="223" t="s">
        <v>14</v>
      </c>
      <c r="F63" s="224">
        <v>1</v>
      </c>
      <c r="G63" s="195">
        <v>12</v>
      </c>
      <c r="H63" s="195"/>
    </row>
    <row r="64" spans="1:8" ht="15.75" hidden="1" thickTop="1" x14ac:dyDescent="0.25">
      <c r="A64" s="2">
        <v>43</v>
      </c>
      <c r="B64" s="2" t="str">
        <f t="shared" si="0"/>
        <v>SUPPLY_EAST_UNP_1_12</v>
      </c>
      <c r="C64" s="223" t="s">
        <v>0</v>
      </c>
      <c r="D64" s="223" t="s">
        <v>18</v>
      </c>
      <c r="E64" s="223" t="s">
        <v>42</v>
      </c>
      <c r="F64" s="224">
        <v>1</v>
      </c>
      <c r="G64" s="195">
        <v>12</v>
      </c>
      <c r="H64" s="195"/>
    </row>
    <row r="65" spans="1:8" ht="15.75" hidden="1" thickTop="1" x14ac:dyDescent="0.25">
      <c r="A65" s="2">
        <v>43</v>
      </c>
      <c r="B65" s="2" t="str">
        <f t="shared" si="0"/>
        <v>SUPPLY_EAST_A_2_12</v>
      </c>
      <c r="C65" s="223" t="s">
        <v>0</v>
      </c>
      <c r="D65" s="223" t="s">
        <v>18</v>
      </c>
      <c r="E65" s="352" t="s">
        <v>2</v>
      </c>
      <c r="F65" s="224">
        <v>2</v>
      </c>
      <c r="G65" s="195">
        <v>12</v>
      </c>
      <c r="H65" s="195"/>
    </row>
    <row r="66" spans="1:8" ht="15.75" hidden="1" thickTop="1" x14ac:dyDescent="0.25">
      <c r="A66" s="2">
        <v>43</v>
      </c>
      <c r="B66" s="2" t="str">
        <f t="shared" si="0"/>
        <v>SUPPLY_EAST_C/U_1_12</v>
      </c>
      <c r="C66" s="223" t="s">
        <v>0</v>
      </c>
      <c r="D66" s="223" t="s">
        <v>18</v>
      </c>
      <c r="E66" s="352" t="s">
        <v>67</v>
      </c>
      <c r="F66" s="224">
        <v>1</v>
      </c>
      <c r="G66" s="195">
        <v>12</v>
      </c>
      <c r="H66" s="195"/>
    </row>
    <row r="67" spans="1:8" ht="15.75" hidden="1" thickTop="1" x14ac:dyDescent="0.25">
      <c r="A67" s="2">
        <v>43</v>
      </c>
      <c r="B67" s="2" t="str">
        <f t="shared" si="0"/>
        <v>SUPPLY_EAST_C_2_12</v>
      </c>
      <c r="C67" s="223" t="s">
        <v>0</v>
      </c>
      <c r="D67" s="223" t="s">
        <v>18</v>
      </c>
      <c r="E67" s="223" t="s">
        <v>4</v>
      </c>
      <c r="F67" s="224">
        <v>2</v>
      </c>
      <c r="G67" s="195">
        <v>12</v>
      </c>
      <c r="H67" s="195"/>
    </row>
    <row r="68" spans="1:8" ht="15.75" hidden="1" thickTop="1" x14ac:dyDescent="0.25">
      <c r="A68" s="2">
        <v>43</v>
      </c>
      <c r="B68" s="2" t="str">
        <f t="shared" si="0"/>
        <v>SUPPLY_EAST_I_1_12</v>
      </c>
      <c r="C68" s="223" t="s">
        <v>0</v>
      </c>
      <c r="D68" s="223" t="s">
        <v>18</v>
      </c>
      <c r="E68" s="223" t="s">
        <v>10</v>
      </c>
      <c r="F68" s="224">
        <v>1</v>
      </c>
      <c r="G68" s="195">
        <v>12</v>
      </c>
      <c r="H68" s="195"/>
    </row>
    <row r="69" spans="1:8" ht="15.75" hidden="1" thickTop="1" x14ac:dyDescent="0.25">
      <c r="A69" s="2">
        <v>43</v>
      </c>
      <c r="B69" s="2" t="str">
        <f t="shared" si="0"/>
        <v>SUPPLY_EAST_G_2_12</v>
      </c>
      <c r="C69" s="223" t="s">
        <v>0</v>
      </c>
      <c r="D69" s="223" t="s">
        <v>18</v>
      </c>
      <c r="E69" s="223" t="s">
        <v>8</v>
      </c>
      <c r="F69" s="224">
        <v>2</v>
      </c>
      <c r="G69" s="195">
        <v>12</v>
      </c>
      <c r="H69" s="195"/>
    </row>
    <row r="70" spans="1:8" ht="15.75" hidden="1" thickTop="1" x14ac:dyDescent="0.25">
      <c r="A70" s="2">
        <v>43</v>
      </c>
      <c r="B70" s="2" t="str">
        <f t="shared" si="0"/>
        <v>SUPPLY_EAST_B_1_12</v>
      </c>
      <c r="C70" s="223" t="s">
        <v>0</v>
      </c>
      <c r="D70" s="223" t="s">
        <v>18</v>
      </c>
      <c r="E70" s="223" t="s">
        <v>3</v>
      </c>
      <c r="F70" s="224">
        <v>1</v>
      </c>
      <c r="G70" s="195">
        <v>12</v>
      </c>
      <c r="H70" s="195"/>
    </row>
    <row r="71" spans="1:8" ht="15.75" hidden="1" thickTop="1" x14ac:dyDescent="0.25">
      <c r="A71" s="2">
        <v>43</v>
      </c>
      <c r="B71" s="2" t="str">
        <f t="shared" si="0"/>
        <v>SUPPLY_EAST_E_2_12</v>
      </c>
      <c r="C71" s="223" t="s">
        <v>0</v>
      </c>
      <c r="D71" s="223" t="s">
        <v>18</v>
      </c>
      <c r="E71" s="223" t="s">
        <v>6</v>
      </c>
      <c r="F71" s="224">
        <v>2</v>
      </c>
      <c r="G71" s="195">
        <v>12</v>
      </c>
      <c r="H71" s="195"/>
    </row>
    <row r="72" spans="1:8" ht="15.75" hidden="1" thickTop="1" x14ac:dyDescent="0.25">
      <c r="A72" s="2">
        <v>43</v>
      </c>
      <c r="B72" s="2" t="str">
        <f t="shared" si="0"/>
        <v>SUPPLY_EAST_D_1_12</v>
      </c>
      <c r="C72" s="223" t="s">
        <v>0</v>
      </c>
      <c r="D72" s="223" t="s">
        <v>18</v>
      </c>
      <c r="E72" s="223" t="s">
        <v>47</v>
      </c>
      <c r="F72" s="224">
        <v>1</v>
      </c>
      <c r="G72" s="195">
        <v>12</v>
      </c>
      <c r="H72" s="195"/>
    </row>
    <row r="73" spans="1:8" ht="15.75" hidden="1" thickTop="1" x14ac:dyDescent="0.25">
      <c r="A73" s="2">
        <v>43</v>
      </c>
      <c r="B73" s="2" t="str">
        <f t="shared" si="0"/>
        <v>SUPPLY_EAST_K_2_12</v>
      </c>
      <c r="C73" s="223" t="s">
        <v>0</v>
      </c>
      <c r="D73" s="223" t="s">
        <v>18</v>
      </c>
      <c r="E73" s="223" t="s">
        <v>12</v>
      </c>
      <c r="F73" s="224">
        <v>2</v>
      </c>
      <c r="G73" s="195">
        <v>12</v>
      </c>
      <c r="H73" s="195"/>
    </row>
    <row r="74" spans="1:8" ht="15.75" hidden="1" thickTop="1" x14ac:dyDescent="0.25">
      <c r="A74" s="2">
        <v>43</v>
      </c>
      <c r="B74" s="2" t="str">
        <f t="shared" ref="B74:B101" si="1">C74&amp;"_"&amp;D74&amp;"_"&amp;E74&amp;"_"&amp;F74&amp;"_"&amp;G74</f>
        <v>SUPPLY_WEST_H_1_12</v>
      </c>
      <c r="C74" s="223" t="s">
        <v>0</v>
      </c>
      <c r="D74" s="223" t="s">
        <v>19</v>
      </c>
      <c r="E74" s="223" t="s">
        <v>9</v>
      </c>
      <c r="F74" s="224">
        <v>1</v>
      </c>
      <c r="G74" s="195">
        <v>12</v>
      </c>
      <c r="H74" s="195"/>
    </row>
    <row r="75" spans="1:8" ht="15.75" hidden="1" thickTop="1" x14ac:dyDescent="0.25">
      <c r="A75" s="2">
        <v>43</v>
      </c>
      <c r="B75" s="2" t="str">
        <f t="shared" si="1"/>
        <v>SUPPLY_WEST_P_2_12</v>
      </c>
      <c r="C75" s="223" t="s">
        <v>0</v>
      </c>
      <c r="D75" s="223" t="s">
        <v>19</v>
      </c>
      <c r="E75" s="223" t="s">
        <v>41</v>
      </c>
      <c r="F75" s="224">
        <v>2</v>
      </c>
      <c r="G75" s="195">
        <v>12</v>
      </c>
      <c r="H75" s="195"/>
    </row>
    <row r="76" spans="1:8" ht="15.75" hidden="1" thickTop="1" x14ac:dyDescent="0.25">
      <c r="A76" s="2">
        <v>43</v>
      </c>
      <c r="B76" s="2" t="str">
        <f t="shared" si="1"/>
        <v>SUPPLY_WEST_O_1_12</v>
      </c>
      <c r="C76" s="223" t="s">
        <v>0</v>
      </c>
      <c r="D76" s="223" t="s">
        <v>19</v>
      </c>
      <c r="E76" s="223" t="s">
        <v>40</v>
      </c>
      <c r="F76" s="224">
        <v>1</v>
      </c>
      <c r="G76" s="195">
        <v>12</v>
      </c>
      <c r="H76" s="195"/>
    </row>
    <row r="77" spans="1:8" ht="15.75" hidden="1" thickTop="1" x14ac:dyDescent="0.25">
      <c r="A77" s="2">
        <v>43</v>
      </c>
      <c r="B77" s="2" t="str">
        <f t="shared" si="1"/>
        <v>SUPPLY_WEST_L_2_12</v>
      </c>
      <c r="C77" s="223" t="s">
        <v>0</v>
      </c>
      <c r="D77" s="223" t="s">
        <v>19</v>
      </c>
      <c r="E77" s="223" t="s">
        <v>13</v>
      </c>
      <c r="F77" s="224">
        <v>2</v>
      </c>
      <c r="G77" s="195">
        <v>12</v>
      </c>
      <c r="H77" s="195"/>
    </row>
    <row r="78" spans="1:8" ht="15.75" hidden="1" thickTop="1" x14ac:dyDescent="0.25">
      <c r="A78" s="2">
        <v>43</v>
      </c>
      <c r="B78" s="2" t="str">
        <f t="shared" si="1"/>
        <v>SUPPLY_WEST_N_1_12</v>
      </c>
      <c r="C78" s="223" t="s">
        <v>0</v>
      </c>
      <c r="D78" s="223" t="s">
        <v>19</v>
      </c>
      <c r="E78" s="223" t="s">
        <v>15</v>
      </c>
      <c r="F78" s="224">
        <v>1</v>
      </c>
      <c r="G78" s="195">
        <v>12</v>
      </c>
      <c r="H78" s="195"/>
    </row>
    <row r="79" spans="1:8" ht="15.75" hidden="1" thickTop="1" x14ac:dyDescent="0.25">
      <c r="A79" s="2">
        <v>43</v>
      </c>
      <c r="B79" s="2" t="str">
        <f t="shared" si="1"/>
        <v>SUPPLY_WEST_J_2_12</v>
      </c>
      <c r="C79" s="223" t="s">
        <v>0</v>
      </c>
      <c r="D79" s="223" t="s">
        <v>19</v>
      </c>
      <c r="E79" s="223" t="s">
        <v>11</v>
      </c>
      <c r="F79" s="224">
        <v>2</v>
      </c>
      <c r="G79" s="195">
        <v>12</v>
      </c>
      <c r="H79" s="195"/>
    </row>
    <row r="80" spans="1:8" ht="15.75" hidden="1" thickTop="1" x14ac:dyDescent="0.25">
      <c r="A80" s="2">
        <v>43</v>
      </c>
      <c r="B80" s="2" t="str">
        <f t="shared" si="1"/>
        <v>SUPPLY_WEST_Q_1_12</v>
      </c>
      <c r="C80" s="223" t="s">
        <v>0</v>
      </c>
      <c r="D80" s="223" t="s">
        <v>19</v>
      </c>
      <c r="E80" s="223" t="s">
        <v>59</v>
      </c>
      <c r="F80" s="224">
        <v>1</v>
      </c>
      <c r="G80" s="195">
        <v>12</v>
      </c>
      <c r="H80" s="195"/>
    </row>
    <row r="81" spans="1:8" ht="15.75" hidden="1" thickTop="1" x14ac:dyDescent="0.25">
      <c r="A81" s="2">
        <v>43</v>
      </c>
      <c r="B81" s="2" t="str">
        <f t="shared" si="1"/>
        <v>SUPPLY_WEST_F_2_12</v>
      </c>
      <c r="C81" s="223" t="s">
        <v>0</v>
      </c>
      <c r="D81" s="223" t="s">
        <v>19</v>
      </c>
      <c r="E81" s="223" t="s">
        <v>7</v>
      </c>
      <c r="F81" s="224">
        <v>2</v>
      </c>
      <c r="G81" s="195">
        <v>12</v>
      </c>
      <c r="H81" s="195"/>
    </row>
    <row r="82" spans="1:8" ht="15.75" hidden="1" thickTop="1" x14ac:dyDescent="0.25">
      <c r="A82" s="2">
        <v>43</v>
      </c>
      <c r="B82" s="2" t="str">
        <f t="shared" si="1"/>
        <v>SUPPLY_WEST_M_1_12</v>
      </c>
      <c r="C82" s="223" t="s">
        <v>0</v>
      </c>
      <c r="D82" s="223" t="s">
        <v>19</v>
      </c>
      <c r="E82" s="223" t="s">
        <v>14</v>
      </c>
      <c r="F82" s="224">
        <v>1</v>
      </c>
      <c r="G82" s="195">
        <v>12</v>
      </c>
      <c r="H82" s="195"/>
    </row>
    <row r="83" spans="1:8" ht="15.75" hidden="1" thickTop="1" x14ac:dyDescent="0.25">
      <c r="A83" s="2">
        <v>43</v>
      </c>
      <c r="B83" s="2" t="str">
        <f t="shared" si="1"/>
        <v>EMPTY_EAST_UNP_1_12</v>
      </c>
      <c r="C83" s="223" t="s">
        <v>32</v>
      </c>
      <c r="D83" s="223" t="s">
        <v>18</v>
      </c>
      <c r="E83" s="223" t="s">
        <v>42</v>
      </c>
      <c r="F83" s="224">
        <v>1</v>
      </c>
      <c r="G83" s="195">
        <v>12</v>
      </c>
      <c r="H83" s="195"/>
    </row>
    <row r="84" spans="1:8" ht="15.75" hidden="1" thickTop="1" x14ac:dyDescent="0.25">
      <c r="A84" s="2">
        <v>43</v>
      </c>
      <c r="B84" s="2" t="str">
        <f t="shared" si="1"/>
        <v>EMPTY_EAST_A_2_12</v>
      </c>
      <c r="C84" s="223" t="s">
        <v>32</v>
      </c>
      <c r="D84" s="223" t="s">
        <v>18</v>
      </c>
      <c r="E84" s="352" t="s">
        <v>2</v>
      </c>
      <c r="F84" s="224">
        <v>2</v>
      </c>
      <c r="G84" s="195">
        <v>12</v>
      </c>
      <c r="H84" s="195"/>
    </row>
    <row r="85" spans="1:8" ht="15.75" hidden="1" thickTop="1" x14ac:dyDescent="0.25">
      <c r="A85" s="2">
        <v>43</v>
      </c>
      <c r="B85" s="2" t="str">
        <f t="shared" si="1"/>
        <v>EMPTY_EAST_C/U_1_12</v>
      </c>
      <c r="C85" s="223" t="s">
        <v>32</v>
      </c>
      <c r="D85" s="223" t="s">
        <v>18</v>
      </c>
      <c r="E85" s="352" t="s">
        <v>67</v>
      </c>
      <c r="F85" s="224">
        <v>1</v>
      </c>
      <c r="G85" s="195">
        <v>12</v>
      </c>
      <c r="H85" s="195"/>
    </row>
    <row r="86" spans="1:8" ht="15.75" hidden="1" thickTop="1" x14ac:dyDescent="0.25">
      <c r="A86" s="2">
        <v>43</v>
      </c>
      <c r="B86" s="2" t="str">
        <f t="shared" si="1"/>
        <v>EMPTY_EAST_C_2_12</v>
      </c>
      <c r="C86" s="223" t="s">
        <v>32</v>
      </c>
      <c r="D86" s="223" t="s">
        <v>18</v>
      </c>
      <c r="E86" s="223" t="s">
        <v>4</v>
      </c>
      <c r="F86" s="224">
        <v>2</v>
      </c>
      <c r="G86" s="195">
        <v>12</v>
      </c>
      <c r="H86" s="195"/>
    </row>
    <row r="87" spans="1:8" ht="15.75" hidden="1" thickTop="1" x14ac:dyDescent="0.25">
      <c r="A87" s="2">
        <v>43</v>
      </c>
      <c r="B87" s="2" t="str">
        <f t="shared" si="1"/>
        <v>EMPTY_EAST_I_1_12</v>
      </c>
      <c r="C87" s="223" t="s">
        <v>32</v>
      </c>
      <c r="D87" s="223" t="s">
        <v>18</v>
      </c>
      <c r="E87" s="223" t="s">
        <v>10</v>
      </c>
      <c r="F87" s="224">
        <v>1</v>
      </c>
      <c r="G87" s="195">
        <v>12</v>
      </c>
      <c r="H87" s="195"/>
    </row>
    <row r="88" spans="1:8" ht="15.75" hidden="1" thickTop="1" x14ac:dyDescent="0.25">
      <c r="A88" s="2">
        <v>43</v>
      </c>
      <c r="B88" s="2" t="str">
        <f t="shared" si="1"/>
        <v>EMPTY_EAST_G_2_12</v>
      </c>
      <c r="C88" s="223" t="s">
        <v>32</v>
      </c>
      <c r="D88" s="223" t="s">
        <v>18</v>
      </c>
      <c r="E88" s="223" t="s">
        <v>8</v>
      </c>
      <c r="F88" s="224">
        <v>2</v>
      </c>
      <c r="G88" s="195">
        <v>12</v>
      </c>
      <c r="H88" s="195"/>
    </row>
    <row r="89" spans="1:8" ht="15.75" hidden="1" thickTop="1" x14ac:dyDescent="0.25">
      <c r="A89" s="2">
        <v>43</v>
      </c>
      <c r="B89" s="2" t="str">
        <f t="shared" si="1"/>
        <v>EMPTY_EAST_B_1_12</v>
      </c>
      <c r="C89" s="223" t="s">
        <v>32</v>
      </c>
      <c r="D89" s="223" t="s">
        <v>18</v>
      </c>
      <c r="E89" s="223" t="s">
        <v>3</v>
      </c>
      <c r="F89" s="224">
        <v>1</v>
      </c>
      <c r="G89" s="195">
        <v>12</v>
      </c>
      <c r="H89" s="195"/>
    </row>
    <row r="90" spans="1:8" ht="15.75" hidden="1" thickTop="1" x14ac:dyDescent="0.25">
      <c r="A90" s="2">
        <v>43</v>
      </c>
      <c r="B90" s="2" t="str">
        <f t="shared" si="1"/>
        <v>EMPTY_EAST_E_2_12</v>
      </c>
      <c r="C90" s="223" t="s">
        <v>32</v>
      </c>
      <c r="D90" s="223" t="s">
        <v>18</v>
      </c>
      <c r="E90" s="223" t="s">
        <v>6</v>
      </c>
      <c r="F90" s="224">
        <v>2</v>
      </c>
      <c r="G90" s="195">
        <v>12</v>
      </c>
      <c r="H90" s="195"/>
    </row>
    <row r="91" spans="1:8" ht="15.75" hidden="1" thickTop="1" x14ac:dyDescent="0.25">
      <c r="A91" s="2">
        <v>43</v>
      </c>
      <c r="B91" s="2" t="str">
        <f t="shared" si="1"/>
        <v>EMPTY_EAST_D_1_12</v>
      </c>
      <c r="C91" s="223" t="s">
        <v>32</v>
      </c>
      <c r="D91" s="223" t="s">
        <v>18</v>
      </c>
      <c r="E91" s="223" t="s">
        <v>47</v>
      </c>
      <c r="F91" s="224">
        <v>1</v>
      </c>
      <c r="G91" s="195">
        <v>12</v>
      </c>
      <c r="H91" s="195"/>
    </row>
    <row r="92" spans="1:8" ht="15.75" hidden="1" thickTop="1" x14ac:dyDescent="0.25">
      <c r="A92" s="2">
        <v>43</v>
      </c>
      <c r="B92" s="2" t="str">
        <f t="shared" si="1"/>
        <v>EMPTY_EAST_K_2_12</v>
      </c>
      <c r="C92" s="223" t="s">
        <v>32</v>
      </c>
      <c r="D92" s="223" t="s">
        <v>18</v>
      </c>
      <c r="E92" s="223" t="s">
        <v>12</v>
      </c>
      <c r="F92" s="224">
        <v>2</v>
      </c>
      <c r="G92" s="195">
        <v>12</v>
      </c>
      <c r="H92" s="195"/>
    </row>
    <row r="93" spans="1:8" ht="15.75" hidden="1" thickTop="1" x14ac:dyDescent="0.25">
      <c r="A93" s="2">
        <v>43</v>
      </c>
      <c r="B93" s="2" t="str">
        <f t="shared" si="1"/>
        <v>EMPTY_WEST_H_1_12</v>
      </c>
      <c r="C93" s="223" t="s">
        <v>32</v>
      </c>
      <c r="D93" s="223" t="s">
        <v>19</v>
      </c>
      <c r="E93" s="223" t="s">
        <v>9</v>
      </c>
      <c r="F93" s="224">
        <v>1</v>
      </c>
      <c r="G93" s="195">
        <v>12</v>
      </c>
      <c r="H93" s="195"/>
    </row>
    <row r="94" spans="1:8" ht="15.75" hidden="1" thickTop="1" x14ac:dyDescent="0.25">
      <c r="A94" s="2">
        <v>43</v>
      </c>
      <c r="B94" s="2" t="str">
        <f t="shared" si="1"/>
        <v>EMPTY_WEST_P_2_12</v>
      </c>
      <c r="C94" s="223" t="s">
        <v>32</v>
      </c>
      <c r="D94" s="223" t="s">
        <v>19</v>
      </c>
      <c r="E94" s="223" t="s">
        <v>41</v>
      </c>
      <c r="F94" s="224">
        <v>2</v>
      </c>
      <c r="G94" s="195">
        <v>12</v>
      </c>
      <c r="H94" s="195"/>
    </row>
    <row r="95" spans="1:8" ht="15.75" hidden="1" thickTop="1" x14ac:dyDescent="0.25">
      <c r="A95" s="2">
        <v>43</v>
      </c>
      <c r="B95" s="2" t="str">
        <f t="shared" si="1"/>
        <v>EMPTY_WEST_O_1_12</v>
      </c>
      <c r="C95" s="223" t="s">
        <v>32</v>
      </c>
      <c r="D95" s="223" t="s">
        <v>19</v>
      </c>
      <c r="E95" s="223" t="s">
        <v>40</v>
      </c>
      <c r="F95" s="224">
        <v>1</v>
      </c>
      <c r="G95" s="195">
        <v>12</v>
      </c>
      <c r="H95" s="195"/>
    </row>
    <row r="96" spans="1:8" ht="15.75" hidden="1" thickTop="1" x14ac:dyDescent="0.25">
      <c r="A96" s="2">
        <v>43</v>
      </c>
      <c r="B96" s="2" t="str">
        <f t="shared" si="1"/>
        <v>EMPTY_WEST_L_2_12</v>
      </c>
      <c r="C96" s="223" t="s">
        <v>32</v>
      </c>
      <c r="D96" s="223" t="s">
        <v>19</v>
      </c>
      <c r="E96" s="223" t="s">
        <v>13</v>
      </c>
      <c r="F96" s="224">
        <v>2</v>
      </c>
      <c r="G96" s="195">
        <v>12</v>
      </c>
      <c r="H96" s="195"/>
    </row>
    <row r="97" spans="1:8" ht="15.75" hidden="1" thickTop="1" x14ac:dyDescent="0.25">
      <c r="A97" s="2">
        <v>43</v>
      </c>
      <c r="B97" s="2" t="str">
        <f t="shared" si="1"/>
        <v>EMPTY_WEST_N_1_12</v>
      </c>
      <c r="C97" s="223" t="s">
        <v>32</v>
      </c>
      <c r="D97" s="223" t="s">
        <v>19</v>
      </c>
      <c r="E97" s="223" t="s">
        <v>15</v>
      </c>
      <c r="F97" s="224">
        <v>1</v>
      </c>
      <c r="G97" s="195">
        <v>12</v>
      </c>
      <c r="H97" s="195"/>
    </row>
    <row r="98" spans="1:8" ht="15.75" hidden="1" thickTop="1" x14ac:dyDescent="0.25">
      <c r="A98" s="2">
        <v>43</v>
      </c>
      <c r="B98" s="2" t="str">
        <f t="shared" si="1"/>
        <v>EMPTY_WEST_J_2_12</v>
      </c>
      <c r="C98" s="223" t="s">
        <v>32</v>
      </c>
      <c r="D98" s="223" t="s">
        <v>19</v>
      </c>
      <c r="E98" s="223" t="s">
        <v>11</v>
      </c>
      <c r="F98" s="224">
        <v>2</v>
      </c>
      <c r="G98" s="195">
        <v>12</v>
      </c>
      <c r="H98" s="195"/>
    </row>
    <row r="99" spans="1:8" ht="15.75" hidden="1" thickTop="1" x14ac:dyDescent="0.25">
      <c r="A99" s="2">
        <v>43</v>
      </c>
      <c r="B99" s="2" t="str">
        <f t="shared" si="1"/>
        <v>EMPTY_WEST_Q_1_12</v>
      </c>
      <c r="C99" s="223" t="s">
        <v>32</v>
      </c>
      <c r="D99" s="223" t="s">
        <v>19</v>
      </c>
      <c r="E99" s="223" t="s">
        <v>59</v>
      </c>
      <c r="F99" s="224">
        <v>1</v>
      </c>
      <c r="G99" s="195">
        <v>12</v>
      </c>
      <c r="H99" s="195"/>
    </row>
    <row r="100" spans="1:8" ht="15.75" hidden="1" thickTop="1" x14ac:dyDescent="0.25">
      <c r="A100" s="2">
        <v>43</v>
      </c>
      <c r="B100" s="2" t="str">
        <f t="shared" si="1"/>
        <v>EMPTY_WEST_F_2_12</v>
      </c>
      <c r="C100" s="223" t="s">
        <v>32</v>
      </c>
      <c r="D100" s="223" t="s">
        <v>19</v>
      </c>
      <c r="E100" s="223" t="s">
        <v>7</v>
      </c>
      <c r="F100" s="224">
        <v>2</v>
      </c>
      <c r="G100" s="195">
        <v>12</v>
      </c>
      <c r="H100" s="195"/>
    </row>
    <row r="101" spans="1:8" ht="15.75" hidden="1" thickTop="1" x14ac:dyDescent="0.25">
      <c r="A101" s="2">
        <v>43</v>
      </c>
      <c r="B101" s="2" t="str">
        <f t="shared" si="1"/>
        <v>EMPTY_WEST_M_1_12</v>
      </c>
      <c r="C101" s="223" t="s">
        <v>32</v>
      </c>
      <c r="D101" s="223" t="s">
        <v>19</v>
      </c>
      <c r="E101" s="223" t="s">
        <v>14</v>
      </c>
      <c r="F101" s="224">
        <v>1</v>
      </c>
      <c r="G101" s="195">
        <v>12</v>
      </c>
      <c r="H101" s="195"/>
    </row>
    <row r="102" spans="1:8" ht="15.75" hidden="1" thickTop="1" x14ac:dyDescent="0.25">
      <c r="A102" s="2">
        <v>43</v>
      </c>
      <c r="B102" s="2" t="str">
        <f t="shared" ref="B102:B143" si="2">C102&amp;"_"&amp;D102&amp;"_"&amp;E102&amp;"_"&amp;F102&amp;"_"&amp;G102</f>
        <v>SORTING_EAST_UNP_1_13</v>
      </c>
      <c r="C102" s="223" t="s">
        <v>45</v>
      </c>
      <c r="D102" s="223" t="s">
        <v>18</v>
      </c>
      <c r="E102" s="223" t="s">
        <v>42</v>
      </c>
      <c r="F102" s="224">
        <v>1</v>
      </c>
      <c r="G102" s="195">
        <v>13</v>
      </c>
      <c r="H102" s="195"/>
    </row>
    <row r="103" spans="1:8" ht="15.75" hidden="1" thickTop="1" x14ac:dyDescent="0.25">
      <c r="A103" s="2">
        <v>43</v>
      </c>
      <c r="B103" s="2" t="str">
        <f t="shared" si="2"/>
        <v>SORTING_EAST_A_2_13</v>
      </c>
      <c r="C103" s="223" t="s">
        <v>45</v>
      </c>
      <c r="D103" s="223" t="s">
        <v>18</v>
      </c>
      <c r="E103" s="352" t="s">
        <v>2</v>
      </c>
      <c r="F103" s="224">
        <v>2</v>
      </c>
      <c r="G103" s="195">
        <v>13</v>
      </c>
      <c r="H103" s="195"/>
    </row>
    <row r="104" spans="1:8" ht="15.75" hidden="1" thickTop="1" x14ac:dyDescent="0.25">
      <c r="A104" s="2">
        <v>43</v>
      </c>
      <c r="B104" s="2" t="str">
        <f t="shared" si="2"/>
        <v>SORTING_EAST_C/U_1_13</v>
      </c>
      <c r="C104" s="223" t="s">
        <v>45</v>
      </c>
      <c r="D104" s="223" t="s">
        <v>18</v>
      </c>
      <c r="E104" s="352" t="s">
        <v>67</v>
      </c>
      <c r="F104" s="224">
        <v>1</v>
      </c>
      <c r="G104" s="195">
        <v>13</v>
      </c>
      <c r="H104" s="195"/>
    </row>
    <row r="105" spans="1:8" ht="15.75" hidden="1" thickTop="1" x14ac:dyDescent="0.25">
      <c r="A105" s="2">
        <v>43</v>
      </c>
      <c r="B105" s="2" t="str">
        <f t="shared" si="2"/>
        <v>SORTING_EAST_C_2_13</v>
      </c>
      <c r="C105" s="223" t="s">
        <v>45</v>
      </c>
      <c r="D105" s="223" t="s">
        <v>18</v>
      </c>
      <c r="E105" s="223" t="s">
        <v>4</v>
      </c>
      <c r="F105" s="224">
        <v>2</v>
      </c>
      <c r="G105" s="195">
        <v>13</v>
      </c>
      <c r="H105" s="195"/>
    </row>
    <row r="106" spans="1:8" ht="15.75" hidden="1" thickTop="1" x14ac:dyDescent="0.25">
      <c r="A106" s="2">
        <v>43</v>
      </c>
      <c r="B106" s="2" t="str">
        <f t="shared" si="2"/>
        <v>SORTING_EAST_I_1_13</v>
      </c>
      <c r="C106" s="223" t="s">
        <v>45</v>
      </c>
      <c r="D106" s="223" t="s">
        <v>18</v>
      </c>
      <c r="E106" s="223" t="s">
        <v>10</v>
      </c>
      <c r="F106" s="224">
        <v>1</v>
      </c>
      <c r="G106" s="195">
        <v>13</v>
      </c>
      <c r="H106" s="195"/>
    </row>
    <row r="107" spans="1:8" ht="15.75" hidden="1" thickTop="1" x14ac:dyDescent="0.25">
      <c r="A107" s="2">
        <v>43</v>
      </c>
      <c r="B107" s="2" t="str">
        <f t="shared" si="2"/>
        <v>SORTING_EAST_G_2_13</v>
      </c>
      <c r="C107" s="223" t="s">
        <v>45</v>
      </c>
      <c r="D107" s="223" t="s">
        <v>18</v>
      </c>
      <c r="E107" s="223" t="s">
        <v>8</v>
      </c>
      <c r="F107" s="224">
        <v>2</v>
      </c>
      <c r="G107" s="195">
        <v>13</v>
      </c>
      <c r="H107" s="195"/>
    </row>
    <row r="108" spans="1:8" ht="15.75" hidden="1" thickTop="1" x14ac:dyDescent="0.25">
      <c r="A108" s="2">
        <v>43</v>
      </c>
      <c r="B108" s="2" t="str">
        <f t="shared" si="2"/>
        <v>SORTING_EAST_B_1_13</v>
      </c>
      <c r="C108" s="223" t="s">
        <v>45</v>
      </c>
      <c r="D108" s="223" t="s">
        <v>18</v>
      </c>
      <c r="E108" s="223" t="s">
        <v>3</v>
      </c>
      <c r="F108" s="224">
        <v>1</v>
      </c>
      <c r="G108" s="195">
        <v>13</v>
      </c>
      <c r="H108" s="195"/>
    </row>
    <row r="109" spans="1:8" ht="15.75" hidden="1" thickTop="1" x14ac:dyDescent="0.25">
      <c r="A109" s="2">
        <v>43</v>
      </c>
      <c r="B109" s="2" t="str">
        <f t="shared" si="2"/>
        <v>SORTING_EAST_E_2_13</v>
      </c>
      <c r="C109" s="223" t="s">
        <v>45</v>
      </c>
      <c r="D109" s="223" t="s">
        <v>18</v>
      </c>
      <c r="E109" s="223" t="s">
        <v>6</v>
      </c>
      <c r="F109" s="224">
        <v>2</v>
      </c>
      <c r="G109" s="195">
        <v>13</v>
      </c>
      <c r="H109" s="195"/>
    </row>
    <row r="110" spans="1:8" ht="15.75" hidden="1" thickTop="1" x14ac:dyDescent="0.25">
      <c r="A110" s="2">
        <v>43</v>
      </c>
      <c r="B110" s="2" t="str">
        <f t="shared" si="2"/>
        <v>SORTING_EAST_D_1_13</v>
      </c>
      <c r="C110" s="223" t="s">
        <v>45</v>
      </c>
      <c r="D110" s="223" t="s">
        <v>18</v>
      </c>
      <c r="E110" s="223" t="s">
        <v>47</v>
      </c>
      <c r="F110" s="224">
        <v>1</v>
      </c>
      <c r="G110" s="195">
        <v>13</v>
      </c>
      <c r="H110" s="195"/>
    </row>
    <row r="111" spans="1:8" ht="15.75" hidden="1" thickTop="1" x14ac:dyDescent="0.25">
      <c r="A111" s="2">
        <v>43</v>
      </c>
      <c r="B111" s="2" t="str">
        <f t="shared" si="2"/>
        <v>SORTING_EAST_K_2_13</v>
      </c>
      <c r="C111" s="223" t="s">
        <v>45</v>
      </c>
      <c r="D111" s="223" t="s">
        <v>18</v>
      </c>
      <c r="E111" s="223" t="s">
        <v>12</v>
      </c>
      <c r="F111" s="224">
        <v>2</v>
      </c>
      <c r="G111" s="195">
        <v>13</v>
      </c>
      <c r="H111" s="195"/>
    </row>
    <row r="112" spans="1:8" ht="15.75" hidden="1" thickTop="1" x14ac:dyDescent="0.25">
      <c r="A112" s="2">
        <v>43</v>
      </c>
      <c r="B112" s="2" t="str">
        <f t="shared" si="2"/>
        <v>SORTING_WEST_H_1_13</v>
      </c>
      <c r="C112" s="223" t="s">
        <v>45</v>
      </c>
      <c r="D112" s="223" t="s">
        <v>19</v>
      </c>
      <c r="E112" s="223" t="s">
        <v>9</v>
      </c>
      <c r="F112" s="224">
        <v>1</v>
      </c>
      <c r="G112" s="195">
        <v>13</v>
      </c>
      <c r="H112" s="195"/>
    </row>
    <row r="113" spans="1:8" ht="15.75" hidden="1" thickTop="1" x14ac:dyDescent="0.25">
      <c r="A113" s="2">
        <v>43</v>
      </c>
      <c r="B113" s="2" t="str">
        <f t="shared" si="2"/>
        <v>SORTING_WEST_P_2_13</v>
      </c>
      <c r="C113" s="223" t="s">
        <v>45</v>
      </c>
      <c r="D113" s="223" t="s">
        <v>19</v>
      </c>
      <c r="E113" s="223" t="s">
        <v>41</v>
      </c>
      <c r="F113" s="224">
        <v>2</v>
      </c>
      <c r="G113" s="195">
        <v>13</v>
      </c>
      <c r="H113" s="195"/>
    </row>
    <row r="114" spans="1:8" ht="15.75" hidden="1" thickTop="1" x14ac:dyDescent="0.25">
      <c r="A114" s="2">
        <v>43</v>
      </c>
      <c r="B114" s="2" t="str">
        <f t="shared" si="2"/>
        <v>SORTING_WEST_O_1_13</v>
      </c>
      <c r="C114" s="223" t="s">
        <v>45</v>
      </c>
      <c r="D114" s="223" t="s">
        <v>19</v>
      </c>
      <c r="E114" s="223" t="s">
        <v>40</v>
      </c>
      <c r="F114" s="224">
        <v>1</v>
      </c>
      <c r="G114" s="195">
        <v>13</v>
      </c>
      <c r="H114" s="195"/>
    </row>
    <row r="115" spans="1:8" ht="15.75" hidden="1" thickTop="1" x14ac:dyDescent="0.25">
      <c r="A115" s="2">
        <v>43</v>
      </c>
      <c r="B115" s="2" t="str">
        <f t="shared" si="2"/>
        <v>SORTING_WEST_L_2_13</v>
      </c>
      <c r="C115" s="223" t="s">
        <v>45</v>
      </c>
      <c r="D115" s="223" t="s">
        <v>19</v>
      </c>
      <c r="E115" s="223" t="s">
        <v>13</v>
      </c>
      <c r="F115" s="224">
        <v>2</v>
      </c>
      <c r="G115" s="195">
        <v>13</v>
      </c>
      <c r="H115" s="195"/>
    </row>
    <row r="116" spans="1:8" ht="15.75" hidden="1" thickTop="1" x14ac:dyDescent="0.25">
      <c r="A116" s="2">
        <v>43</v>
      </c>
      <c r="B116" s="2" t="str">
        <f t="shared" si="2"/>
        <v>SORTING_WEST_N_1_13</v>
      </c>
      <c r="C116" s="223" t="s">
        <v>45</v>
      </c>
      <c r="D116" s="223" t="s">
        <v>19</v>
      </c>
      <c r="E116" s="223" t="s">
        <v>15</v>
      </c>
      <c r="F116" s="224">
        <v>1</v>
      </c>
      <c r="G116" s="195">
        <v>13</v>
      </c>
      <c r="H116" s="195"/>
    </row>
    <row r="117" spans="1:8" ht="15.75" hidden="1" thickTop="1" x14ac:dyDescent="0.25">
      <c r="A117" s="2">
        <v>43</v>
      </c>
      <c r="B117" s="2" t="str">
        <f t="shared" si="2"/>
        <v>SORTING_WEST_J_2_13</v>
      </c>
      <c r="C117" s="223" t="s">
        <v>45</v>
      </c>
      <c r="D117" s="223" t="s">
        <v>19</v>
      </c>
      <c r="E117" s="223" t="s">
        <v>11</v>
      </c>
      <c r="F117" s="224">
        <v>2</v>
      </c>
      <c r="G117" s="195">
        <v>13</v>
      </c>
      <c r="H117" s="195"/>
    </row>
    <row r="118" spans="1:8" ht="15.75" hidden="1" thickTop="1" x14ac:dyDescent="0.25">
      <c r="A118" s="2">
        <v>43</v>
      </c>
      <c r="B118" s="2" t="str">
        <f t="shared" si="2"/>
        <v>SORTING_WEST_Q_1_13</v>
      </c>
      <c r="C118" s="223" t="s">
        <v>45</v>
      </c>
      <c r="D118" s="223" t="s">
        <v>19</v>
      </c>
      <c r="E118" s="223" t="s">
        <v>59</v>
      </c>
      <c r="F118" s="224">
        <v>1</v>
      </c>
      <c r="G118" s="195">
        <v>13</v>
      </c>
      <c r="H118" s="195"/>
    </row>
    <row r="119" spans="1:8" ht="15.75" hidden="1" thickTop="1" x14ac:dyDescent="0.25">
      <c r="A119" s="2">
        <v>43</v>
      </c>
      <c r="B119" s="2" t="str">
        <f t="shared" si="2"/>
        <v>SORTING_WEST_F_2_13</v>
      </c>
      <c r="C119" s="223" t="s">
        <v>45</v>
      </c>
      <c r="D119" s="223" t="s">
        <v>19</v>
      </c>
      <c r="E119" s="223" t="s">
        <v>7</v>
      </c>
      <c r="F119" s="224">
        <v>2</v>
      </c>
      <c r="G119" s="195">
        <v>13</v>
      </c>
      <c r="H119" s="195"/>
    </row>
    <row r="120" spans="1:8" ht="15.75" hidden="1" thickTop="1" x14ac:dyDescent="0.25">
      <c r="A120" s="2">
        <v>43</v>
      </c>
      <c r="B120" s="2" t="str">
        <f t="shared" si="2"/>
        <v>SORTING_WEST_M_1_13</v>
      </c>
      <c r="C120" s="223" t="s">
        <v>45</v>
      </c>
      <c r="D120" s="223" t="s">
        <v>19</v>
      </c>
      <c r="E120" s="223" t="s">
        <v>14</v>
      </c>
      <c r="F120" s="224">
        <v>1</v>
      </c>
      <c r="G120" s="195">
        <v>13</v>
      </c>
      <c r="H120" s="195"/>
    </row>
    <row r="121" spans="1:8" ht="15.75" hidden="1" thickTop="1" x14ac:dyDescent="0.25">
      <c r="A121" s="2">
        <v>43</v>
      </c>
      <c r="B121" s="2" t="str">
        <f t="shared" si="2"/>
        <v>TRANSFER_EAST_UNP_1_13</v>
      </c>
      <c r="C121" s="223" t="s">
        <v>21</v>
      </c>
      <c r="D121" s="223" t="s">
        <v>18</v>
      </c>
      <c r="E121" s="223" t="s">
        <v>42</v>
      </c>
      <c r="F121" s="224">
        <v>1</v>
      </c>
      <c r="G121" s="195">
        <v>13</v>
      </c>
      <c r="H121" s="195"/>
    </row>
    <row r="122" spans="1:8" ht="15.75" hidden="1" thickTop="1" x14ac:dyDescent="0.25">
      <c r="A122" s="2">
        <v>43</v>
      </c>
      <c r="B122" s="2" t="str">
        <f t="shared" si="2"/>
        <v>TRANSFER_EAST_A_2_13</v>
      </c>
      <c r="C122" s="223" t="s">
        <v>21</v>
      </c>
      <c r="D122" s="223" t="s">
        <v>18</v>
      </c>
      <c r="E122" s="352" t="s">
        <v>2</v>
      </c>
      <c r="F122" s="224">
        <v>2</v>
      </c>
      <c r="G122" s="195">
        <v>13</v>
      </c>
      <c r="H122" s="195"/>
    </row>
    <row r="123" spans="1:8" ht="15.75" hidden="1" thickTop="1" x14ac:dyDescent="0.25">
      <c r="A123" s="2">
        <v>43</v>
      </c>
      <c r="B123" s="2" t="str">
        <f t="shared" si="2"/>
        <v>TRANSFER_EAST_C/U_1_13</v>
      </c>
      <c r="C123" s="223" t="s">
        <v>21</v>
      </c>
      <c r="D123" s="223" t="s">
        <v>18</v>
      </c>
      <c r="E123" s="352" t="s">
        <v>67</v>
      </c>
      <c r="F123" s="224">
        <v>1</v>
      </c>
      <c r="G123" s="195">
        <v>13</v>
      </c>
      <c r="H123" s="195"/>
    </row>
    <row r="124" spans="1:8" ht="15.75" hidden="1" thickTop="1" x14ac:dyDescent="0.25">
      <c r="A124" s="2">
        <v>43</v>
      </c>
      <c r="B124" s="2" t="str">
        <f t="shared" si="2"/>
        <v>TRANSFER_EAST_C_2_13</v>
      </c>
      <c r="C124" s="223" t="s">
        <v>21</v>
      </c>
      <c r="D124" s="223" t="s">
        <v>18</v>
      </c>
      <c r="E124" s="223" t="s">
        <v>4</v>
      </c>
      <c r="F124" s="224">
        <v>2</v>
      </c>
      <c r="G124" s="195">
        <v>13</v>
      </c>
      <c r="H124" s="195"/>
    </row>
    <row r="125" spans="1:8" ht="15.75" hidden="1" thickTop="1" x14ac:dyDescent="0.25">
      <c r="A125" s="2">
        <v>43</v>
      </c>
      <c r="B125" s="2" t="str">
        <f t="shared" si="2"/>
        <v>TRANSFER_EAST_I_1_13</v>
      </c>
      <c r="C125" s="223" t="s">
        <v>21</v>
      </c>
      <c r="D125" s="223" t="s">
        <v>18</v>
      </c>
      <c r="E125" s="223" t="s">
        <v>10</v>
      </c>
      <c r="F125" s="224">
        <v>1</v>
      </c>
      <c r="G125" s="195">
        <v>13</v>
      </c>
      <c r="H125" s="195"/>
    </row>
    <row r="126" spans="1:8" ht="15.75" hidden="1" thickTop="1" x14ac:dyDescent="0.25">
      <c r="A126" s="2">
        <v>43</v>
      </c>
      <c r="B126" s="2" t="str">
        <f t="shared" si="2"/>
        <v>TRANSFER_EAST_G_2_13</v>
      </c>
      <c r="C126" s="223" t="s">
        <v>21</v>
      </c>
      <c r="D126" s="223" t="s">
        <v>18</v>
      </c>
      <c r="E126" s="223" t="s">
        <v>8</v>
      </c>
      <c r="F126" s="224">
        <v>2</v>
      </c>
      <c r="G126" s="195">
        <v>13</v>
      </c>
      <c r="H126" s="195"/>
    </row>
    <row r="127" spans="1:8" ht="15.75" hidden="1" thickTop="1" x14ac:dyDescent="0.25">
      <c r="A127" s="2">
        <v>43</v>
      </c>
      <c r="B127" s="2" t="str">
        <f t="shared" si="2"/>
        <v>TRANSFER_EAST_B_1_13</v>
      </c>
      <c r="C127" s="223" t="s">
        <v>21</v>
      </c>
      <c r="D127" s="223" t="s">
        <v>18</v>
      </c>
      <c r="E127" s="223" t="s">
        <v>3</v>
      </c>
      <c r="F127" s="224">
        <v>1</v>
      </c>
      <c r="G127" s="195">
        <v>13</v>
      </c>
      <c r="H127" s="195"/>
    </row>
    <row r="128" spans="1:8" ht="15.75" hidden="1" thickTop="1" x14ac:dyDescent="0.25">
      <c r="A128" s="2">
        <v>43</v>
      </c>
      <c r="B128" s="2" t="str">
        <f t="shared" si="2"/>
        <v>TRANSFER_EAST_E_2_13</v>
      </c>
      <c r="C128" s="223" t="s">
        <v>21</v>
      </c>
      <c r="D128" s="223" t="s">
        <v>18</v>
      </c>
      <c r="E128" s="223" t="s">
        <v>6</v>
      </c>
      <c r="F128" s="224">
        <v>2</v>
      </c>
      <c r="G128" s="195">
        <v>13</v>
      </c>
      <c r="H128" s="195"/>
    </row>
    <row r="129" spans="1:8" ht="15.75" hidden="1" thickTop="1" x14ac:dyDescent="0.25">
      <c r="A129" s="2">
        <v>43</v>
      </c>
      <c r="B129" s="2" t="str">
        <f t="shared" si="2"/>
        <v>TRANSFER_EAST_D_1_13</v>
      </c>
      <c r="C129" s="223" t="s">
        <v>21</v>
      </c>
      <c r="D129" s="223" t="s">
        <v>18</v>
      </c>
      <c r="E129" s="223" t="s">
        <v>47</v>
      </c>
      <c r="F129" s="224">
        <v>1</v>
      </c>
      <c r="G129" s="195">
        <v>13</v>
      </c>
      <c r="H129" s="195"/>
    </row>
    <row r="130" spans="1:8" ht="15.75" hidden="1" thickTop="1" x14ac:dyDescent="0.25">
      <c r="A130" s="2">
        <v>43</v>
      </c>
      <c r="B130" s="2" t="str">
        <f t="shared" si="2"/>
        <v>TRANSFER_EAST_K_2_13</v>
      </c>
      <c r="C130" s="223" t="s">
        <v>21</v>
      </c>
      <c r="D130" s="223" t="s">
        <v>18</v>
      </c>
      <c r="E130" s="223" t="s">
        <v>12</v>
      </c>
      <c r="F130" s="224">
        <v>2</v>
      </c>
      <c r="G130" s="195">
        <v>13</v>
      </c>
      <c r="H130" s="195"/>
    </row>
    <row r="131" spans="1:8" ht="15.75" hidden="1" thickTop="1" x14ac:dyDescent="0.25">
      <c r="A131" s="2">
        <v>43</v>
      </c>
      <c r="B131" s="2" t="str">
        <f t="shared" si="2"/>
        <v>TRANSFER_WEST_H_1_13</v>
      </c>
      <c r="C131" s="223" t="s">
        <v>21</v>
      </c>
      <c r="D131" s="223" t="s">
        <v>19</v>
      </c>
      <c r="E131" s="223" t="s">
        <v>9</v>
      </c>
      <c r="F131" s="224">
        <v>1</v>
      </c>
      <c r="G131" s="195">
        <v>13</v>
      </c>
      <c r="H131" s="195"/>
    </row>
    <row r="132" spans="1:8" ht="15.75" hidden="1" thickTop="1" x14ac:dyDescent="0.25">
      <c r="A132" s="2">
        <v>43</v>
      </c>
      <c r="B132" s="2" t="str">
        <f t="shared" si="2"/>
        <v>TRANSFER_WEST_P_2_13</v>
      </c>
      <c r="C132" s="223" t="s">
        <v>21</v>
      </c>
      <c r="D132" s="223" t="s">
        <v>19</v>
      </c>
      <c r="E132" s="223" t="s">
        <v>41</v>
      </c>
      <c r="F132" s="224">
        <v>2</v>
      </c>
      <c r="G132" s="195">
        <v>13</v>
      </c>
      <c r="H132" s="195"/>
    </row>
    <row r="133" spans="1:8" ht="15.75" hidden="1" thickTop="1" x14ac:dyDescent="0.25">
      <c r="A133" s="2">
        <v>43</v>
      </c>
      <c r="B133" s="2" t="str">
        <f t="shared" si="2"/>
        <v>TRANSFER_WEST_O_1_13</v>
      </c>
      <c r="C133" s="223" t="s">
        <v>21</v>
      </c>
      <c r="D133" s="223" t="s">
        <v>19</v>
      </c>
      <c r="E133" s="223" t="s">
        <v>40</v>
      </c>
      <c r="F133" s="224">
        <v>1</v>
      </c>
      <c r="G133" s="195">
        <v>13</v>
      </c>
      <c r="H133" s="195"/>
    </row>
    <row r="134" spans="1:8" ht="15.75" hidden="1" thickTop="1" x14ac:dyDescent="0.25">
      <c r="A134" s="2">
        <v>43</v>
      </c>
      <c r="B134" s="2" t="str">
        <f t="shared" si="2"/>
        <v>TRANSFER_WEST_L_2_13</v>
      </c>
      <c r="C134" s="223" t="s">
        <v>21</v>
      </c>
      <c r="D134" s="223" t="s">
        <v>19</v>
      </c>
      <c r="E134" s="223" t="s">
        <v>13</v>
      </c>
      <c r="F134" s="224">
        <v>2</v>
      </c>
      <c r="G134" s="195">
        <v>13</v>
      </c>
      <c r="H134" s="195"/>
    </row>
    <row r="135" spans="1:8" ht="15.75" hidden="1" thickTop="1" x14ac:dyDescent="0.25">
      <c r="A135" s="2">
        <v>43</v>
      </c>
      <c r="B135" s="2" t="str">
        <f t="shared" si="2"/>
        <v>TRANSFER_WEST_N_1_13</v>
      </c>
      <c r="C135" s="223" t="s">
        <v>21</v>
      </c>
      <c r="D135" s="223" t="s">
        <v>19</v>
      </c>
      <c r="E135" s="223" t="s">
        <v>15</v>
      </c>
      <c r="F135" s="224">
        <v>1</v>
      </c>
      <c r="G135" s="195">
        <v>13</v>
      </c>
      <c r="H135" s="195"/>
    </row>
    <row r="136" spans="1:8" ht="15.75" hidden="1" thickTop="1" x14ac:dyDescent="0.25">
      <c r="A136" s="2">
        <v>43</v>
      </c>
      <c r="B136" s="2" t="str">
        <f t="shared" si="2"/>
        <v>TRANSFER_WEST_J_2_13</v>
      </c>
      <c r="C136" s="223" t="s">
        <v>21</v>
      </c>
      <c r="D136" s="223" t="s">
        <v>19</v>
      </c>
      <c r="E136" s="223" t="s">
        <v>11</v>
      </c>
      <c r="F136" s="224">
        <v>2</v>
      </c>
      <c r="G136" s="195">
        <v>13</v>
      </c>
      <c r="H136" s="195"/>
    </row>
    <row r="137" spans="1:8" ht="15.75" hidden="1" thickTop="1" x14ac:dyDescent="0.25">
      <c r="A137" s="2">
        <v>43</v>
      </c>
      <c r="B137" s="2" t="str">
        <f t="shared" si="2"/>
        <v>TRANSFER_WEST_Q_1_13</v>
      </c>
      <c r="C137" s="223" t="s">
        <v>21</v>
      </c>
      <c r="D137" s="223" t="s">
        <v>19</v>
      </c>
      <c r="E137" s="223" t="s">
        <v>59</v>
      </c>
      <c r="F137" s="224">
        <v>1</v>
      </c>
      <c r="G137" s="195">
        <v>13</v>
      </c>
      <c r="H137" s="195"/>
    </row>
    <row r="138" spans="1:8" ht="15.75" hidden="1" thickTop="1" x14ac:dyDescent="0.25">
      <c r="A138" s="2">
        <v>43</v>
      </c>
      <c r="B138" s="2" t="str">
        <f t="shared" si="2"/>
        <v>TRANSFER_WEST_F_2_13</v>
      </c>
      <c r="C138" s="223" t="s">
        <v>21</v>
      </c>
      <c r="D138" s="223" t="s">
        <v>19</v>
      </c>
      <c r="E138" s="223" t="s">
        <v>7</v>
      </c>
      <c r="F138" s="224">
        <v>2</v>
      </c>
      <c r="G138" s="195">
        <v>13</v>
      </c>
      <c r="H138" s="195"/>
    </row>
    <row r="139" spans="1:8" ht="15.75" hidden="1" thickTop="1" x14ac:dyDescent="0.25">
      <c r="A139" s="2">
        <v>43</v>
      </c>
      <c r="B139" s="2" t="str">
        <f t="shared" si="2"/>
        <v>TRANSFER_WEST_M_1_13</v>
      </c>
      <c r="C139" s="223" t="s">
        <v>21</v>
      </c>
      <c r="D139" s="223" t="s">
        <v>19</v>
      </c>
      <c r="E139" s="223" t="s">
        <v>14</v>
      </c>
      <c r="F139" s="224">
        <v>1</v>
      </c>
      <c r="G139" s="195">
        <v>13</v>
      </c>
      <c r="H139" s="195"/>
    </row>
    <row r="140" spans="1:8" ht="15.75" hidden="1" thickTop="1" x14ac:dyDescent="0.25">
      <c r="A140" s="2">
        <v>43</v>
      </c>
      <c r="B140" s="2" t="str">
        <f t="shared" si="2"/>
        <v>PREPARE_EAST_UNP_1_13</v>
      </c>
      <c r="C140" s="223" t="s">
        <v>46</v>
      </c>
      <c r="D140" s="223" t="s">
        <v>18</v>
      </c>
      <c r="E140" s="223" t="s">
        <v>42</v>
      </c>
      <c r="F140" s="224">
        <v>1</v>
      </c>
      <c r="G140" s="195">
        <v>13</v>
      </c>
      <c r="H140" s="195"/>
    </row>
    <row r="141" spans="1:8" ht="15.75" hidden="1" thickTop="1" x14ac:dyDescent="0.25">
      <c r="A141" s="2">
        <v>43</v>
      </c>
      <c r="B141" s="2" t="str">
        <f t="shared" si="2"/>
        <v>PREPARE_EAST_A_2_13</v>
      </c>
      <c r="C141" s="223" t="s">
        <v>46</v>
      </c>
      <c r="D141" s="223" t="s">
        <v>18</v>
      </c>
      <c r="E141" s="352" t="s">
        <v>2</v>
      </c>
      <c r="F141" s="224">
        <v>2</v>
      </c>
      <c r="G141" s="195">
        <v>13</v>
      </c>
      <c r="H141" s="195"/>
    </row>
    <row r="142" spans="1:8" ht="15.75" hidden="1" thickTop="1" x14ac:dyDescent="0.25">
      <c r="A142" s="2">
        <v>43</v>
      </c>
      <c r="B142" s="2" t="str">
        <f t="shared" si="2"/>
        <v>PREPARE_EAST_C/U_1_13</v>
      </c>
      <c r="C142" s="223" t="s">
        <v>46</v>
      </c>
      <c r="D142" s="223" t="s">
        <v>18</v>
      </c>
      <c r="E142" s="352" t="s">
        <v>67</v>
      </c>
      <c r="F142" s="224">
        <v>1</v>
      </c>
      <c r="G142" s="195">
        <v>13</v>
      </c>
      <c r="H142" s="195"/>
    </row>
    <row r="143" spans="1:8" ht="15.75" hidden="1" thickTop="1" x14ac:dyDescent="0.25">
      <c r="A143" s="2">
        <v>43</v>
      </c>
      <c r="B143" s="2" t="str">
        <f t="shared" si="2"/>
        <v>PREPARE_EAST_C_2_13</v>
      </c>
      <c r="C143" s="223" t="s">
        <v>46</v>
      </c>
      <c r="D143" s="223" t="s">
        <v>18</v>
      </c>
      <c r="E143" s="223" t="s">
        <v>4</v>
      </c>
      <c r="F143" s="224">
        <v>2</v>
      </c>
      <c r="G143" s="195">
        <v>13</v>
      </c>
      <c r="H143" s="195"/>
    </row>
    <row r="144" spans="1:8" ht="15.75" hidden="1" thickTop="1" x14ac:dyDescent="0.25">
      <c r="A144" s="2">
        <v>43</v>
      </c>
      <c r="B144" s="2" t="str">
        <f t="shared" ref="B144:B196" si="3">C144&amp;"_"&amp;D144&amp;"_"&amp;E144&amp;"_"&amp;F144&amp;"_"&amp;G144</f>
        <v>PREPARE_EAST_I_1_13</v>
      </c>
      <c r="C144" s="223" t="s">
        <v>46</v>
      </c>
      <c r="D144" s="223" t="s">
        <v>18</v>
      </c>
      <c r="E144" s="223" t="s">
        <v>10</v>
      </c>
      <c r="F144" s="224">
        <v>1</v>
      </c>
      <c r="G144" s="195">
        <v>13</v>
      </c>
      <c r="H144" s="195"/>
    </row>
    <row r="145" spans="1:8" ht="15.75" hidden="1" thickTop="1" x14ac:dyDescent="0.25">
      <c r="A145" s="2">
        <v>43</v>
      </c>
      <c r="B145" s="2" t="str">
        <f t="shared" si="3"/>
        <v>PREPARE_EAST_G_2_13</v>
      </c>
      <c r="C145" s="223" t="s">
        <v>46</v>
      </c>
      <c r="D145" s="223" t="s">
        <v>18</v>
      </c>
      <c r="E145" s="223" t="s">
        <v>8</v>
      </c>
      <c r="F145" s="224">
        <v>2</v>
      </c>
      <c r="G145" s="195">
        <v>13</v>
      </c>
      <c r="H145" s="195"/>
    </row>
    <row r="146" spans="1:8" ht="15.75" hidden="1" thickTop="1" x14ac:dyDescent="0.25">
      <c r="A146" s="2">
        <v>43</v>
      </c>
      <c r="B146" s="2" t="str">
        <f t="shared" si="3"/>
        <v>PREPARE_EAST_B_1_13</v>
      </c>
      <c r="C146" s="223" t="s">
        <v>46</v>
      </c>
      <c r="D146" s="223" t="s">
        <v>18</v>
      </c>
      <c r="E146" s="223" t="s">
        <v>3</v>
      </c>
      <c r="F146" s="224">
        <v>1</v>
      </c>
      <c r="G146" s="195">
        <v>13</v>
      </c>
      <c r="H146" s="195"/>
    </row>
    <row r="147" spans="1:8" ht="15.75" hidden="1" thickTop="1" x14ac:dyDescent="0.25">
      <c r="A147" s="2">
        <v>43</v>
      </c>
      <c r="B147" s="2" t="str">
        <f t="shared" si="3"/>
        <v>PREPARE_EAST_E_2_13</v>
      </c>
      <c r="C147" s="223" t="s">
        <v>46</v>
      </c>
      <c r="D147" s="223" t="s">
        <v>18</v>
      </c>
      <c r="E147" s="223" t="s">
        <v>6</v>
      </c>
      <c r="F147" s="224">
        <v>2</v>
      </c>
      <c r="G147" s="195">
        <v>13</v>
      </c>
      <c r="H147" s="195"/>
    </row>
    <row r="148" spans="1:8" ht="15.75" hidden="1" thickTop="1" x14ac:dyDescent="0.25">
      <c r="A148" s="2">
        <v>43</v>
      </c>
      <c r="B148" s="2" t="str">
        <f t="shared" si="3"/>
        <v>PREPARE_EAST_D_1_13</v>
      </c>
      <c r="C148" s="223" t="s">
        <v>46</v>
      </c>
      <c r="D148" s="223" t="s">
        <v>18</v>
      </c>
      <c r="E148" s="223" t="s">
        <v>47</v>
      </c>
      <c r="F148" s="224">
        <v>1</v>
      </c>
      <c r="G148" s="195">
        <v>13</v>
      </c>
      <c r="H148" s="195"/>
    </row>
    <row r="149" spans="1:8" ht="15.75" hidden="1" thickTop="1" x14ac:dyDescent="0.25">
      <c r="A149" s="2">
        <v>43</v>
      </c>
      <c r="B149" s="2" t="str">
        <f t="shared" si="3"/>
        <v>PREPARE_EAST_K_2_13</v>
      </c>
      <c r="C149" s="223" t="s">
        <v>46</v>
      </c>
      <c r="D149" s="223" t="s">
        <v>18</v>
      </c>
      <c r="E149" s="223" t="s">
        <v>12</v>
      </c>
      <c r="F149" s="224">
        <v>2</v>
      </c>
      <c r="G149" s="195">
        <v>13</v>
      </c>
      <c r="H149" s="195"/>
    </row>
    <row r="150" spans="1:8" ht="15.75" hidden="1" thickTop="1" x14ac:dyDescent="0.25">
      <c r="A150" s="2">
        <v>43</v>
      </c>
      <c r="B150" s="2" t="str">
        <f t="shared" si="3"/>
        <v>PREPARE_WEST_H_1_13</v>
      </c>
      <c r="C150" s="223" t="s">
        <v>46</v>
      </c>
      <c r="D150" s="223" t="s">
        <v>19</v>
      </c>
      <c r="E150" s="223" t="s">
        <v>9</v>
      </c>
      <c r="F150" s="224">
        <v>1</v>
      </c>
      <c r="G150" s="195">
        <v>13</v>
      </c>
      <c r="H150" s="195"/>
    </row>
    <row r="151" spans="1:8" ht="15.75" hidden="1" thickTop="1" x14ac:dyDescent="0.25">
      <c r="A151" s="2">
        <v>43</v>
      </c>
      <c r="B151" s="2" t="str">
        <f t="shared" si="3"/>
        <v>PREPARE_WEST_P_2_13</v>
      </c>
      <c r="C151" s="223" t="s">
        <v>46</v>
      </c>
      <c r="D151" s="223" t="s">
        <v>19</v>
      </c>
      <c r="E151" s="223" t="s">
        <v>41</v>
      </c>
      <c r="F151" s="224">
        <v>2</v>
      </c>
      <c r="G151" s="195">
        <v>13</v>
      </c>
      <c r="H151" s="195"/>
    </row>
    <row r="152" spans="1:8" ht="15.75" hidden="1" thickTop="1" x14ac:dyDescent="0.25">
      <c r="A152" s="2">
        <v>43</v>
      </c>
      <c r="B152" s="2" t="str">
        <f t="shared" si="3"/>
        <v>PREPARE_WEST_O_1_13</v>
      </c>
      <c r="C152" s="223" t="s">
        <v>46</v>
      </c>
      <c r="D152" s="223" t="s">
        <v>19</v>
      </c>
      <c r="E152" s="223" t="s">
        <v>40</v>
      </c>
      <c r="F152" s="224">
        <v>1</v>
      </c>
      <c r="G152" s="195">
        <v>13</v>
      </c>
      <c r="H152" s="195"/>
    </row>
    <row r="153" spans="1:8" ht="15.75" hidden="1" thickTop="1" x14ac:dyDescent="0.25">
      <c r="A153" s="2">
        <v>43</v>
      </c>
      <c r="B153" s="2" t="str">
        <f t="shared" si="3"/>
        <v>PREPARE_WEST_L_2_13</v>
      </c>
      <c r="C153" s="223" t="s">
        <v>46</v>
      </c>
      <c r="D153" s="223" t="s">
        <v>19</v>
      </c>
      <c r="E153" s="223" t="s">
        <v>13</v>
      </c>
      <c r="F153" s="224">
        <v>2</v>
      </c>
      <c r="G153" s="195">
        <v>13</v>
      </c>
      <c r="H153" s="195"/>
    </row>
    <row r="154" spans="1:8" ht="15.75" hidden="1" thickTop="1" x14ac:dyDescent="0.25">
      <c r="A154" s="2">
        <v>43</v>
      </c>
      <c r="B154" s="2" t="str">
        <f t="shared" si="3"/>
        <v>PREPARE_WEST_N_1_13</v>
      </c>
      <c r="C154" s="223" t="s">
        <v>46</v>
      </c>
      <c r="D154" s="223" t="s">
        <v>19</v>
      </c>
      <c r="E154" s="223" t="s">
        <v>15</v>
      </c>
      <c r="F154" s="224">
        <v>1</v>
      </c>
      <c r="G154" s="195">
        <v>13</v>
      </c>
      <c r="H154" s="195"/>
    </row>
    <row r="155" spans="1:8" ht="15.75" hidden="1" thickTop="1" x14ac:dyDescent="0.25">
      <c r="A155" s="2">
        <v>43</v>
      </c>
      <c r="B155" s="2" t="str">
        <f t="shared" si="3"/>
        <v>PREPARE_WEST_J_2_13</v>
      </c>
      <c r="C155" s="223" t="s">
        <v>46</v>
      </c>
      <c r="D155" s="223" t="s">
        <v>19</v>
      </c>
      <c r="E155" s="223" t="s">
        <v>11</v>
      </c>
      <c r="F155" s="224">
        <v>2</v>
      </c>
      <c r="G155" s="195">
        <v>13</v>
      </c>
      <c r="H155" s="195"/>
    </row>
    <row r="156" spans="1:8" ht="15.75" hidden="1" thickTop="1" x14ac:dyDescent="0.25">
      <c r="A156" s="2">
        <v>43</v>
      </c>
      <c r="B156" s="2" t="str">
        <f t="shared" si="3"/>
        <v>PREPARE_WEST_Q_1_13</v>
      </c>
      <c r="C156" s="223" t="s">
        <v>46</v>
      </c>
      <c r="D156" s="223" t="s">
        <v>19</v>
      </c>
      <c r="E156" s="223" t="s">
        <v>59</v>
      </c>
      <c r="F156" s="224">
        <v>1</v>
      </c>
      <c r="G156" s="195">
        <v>13</v>
      </c>
      <c r="H156" s="195"/>
    </row>
    <row r="157" spans="1:8" ht="15.75" hidden="1" thickTop="1" x14ac:dyDescent="0.25">
      <c r="A157" s="2">
        <v>43</v>
      </c>
      <c r="B157" s="2" t="str">
        <f t="shared" si="3"/>
        <v>PREPARE_WEST_F_2_13</v>
      </c>
      <c r="C157" s="223" t="s">
        <v>46</v>
      </c>
      <c r="D157" s="223" t="s">
        <v>19</v>
      </c>
      <c r="E157" s="223" t="s">
        <v>7</v>
      </c>
      <c r="F157" s="224">
        <v>2</v>
      </c>
      <c r="G157" s="195">
        <v>13</v>
      </c>
      <c r="H157" s="195"/>
    </row>
    <row r="158" spans="1:8" ht="15.75" hidden="1" thickTop="1" x14ac:dyDescent="0.25">
      <c r="A158" s="2">
        <v>43</v>
      </c>
      <c r="B158" s="2" t="str">
        <f t="shared" si="3"/>
        <v>PREPARE_WEST_M_1_13</v>
      </c>
      <c r="C158" s="223" t="s">
        <v>46</v>
      </c>
      <c r="D158" s="223" t="s">
        <v>19</v>
      </c>
      <c r="E158" s="223" t="s">
        <v>14</v>
      </c>
      <c r="F158" s="224">
        <v>1</v>
      </c>
      <c r="G158" s="195">
        <v>13</v>
      </c>
      <c r="H158" s="195"/>
    </row>
    <row r="159" spans="1:8" ht="15.75" hidden="1" thickTop="1" x14ac:dyDescent="0.25">
      <c r="A159" s="2">
        <v>43</v>
      </c>
      <c r="B159" s="2" t="str">
        <f t="shared" si="3"/>
        <v>SUPPLY_EAST_UNP_1_13</v>
      </c>
      <c r="C159" s="223" t="s">
        <v>0</v>
      </c>
      <c r="D159" s="223" t="s">
        <v>18</v>
      </c>
      <c r="E159" s="223" t="s">
        <v>42</v>
      </c>
      <c r="F159" s="224">
        <v>1</v>
      </c>
      <c r="G159" s="195">
        <v>13</v>
      </c>
      <c r="H159" s="195"/>
    </row>
    <row r="160" spans="1:8" ht="15.75" hidden="1" thickTop="1" x14ac:dyDescent="0.25">
      <c r="A160" s="2">
        <v>43</v>
      </c>
      <c r="B160" s="2" t="str">
        <f t="shared" si="3"/>
        <v>SUPPLY_EAST_A_2_13</v>
      </c>
      <c r="C160" s="223" t="s">
        <v>0</v>
      </c>
      <c r="D160" s="223" t="s">
        <v>18</v>
      </c>
      <c r="E160" s="352" t="s">
        <v>2</v>
      </c>
      <c r="F160" s="224">
        <v>2</v>
      </c>
      <c r="G160" s="195">
        <v>13</v>
      </c>
      <c r="H160" s="195"/>
    </row>
    <row r="161" spans="1:8" ht="15.75" hidden="1" thickTop="1" x14ac:dyDescent="0.25">
      <c r="A161" s="2">
        <v>43</v>
      </c>
      <c r="B161" s="2" t="str">
        <f t="shared" si="3"/>
        <v>SUPPLY_EAST_C/U_1_13</v>
      </c>
      <c r="C161" s="223" t="s">
        <v>0</v>
      </c>
      <c r="D161" s="223" t="s">
        <v>18</v>
      </c>
      <c r="E161" s="352" t="s">
        <v>67</v>
      </c>
      <c r="F161" s="224">
        <v>1</v>
      </c>
      <c r="G161" s="195">
        <v>13</v>
      </c>
      <c r="H161" s="195"/>
    </row>
    <row r="162" spans="1:8" ht="15.75" hidden="1" thickTop="1" x14ac:dyDescent="0.25">
      <c r="A162" s="2">
        <v>43</v>
      </c>
      <c r="B162" s="2" t="str">
        <f t="shared" si="3"/>
        <v>SUPPLY_EAST_C_2_13</v>
      </c>
      <c r="C162" s="223" t="s">
        <v>0</v>
      </c>
      <c r="D162" s="223" t="s">
        <v>18</v>
      </c>
      <c r="E162" s="223" t="s">
        <v>4</v>
      </c>
      <c r="F162" s="224">
        <v>2</v>
      </c>
      <c r="G162" s="195">
        <v>13</v>
      </c>
      <c r="H162" s="195"/>
    </row>
    <row r="163" spans="1:8" ht="15.75" hidden="1" thickTop="1" x14ac:dyDescent="0.25">
      <c r="A163" s="2">
        <v>43</v>
      </c>
      <c r="B163" s="2" t="str">
        <f t="shared" si="3"/>
        <v>SUPPLY_EAST_I_1_13</v>
      </c>
      <c r="C163" s="223" t="s">
        <v>0</v>
      </c>
      <c r="D163" s="223" t="s">
        <v>18</v>
      </c>
      <c r="E163" s="223" t="s">
        <v>10</v>
      </c>
      <c r="F163" s="224">
        <v>1</v>
      </c>
      <c r="G163" s="195">
        <v>13</v>
      </c>
      <c r="H163" s="195"/>
    </row>
    <row r="164" spans="1:8" ht="15.75" hidden="1" thickTop="1" x14ac:dyDescent="0.25">
      <c r="A164" s="2">
        <v>43</v>
      </c>
      <c r="B164" s="2" t="str">
        <f t="shared" si="3"/>
        <v>SUPPLY_EAST_G_2_13</v>
      </c>
      <c r="C164" s="223" t="s">
        <v>0</v>
      </c>
      <c r="D164" s="223" t="s">
        <v>18</v>
      </c>
      <c r="E164" s="223" t="s">
        <v>8</v>
      </c>
      <c r="F164" s="224">
        <v>2</v>
      </c>
      <c r="G164" s="195">
        <v>13</v>
      </c>
      <c r="H164" s="195"/>
    </row>
    <row r="165" spans="1:8" ht="15.75" hidden="1" thickTop="1" x14ac:dyDescent="0.25">
      <c r="A165" s="2">
        <v>43</v>
      </c>
      <c r="B165" s="2" t="str">
        <f t="shared" si="3"/>
        <v>SUPPLY_EAST_B_1_13</v>
      </c>
      <c r="C165" s="223" t="s">
        <v>0</v>
      </c>
      <c r="D165" s="223" t="s">
        <v>18</v>
      </c>
      <c r="E165" s="223" t="s">
        <v>3</v>
      </c>
      <c r="F165" s="224">
        <v>1</v>
      </c>
      <c r="G165" s="195">
        <v>13</v>
      </c>
      <c r="H165" s="195"/>
    </row>
    <row r="166" spans="1:8" ht="15.75" hidden="1" thickTop="1" x14ac:dyDescent="0.25">
      <c r="A166" s="2">
        <v>43</v>
      </c>
      <c r="B166" s="2" t="str">
        <f t="shared" si="3"/>
        <v>SUPPLY_EAST_E_2_13</v>
      </c>
      <c r="C166" s="223" t="s">
        <v>0</v>
      </c>
      <c r="D166" s="223" t="s">
        <v>18</v>
      </c>
      <c r="E166" s="223" t="s">
        <v>6</v>
      </c>
      <c r="F166" s="224">
        <v>2</v>
      </c>
      <c r="G166" s="195">
        <v>13</v>
      </c>
      <c r="H166" s="195"/>
    </row>
    <row r="167" spans="1:8" ht="15.75" hidden="1" thickTop="1" x14ac:dyDescent="0.25">
      <c r="A167" s="2">
        <v>43</v>
      </c>
      <c r="B167" s="2" t="str">
        <f t="shared" si="3"/>
        <v>SUPPLY_EAST_D_1_13</v>
      </c>
      <c r="C167" s="223" t="s">
        <v>0</v>
      </c>
      <c r="D167" s="223" t="s">
        <v>18</v>
      </c>
      <c r="E167" s="223" t="s">
        <v>47</v>
      </c>
      <c r="F167" s="224">
        <v>1</v>
      </c>
      <c r="G167" s="195">
        <v>13</v>
      </c>
      <c r="H167" s="195"/>
    </row>
    <row r="168" spans="1:8" ht="15.75" hidden="1" thickTop="1" x14ac:dyDescent="0.25">
      <c r="A168" s="2">
        <v>43</v>
      </c>
      <c r="B168" s="2" t="str">
        <f t="shared" si="3"/>
        <v>SUPPLY_EAST_K_2_13</v>
      </c>
      <c r="C168" s="223" t="s">
        <v>0</v>
      </c>
      <c r="D168" s="223" t="s">
        <v>18</v>
      </c>
      <c r="E168" s="223" t="s">
        <v>12</v>
      </c>
      <c r="F168" s="224">
        <v>2</v>
      </c>
      <c r="G168" s="195">
        <v>13</v>
      </c>
      <c r="H168" s="195"/>
    </row>
    <row r="169" spans="1:8" ht="15.75" hidden="1" thickTop="1" x14ac:dyDescent="0.25">
      <c r="A169" s="2">
        <v>43</v>
      </c>
      <c r="B169" s="2" t="str">
        <f t="shared" si="3"/>
        <v>SUPPLY_WEST_H_1_13</v>
      </c>
      <c r="C169" s="223" t="s">
        <v>0</v>
      </c>
      <c r="D169" s="223" t="s">
        <v>19</v>
      </c>
      <c r="E169" s="223" t="s">
        <v>9</v>
      </c>
      <c r="F169" s="224">
        <v>1</v>
      </c>
      <c r="G169" s="195">
        <v>13</v>
      </c>
      <c r="H169" s="195"/>
    </row>
    <row r="170" spans="1:8" ht="15.75" hidden="1" thickTop="1" x14ac:dyDescent="0.25">
      <c r="A170" s="2">
        <v>43</v>
      </c>
      <c r="B170" s="2" t="str">
        <f t="shared" si="3"/>
        <v>SUPPLY_WEST_P_2_13</v>
      </c>
      <c r="C170" s="223" t="s">
        <v>0</v>
      </c>
      <c r="D170" s="223" t="s">
        <v>19</v>
      </c>
      <c r="E170" s="223" t="s">
        <v>41</v>
      </c>
      <c r="F170" s="224">
        <v>2</v>
      </c>
      <c r="G170" s="195">
        <v>13</v>
      </c>
      <c r="H170" s="195"/>
    </row>
    <row r="171" spans="1:8" ht="15.75" hidden="1" thickTop="1" x14ac:dyDescent="0.25">
      <c r="A171" s="2">
        <v>43</v>
      </c>
      <c r="B171" s="2" t="str">
        <f t="shared" si="3"/>
        <v>SUPPLY_WEST_O_1_13</v>
      </c>
      <c r="C171" s="223" t="s">
        <v>0</v>
      </c>
      <c r="D171" s="223" t="s">
        <v>19</v>
      </c>
      <c r="E171" s="223" t="s">
        <v>40</v>
      </c>
      <c r="F171" s="224">
        <v>1</v>
      </c>
      <c r="G171" s="195">
        <v>13</v>
      </c>
      <c r="H171" s="195"/>
    </row>
    <row r="172" spans="1:8" ht="15.75" hidden="1" thickTop="1" x14ac:dyDescent="0.25">
      <c r="A172" s="2">
        <v>43</v>
      </c>
      <c r="B172" s="2" t="str">
        <f t="shared" si="3"/>
        <v>SUPPLY_WEST_L_2_13</v>
      </c>
      <c r="C172" s="223" t="s">
        <v>0</v>
      </c>
      <c r="D172" s="223" t="s">
        <v>19</v>
      </c>
      <c r="E172" s="223" t="s">
        <v>13</v>
      </c>
      <c r="F172" s="224">
        <v>2</v>
      </c>
      <c r="G172" s="195">
        <v>13</v>
      </c>
      <c r="H172" s="195"/>
    </row>
    <row r="173" spans="1:8" ht="15.75" hidden="1" thickTop="1" x14ac:dyDescent="0.25">
      <c r="A173" s="2">
        <v>43</v>
      </c>
      <c r="B173" s="2" t="str">
        <f t="shared" si="3"/>
        <v>SUPPLY_WEST_N_1_13</v>
      </c>
      <c r="C173" s="223" t="s">
        <v>0</v>
      </c>
      <c r="D173" s="223" t="s">
        <v>19</v>
      </c>
      <c r="E173" s="223" t="s">
        <v>15</v>
      </c>
      <c r="F173" s="224">
        <v>1</v>
      </c>
      <c r="G173" s="195">
        <v>13</v>
      </c>
      <c r="H173" s="195"/>
    </row>
    <row r="174" spans="1:8" ht="15.75" hidden="1" thickTop="1" x14ac:dyDescent="0.25">
      <c r="A174" s="2">
        <v>43</v>
      </c>
      <c r="B174" s="2" t="str">
        <f t="shared" si="3"/>
        <v>SUPPLY_WEST_J_2_13</v>
      </c>
      <c r="C174" s="223" t="s">
        <v>0</v>
      </c>
      <c r="D174" s="223" t="s">
        <v>19</v>
      </c>
      <c r="E174" s="223" t="s">
        <v>11</v>
      </c>
      <c r="F174" s="224">
        <v>2</v>
      </c>
      <c r="G174" s="195">
        <v>13</v>
      </c>
      <c r="H174" s="195"/>
    </row>
    <row r="175" spans="1:8" ht="15.75" hidden="1" thickTop="1" x14ac:dyDescent="0.25">
      <c r="A175" s="2">
        <v>43</v>
      </c>
      <c r="B175" s="2" t="str">
        <f t="shared" si="3"/>
        <v>SUPPLY_WEST_Q_1_13</v>
      </c>
      <c r="C175" s="223" t="s">
        <v>0</v>
      </c>
      <c r="D175" s="223" t="s">
        <v>19</v>
      </c>
      <c r="E175" s="223" t="s">
        <v>59</v>
      </c>
      <c r="F175" s="224">
        <v>1</v>
      </c>
      <c r="G175" s="195">
        <v>13</v>
      </c>
      <c r="H175" s="195"/>
    </row>
    <row r="176" spans="1:8" ht="15.75" hidden="1" thickTop="1" x14ac:dyDescent="0.25">
      <c r="A176" s="2">
        <v>43</v>
      </c>
      <c r="B176" s="2" t="str">
        <f t="shared" si="3"/>
        <v>SUPPLY_WEST_F_2_13</v>
      </c>
      <c r="C176" s="223" t="s">
        <v>0</v>
      </c>
      <c r="D176" s="223" t="s">
        <v>19</v>
      </c>
      <c r="E176" s="223" t="s">
        <v>7</v>
      </c>
      <c r="F176" s="224">
        <v>2</v>
      </c>
      <c r="G176" s="195">
        <v>13</v>
      </c>
      <c r="H176" s="195"/>
    </row>
    <row r="177" spans="1:8" ht="15.75" hidden="1" thickTop="1" x14ac:dyDescent="0.25">
      <c r="A177" s="2">
        <v>43</v>
      </c>
      <c r="B177" s="2" t="str">
        <f t="shared" si="3"/>
        <v>SUPPLY_WEST_M_1_13</v>
      </c>
      <c r="C177" s="223" t="s">
        <v>0</v>
      </c>
      <c r="D177" s="223" t="s">
        <v>19</v>
      </c>
      <c r="E177" s="223" t="s">
        <v>14</v>
      </c>
      <c r="F177" s="224">
        <v>1</v>
      </c>
      <c r="G177" s="195">
        <v>13</v>
      </c>
      <c r="H177" s="195"/>
    </row>
    <row r="178" spans="1:8" ht="15.75" hidden="1" thickTop="1" x14ac:dyDescent="0.25">
      <c r="A178" s="2">
        <v>43</v>
      </c>
      <c r="B178" s="2" t="str">
        <f t="shared" si="3"/>
        <v>EMPTY_EAST_UNP_1_13</v>
      </c>
      <c r="C178" s="223" t="s">
        <v>32</v>
      </c>
      <c r="D178" s="223" t="s">
        <v>18</v>
      </c>
      <c r="E178" s="223" t="s">
        <v>42</v>
      </c>
      <c r="F178" s="224">
        <v>1</v>
      </c>
      <c r="G178" s="195">
        <v>13</v>
      </c>
      <c r="H178" s="195"/>
    </row>
    <row r="179" spans="1:8" ht="15.75" hidden="1" thickTop="1" x14ac:dyDescent="0.25">
      <c r="A179" s="2">
        <v>43</v>
      </c>
      <c r="B179" s="2" t="str">
        <f t="shared" si="3"/>
        <v>EMPTY_EAST_A_2_13</v>
      </c>
      <c r="C179" s="223" t="s">
        <v>32</v>
      </c>
      <c r="D179" s="223" t="s">
        <v>18</v>
      </c>
      <c r="E179" s="352" t="s">
        <v>2</v>
      </c>
      <c r="F179" s="224">
        <v>2</v>
      </c>
      <c r="G179" s="195">
        <v>13</v>
      </c>
      <c r="H179" s="195"/>
    </row>
    <row r="180" spans="1:8" ht="15.75" hidden="1" thickTop="1" x14ac:dyDescent="0.25">
      <c r="A180" s="2">
        <v>43</v>
      </c>
      <c r="B180" s="2" t="str">
        <f t="shared" si="3"/>
        <v>EMPTY_EAST_C/U_1_13</v>
      </c>
      <c r="C180" s="223" t="s">
        <v>32</v>
      </c>
      <c r="D180" s="223" t="s">
        <v>18</v>
      </c>
      <c r="E180" s="352" t="s">
        <v>67</v>
      </c>
      <c r="F180" s="224">
        <v>1</v>
      </c>
      <c r="G180" s="195">
        <v>13</v>
      </c>
      <c r="H180" s="195"/>
    </row>
    <row r="181" spans="1:8" ht="15.75" hidden="1" thickTop="1" x14ac:dyDescent="0.25">
      <c r="A181" s="2">
        <v>43</v>
      </c>
      <c r="B181" s="2" t="str">
        <f t="shared" si="3"/>
        <v>EMPTY_EAST_C_2_13</v>
      </c>
      <c r="C181" s="223" t="s">
        <v>32</v>
      </c>
      <c r="D181" s="223" t="s">
        <v>18</v>
      </c>
      <c r="E181" s="223" t="s">
        <v>4</v>
      </c>
      <c r="F181" s="224">
        <v>2</v>
      </c>
      <c r="G181" s="195">
        <v>13</v>
      </c>
      <c r="H181" s="195"/>
    </row>
    <row r="182" spans="1:8" ht="15.75" hidden="1" thickTop="1" x14ac:dyDescent="0.25">
      <c r="A182" s="2">
        <v>43</v>
      </c>
      <c r="B182" s="2" t="str">
        <f t="shared" si="3"/>
        <v>EMPTY_EAST_I_1_13</v>
      </c>
      <c r="C182" s="223" t="s">
        <v>32</v>
      </c>
      <c r="D182" s="223" t="s">
        <v>18</v>
      </c>
      <c r="E182" s="223" t="s">
        <v>10</v>
      </c>
      <c r="F182" s="224">
        <v>1</v>
      </c>
      <c r="G182" s="195">
        <v>13</v>
      </c>
      <c r="H182" s="195"/>
    </row>
    <row r="183" spans="1:8" ht="15.75" hidden="1" thickTop="1" x14ac:dyDescent="0.25">
      <c r="A183" s="2">
        <v>43</v>
      </c>
      <c r="B183" s="2" t="str">
        <f t="shared" si="3"/>
        <v>EMPTY_EAST_G_2_13</v>
      </c>
      <c r="C183" s="223" t="s">
        <v>32</v>
      </c>
      <c r="D183" s="223" t="s">
        <v>18</v>
      </c>
      <c r="E183" s="223" t="s">
        <v>8</v>
      </c>
      <c r="F183" s="224">
        <v>2</v>
      </c>
      <c r="G183" s="195">
        <v>13</v>
      </c>
      <c r="H183" s="195"/>
    </row>
    <row r="184" spans="1:8" ht="15.75" hidden="1" thickTop="1" x14ac:dyDescent="0.25">
      <c r="A184" s="2">
        <v>43</v>
      </c>
      <c r="B184" s="2" t="str">
        <f t="shared" si="3"/>
        <v>EMPTY_EAST_B_1_13</v>
      </c>
      <c r="C184" s="223" t="s">
        <v>32</v>
      </c>
      <c r="D184" s="223" t="s">
        <v>18</v>
      </c>
      <c r="E184" s="223" t="s">
        <v>3</v>
      </c>
      <c r="F184" s="224">
        <v>1</v>
      </c>
      <c r="G184" s="195">
        <v>13</v>
      </c>
      <c r="H184" s="195"/>
    </row>
    <row r="185" spans="1:8" ht="15.75" hidden="1" thickTop="1" x14ac:dyDescent="0.25">
      <c r="A185" s="2">
        <v>43</v>
      </c>
      <c r="B185" s="2" t="str">
        <f t="shared" si="3"/>
        <v>EMPTY_EAST_E_2_13</v>
      </c>
      <c r="C185" s="223" t="s">
        <v>32</v>
      </c>
      <c r="D185" s="223" t="s">
        <v>18</v>
      </c>
      <c r="E185" s="223" t="s">
        <v>6</v>
      </c>
      <c r="F185" s="224">
        <v>2</v>
      </c>
      <c r="G185" s="195">
        <v>13</v>
      </c>
      <c r="H185" s="195"/>
    </row>
    <row r="186" spans="1:8" ht="15.75" hidden="1" thickTop="1" x14ac:dyDescent="0.25">
      <c r="A186" s="2">
        <v>43</v>
      </c>
      <c r="B186" s="2" t="str">
        <f t="shared" si="3"/>
        <v>EMPTY_EAST_D_1_13</v>
      </c>
      <c r="C186" s="223" t="s">
        <v>32</v>
      </c>
      <c r="D186" s="223" t="s">
        <v>18</v>
      </c>
      <c r="E186" s="223" t="s">
        <v>47</v>
      </c>
      <c r="F186" s="224">
        <v>1</v>
      </c>
      <c r="G186" s="195">
        <v>13</v>
      </c>
      <c r="H186" s="195"/>
    </row>
    <row r="187" spans="1:8" ht="15.75" hidden="1" thickTop="1" x14ac:dyDescent="0.25">
      <c r="A187" s="2">
        <v>43</v>
      </c>
      <c r="B187" s="2" t="str">
        <f t="shared" si="3"/>
        <v>EMPTY_EAST_K_2_13</v>
      </c>
      <c r="C187" s="223" t="s">
        <v>32</v>
      </c>
      <c r="D187" s="223" t="s">
        <v>18</v>
      </c>
      <c r="E187" s="223" t="s">
        <v>12</v>
      </c>
      <c r="F187" s="224">
        <v>2</v>
      </c>
      <c r="G187" s="195">
        <v>13</v>
      </c>
      <c r="H187" s="195"/>
    </row>
    <row r="188" spans="1:8" ht="15.75" hidden="1" thickTop="1" x14ac:dyDescent="0.25">
      <c r="A188" s="2">
        <v>43</v>
      </c>
      <c r="B188" s="2" t="str">
        <f t="shared" si="3"/>
        <v>EMPTY_WEST_H_1_13</v>
      </c>
      <c r="C188" s="223" t="s">
        <v>32</v>
      </c>
      <c r="D188" s="223" t="s">
        <v>19</v>
      </c>
      <c r="E188" s="223" t="s">
        <v>9</v>
      </c>
      <c r="F188" s="224">
        <v>1</v>
      </c>
      <c r="G188" s="195">
        <v>13</v>
      </c>
      <c r="H188" s="195"/>
    </row>
    <row r="189" spans="1:8" ht="15.75" hidden="1" thickTop="1" x14ac:dyDescent="0.25">
      <c r="A189" s="2">
        <v>43</v>
      </c>
      <c r="B189" s="2" t="str">
        <f t="shared" si="3"/>
        <v>EMPTY_WEST_P_2_13</v>
      </c>
      <c r="C189" s="223" t="s">
        <v>32</v>
      </c>
      <c r="D189" s="223" t="s">
        <v>19</v>
      </c>
      <c r="E189" s="223" t="s">
        <v>41</v>
      </c>
      <c r="F189" s="224">
        <v>2</v>
      </c>
      <c r="G189" s="195">
        <v>13</v>
      </c>
      <c r="H189" s="195"/>
    </row>
    <row r="190" spans="1:8" ht="15.75" hidden="1" thickTop="1" x14ac:dyDescent="0.25">
      <c r="A190" s="2">
        <v>43</v>
      </c>
      <c r="B190" s="2" t="str">
        <f t="shared" si="3"/>
        <v>EMPTY_WEST_O_1_13</v>
      </c>
      <c r="C190" s="223" t="s">
        <v>32</v>
      </c>
      <c r="D190" s="223" t="s">
        <v>19</v>
      </c>
      <c r="E190" s="223" t="s">
        <v>40</v>
      </c>
      <c r="F190" s="224">
        <v>1</v>
      </c>
      <c r="G190" s="195">
        <v>13</v>
      </c>
      <c r="H190" s="195"/>
    </row>
    <row r="191" spans="1:8" ht="15.75" hidden="1" thickTop="1" x14ac:dyDescent="0.25">
      <c r="A191" s="2">
        <v>43</v>
      </c>
      <c r="B191" s="2" t="str">
        <f t="shared" si="3"/>
        <v>EMPTY_WEST_L_2_13</v>
      </c>
      <c r="C191" s="223" t="s">
        <v>32</v>
      </c>
      <c r="D191" s="223" t="s">
        <v>19</v>
      </c>
      <c r="E191" s="223" t="s">
        <v>13</v>
      </c>
      <c r="F191" s="224">
        <v>2</v>
      </c>
      <c r="G191" s="195">
        <v>13</v>
      </c>
      <c r="H191" s="195"/>
    </row>
    <row r="192" spans="1:8" ht="15.75" hidden="1" thickTop="1" x14ac:dyDescent="0.25">
      <c r="A192" s="2">
        <v>43</v>
      </c>
      <c r="B192" s="2" t="str">
        <f t="shared" si="3"/>
        <v>EMPTY_WEST_N_1_13</v>
      </c>
      <c r="C192" s="223" t="s">
        <v>32</v>
      </c>
      <c r="D192" s="223" t="s">
        <v>19</v>
      </c>
      <c r="E192" s="223" t="s">
        <v>15</v>
      </c>
      <c r="F192" s="224">
        <v>1</v>
      </c>
      <c r="G192" s="195">
        <v>13</v>
      </c>
      <c r="H192" s="195"/>
    </row>
    <row r="193" spans="1:8" ht="15.75" hidden="1" thickTop="1" x14ac:dyDescent="0.25">
      <c r="A193" s="2">
        <v>43</v>
      </c>
      <c r="B193" s="2" t="str">
        <f t="shared" si="3"/>
        <v>EMPTY_WEST_J_2_13</v>
      </c>
      <c r="C193" s="223" t="s">
        <v>32</v>
      </c>
      <c r="D193" s="223" t="s">
        <v>19</v>
      </c>
      <c r="E193" s="223" t="s">
        <v>11</v>
      </c>
      <c r="F193" s="224">
        <v>2</v>
      </c>
      <c r="G193" s="195">
        <v>13</v>
      </c>
      <c r="H193" s="195"/>
    </row>
    <row r="194" spans="1:8" ht="15.75" hidden="1" thickTop="1" x14ac:dyDescent="0.25">
      <c r="A194" s="2">
        <v>43</v>
      </c>
      <c r="B194" s="2" t="str">
        <f t="shared" si="3"/>
        <v>EMPTY_WEST_Q_1_13</v>
      </c>
      <c r="C194" s="223" t="s">
        <v>32</v>
      </c>
      <c r="D194" s="223" t="s">
        <v>19</v>
      </c>
      <c r="E194" s="223" t="s">
        <v>59</v>
      </c>
      <c r="F194" s="224">
        <v>1</v>
      </c>
      <c r="G194" s="195">
        <v>13</v>
      </c>
      <c r="H194" s="195"/>
    </row>
    <row r="195" spans="1:8" ht="15.75" hidden="1" thickTop="1" x14ac:dyDescent="0.25">
      <c r="A195" s="2">
        <v>43</v>
      </c>
      <c r="B195" s="2" t="str">
        <f t="shared" si="3"/>
        <v>EMPTY_WEST_F_2_13</v>
      </c>
      <c r="C195" s="223" t="s">
        <v>32</v>
      </c>
      <c r="D195" s="223" t="s">
        <v>19</v>
      </c>
      <c r="E195" s="223" t="s">
        <v>7</v>
      </c>
      <c r="F195" s="224">
        <v>2</v>
      </c>
      <c r="G195" s="195">
        <v>13</v>
      </c>
      <c r="H195" s="195"/>
    </row>
    <row r="196" spans="1:8" ht="15.75" hidden="1" thickTop="1" x14ac:dyDescent="0.25">
      <c r="A196" s="2">
        <v>43</v>
      </c>
      <c r="B196" s="2" t="str">
        <f t="shared" si="3"/>
        <v>EMPTY_WEST_M_1_13</v>
      </c>
      <c r="C196" s="223" t="s">
        <v>32</v>
      </c>
      <c r="D196" s="223" t="s">
        <v>19</v>
      </c>
      <c r="E196" s="223" t="s">
        <v>14</v>
      </c>
      <c r="F196" s="224">
        <v>1</v>
      </c>
      <c r="G196" s="195">
        <v>13</v>
      </c>
      <c r="H196" s="195"/>
    </row>
    <row r="197" spans="1:8" ht="15.75" hidden="1" thickTop="1" x14ac:dyDescent="0.25">
      <c r="A197" s="2">
        <v>43</v>
      </c>
      <c r="B197" s="2" t="str">
        <f t="shared" ref="B197:B210" si="4">C197&amp;"_"&amp;D197&amp;"_"&amp;E197&amp;"_"&amp;F197&amp;"_"&amp;G197</f>
        <v>SORTING_EAST_UNP_1_14</v>
      </c>
      <c r="C197" s="223" t="s">
        <v>45</v>
      </c>
      <c r="D197" s="223" t="s">
        <v>18</v>
      </c>
      <c r="E197" s="223" t="s">
        <v>42</v>
      </c>
      <c r="F197" s="224">
        <v>1</v>
      </c>
      <c r="G197" s="195">
        <v>14</v>
      </c>
      <c r="H197" s="195">
        <f>VLOOKUP(B197,'14'!$D$6:$L$119,9,0)</f>
        <v>0</v>
      </c>
    </row>
    <row r="198" spans="1:8" ht="15.75" hidden="1" thickTop="1" x14ac:dyDescent="0.25">
      <c r="A198" s="2">
        <v>43</v>
      </c>
      <c r="B198" s="2" t="str">
        <f t="shared" si="4"/>
        <v>SORTING_EAST_A_2_14</v>
      </c>
      <c r="C198" s="223" t="s">
        <v>45</v>
      </c>
      <c r="D198" s="223" t="s">
        <v>18</v>
      </c>
      <c r="E198" s="352" t="s">
        <v>2</v>
      </c>
      <c r="F198" s="224">
        <v>2</v>
      </c>
      <c r="G198" s="195">
        <v>14</v>
      </c>
      <c r="H198" s="195">
        <f>VLOOKUP(B198,'14'!$D$6:$L$119,9,0)</f>
        <v>1</v>
      </c>
    </row>
    <row r="199" spans="1:8" ht="15.75" hidden="1" thickTop="1" x14ac:dyDescent="0.25">
      <c r="A199" s="2">
        <v>43</v>
      </c>
      <c r="B199" s="2" t="str">
        <f t="shared" ref="B199" si="5">C199&amp;"_"&amp;D199&amp;"_"&amp;E199&amp;"_"&amp;F199&amp;"_"&amp;G199</f>
        <v>SORTING_EAST_C/U_1_14</v>
      </c>
      <c r="C199" s="223" t="s">
        <v>45</v>
      </c>
      <c r="D199" s="223" t="s">
        <v>18</v>
      </c>
      <c r="E199" s="352" t="s">
        <v>67</v>
      </c>
      <c r="F199" s="224">
        <v>1</v>
      </c>
      <c r="G199" s="195">
        <v>14</v>
      </c>
      <c r="H199" s="195">
        <f>VLOOKUP(B199,'14'!$D$6:$L$119,9,0)</f>
        <v>2</v>
      </c>
    </row>
    <row r="200" spans="1:8" ht="15.75" hidden="1" thickTop="1" x14ac:dyDescent="0.25">
      <c r="A200" s="2">
        <v>43</v>
      </c>
      <c r="B200" s="2" t="str">
        <f t="shared" si="4"/>
        <v>SORTING_EAST_C_2_14</v>
      </c>
      <c r="C200" s="223" t="s">
        <v>45</v>
      </c>
      <c r="D200" s="223" t="s">
        <v>18</v>
      </c>
      <c r="E200" s="223" t="s">
        <v>4</v>
      </c>
      <c r="F200" s="224">
        <v>2</v>
      </c>
      <c r="G200" s="195">
        <v>14</v>
      </c>
      <c r="H200" s="195">
        <f>VLOOKUP(B200,'14'!$D$6:$L$119,9,0)</f>
        <v>3</v>
      </c>
    </row>
    <row r="201" spans="1:8" ht="15.75" hidden="1" thickTop="1" x14ac:dyDescent="0.25">
      <c r="A201" s="2">
        <v>43</v>
      </c>
      <c r="B201" s="2" t="str">
        <f t="shared" si="4"/>
        <v>SORTING_EAST_I_1_14</v>
      </c>
      <c r="C201" s="223" t="s">
        <v>45</v>
      </c>
      <c r="D201" s="223" t="s">
        <v>18</v>
      </c>
      <c r="E201" s="223" t="s">
        <v>10</v>
      </c>
      <c r="F201" s="224">
        <v>1</v>
      </c>
      <c r="G201" s="195">
        <v>14</v>
      </c>
      <c r="H201" s="195">
        <f>VLOOKUP(B201,'14'!$D$6:$L$119,9,0)</f>
        <v>4</v>
      </c>
    </row>
    <row r="202" spans="1:8" ht="15.75" hidden="1" thickTop="1" x14ac:dyDescent="0.25">
      <c r="A202" s="2">
        <v>43</v>
      </c>
      <c r="B202" s="2" t="str">
        <f t="shared" si="4"/>
        <v>SORTING_EAST_G_2_14</v>
      </c>
      <c r="C202" s="223" t="s">
        <v>45</v>
      </c>
      <c r="D202" s="223" t="s">
        <v>18</v>
      </c>
      <c r="E202" s="223" t="s">
        <v>8</v>
      </c>
      <c r="F202" s="224">
        <v>2</v>
      </c>
      <c r="G202" s="195">
        <v>14</v>
      </c>
      <c r="H202" s="195">
        <f>VLOOKUP(B202,'14'!$D$6:$L$119,9,0)</f>
        <v>5</v>
      </c>
    </row>
    <row r="203" spans="1:8" ht="15.75" hidden="1" thickTop="1" x14ac:dyDescent="0.25">
      <c r="A203" s="2">
        <v>43</v>
      </c>
      <c r="B203" s="2" t="str">
        <f t="shared" si="4"/>
        <v>SORTING_EAST_B_1_14</v>
      </c>
      <c r="C203" s="223" t="s">
        <v>45</v>
      </c>
      <c r="D203" s="223" t="s">
        <v>18</v>
      </c>
      <c r="E203" s="223" t="s">
        <v>3</v>
      </c>
      <c r="F203" s="224">
        <v>1</v>
      </c>
      <c r="G203" s="195">
        <v>14</v>
      </c>
      <c r="H203" s="195">
        <f>VLOOKUP(B203,'14'!$D$6:$L$119,9,0)</f>
        <v>7</v>
      </c>
    </row>
    <row r="204" spans="1:8" ht="15.75" hidden="1" thickTop="1" x14ac:dyDescent="0.25">
      <c r="A204" s="2">
        <v>43</v>
      </c>
      <c r="B204" s="2" t="str">
        <f t="shared" si="4"/>
        <v>SORTING_EAST_E_2_14</v>
      </c>
      <c r="C204" s="223" t="s">
        <v>45</v>
      </c>
      <c r="D204" s="223" t="s">
        <v>18</v>
      </c>
      <c r="E204" s="223" t="s">
        <v>6</v>
      </c>
      <c r="F204" s="224">
        <v>2</v>
      </c>
      <c r="G204" s="195">
        <v>14</v>
      </c>
      <c r="H204" s="195">
        <f>VLOOKUP(B204,'14'!$D$6:$L$119,9,0)</f>
        <v>9</v>
      </c>
    </row>
    <row r="205" spans="1:8" ht="15.75" hidden="1" thickTop="1" x14ac:dyDescent="0.25">
      <c r="A205" s="2">
        <v>43</v>
      </c>
      <c r="B205" s="2" t="str">
        <f t="shared" si="4"/>
        <v>SORTING_EAST_D_1_14</v>
      </c>
      <c r="C205" s="223" t="s">
        <v>45</v>
      </c>
      <c r="D205" s="223" t="s">
        <v>18</v>
      </c>
      <c r="E205" s="223" t="s">
        <v>47</v>
      </c>
      <c r="F205" s="224">
        <v>1</v>
      </c>
      <c r="G205" s="195">
        <v>14</v>
      </c>
      <c r="H205" s="195">
        <f>VLOOKUP(B205,'14'!$D$6:$L$119,9,0)</f>
        <v>11</v>
      </c>
    </row>
    <row r="206" spans="1:8" ht="15.75" hidden="1" thickTop="1" x14ac:dyDescent="0.25">
      <c r="A206" s="2">
        <v>43</v>
      </c>
      <c r="B206" s="2" t="str">
        <f t="shared" si="4"/>
        <v>SORTING_EAST_K_2_14</v>
      </c>
      <c r="C206" s="223" t="s">
        <v>45</v>
      </c>
      <c r="D206" s="223" t="s">
        <v>18</v>
      </c>
      <c r="E206" s="223" t="s">
        <v>12</v>
      </c>
      <c r="F206" s="224">
        <v>2</v>
      </c>
      <c r="G206" s="195">
        <v>14</v>
      </c>
      <c r="H206" s="195">
        <f>VLOOKUP(B206,'14'!$D$6:$L$119,9,0)</f>
        <v>12</v>
      </c>
    </row>
    <row r="207" spans="1:8" ht="15.75" hidden="1" thickTop="1" x14ac:dyDescent="0.25">
      <c r="A207" s="2">
        <v>43</v>
      </c>
      <c r="B207" s="2" t="str">
        <f t="shared" si="4"/>
        <v>SORTING_WEST_H_1_14</v>
      </c>
      <c r="C207" s="223" t="s">
        <v>45</v>
      </c>
      <c r="D207" s="223" t="s">
        <v>19</v>
      </c>
      <c r="E207" s="223" t="s">
        <v>9</v>
      </c>
      <c r="F207" s="224">
        <v>1</v>
      </c>
      <c r="G207" s="195">
        <v>14</v>
      </c>
      <c r="H207" s="195">
        <f>VLOOKUP(B207,'14'!$D$6:$L$119,9,0)</f>
        <v>0</v>
      </c>
    </row>
    <row r="208" spans="1:8" ht="15.75" hidden="1" thickTop="1" x14ac:dyDescent="0.25">
      <c r="A208" s="2">
        <v>43</v>
      </c>
      <c r="B208" s="2" t="str">
        <f t="shared" si="4"/>
        <v>SORTING_WEST_P_2_14</v>
      </c>
      <c r="C208" s="223" t="s">
        <v>45</v>
      </c>
      <c r="D208" s="223" t="s">
        <v>19</v>
      </c>
      <c r="E208" s="223" t="s">
        <v>41</v>
      </c>
      <c r="F208" s="224">
        <v>2</v>
      </c>
      <c r="G208" s="195">
        <v>14</v>
      </c>
      <c r="H208" s="195">
        <f>VLOOKUP(B208,'14'!$D$6:$L$119,9,0)</f>
        <v>1</v>
      </c>
    </row>
    <row r="209" spans="1:8" ht="15.75" hidden="1" thickTop="1" x14ac:dyDescent="0.25">
      <c r="A209" s="2">
        <v>43</v>
      </c>
      <c r="B209" s="2" t="str">
        <f t="shared" si="4"/>
        <v>SORTING_WEST_O_1_14</v>
      </c>
      <c r="C209" s="223" t="s">
        <v>45</v>
      </c>
      <c r="D209" s="223" t="s">
        <v>19</v>
      </c>
      <c r="E209" s="223" t="s">
        <v>40</v>
      </c>
      <c r="F209" s="224">
        <v>1</v>
      </c>
      <c r="G209" s="195">
        <v>14</v>
      </c>
      <c r="H209" s="195">
        <f>VLOOKUP(B209,'14'!$D$6:$L$119,9,0)</f>
        <v>3</v>
      </c>
    </row>
    <row r="210" spans="1:8" ht="15.75" hidden="1" thickTop="1" x14ac:dyDescent="0.25">
      <c r="A210" s="2">
        <v>43</v>
      </c>
      <c r="B210" s="2" t="str">
        <f t="shared" si="4"/>
        <v>SORTING_WEST_L_2_14</v>
      </c>
      <c r="C210" s="223" t="s">
        <v>45</v>
      </c>
      <c r="D210" s="223" t="s">
        <v>19</v>
      </c>
      <c r="E210" s="223" t="s">
        <v>13</v>
      </c>
      <c r="F210" s="224">
        <v>2</v>
      </c>
      <c r="G210" s="195">
        <v>14</v>
      </c>
      <c r="H210" s="195">
        <f>VLOOKUP(B210,'14'!$D$6:$L$119,9,0)</f>
        <v>5</v>
      </c>
    </row>
    <row r="211" spans="1:8" ht="15.75" hidden="1" thickTop="1" x14ac:dyDescent="0.25">
      <c r="A211" s="2">
        <v>43</v>
      </c>
      <c r="B211" s="2" t="str">
        <f t="shared" ref="B211:B278" si="6">C211&amp;"_"&amp;D211&amp;"_"&amp;E211&amp;"_"&amp;F211&amp;"_"&amp;G211</f>
        <v>SORTING_WEST_N_1_14</v>
      </c>
      <c r="C211" s="223" t="s">
        <v>45</v>
      </c>
      <c r="D211" s="223" t="s">
        <v>19</v>
      </c>
      <c r="E211" s="223" t="s">
        <v>15</v>
      </c>
      <c r="F211" s="224">
        <v>1</v>
      </c>
      <c r="G211" s="195">
        <v>14</v>
      </c>
      <c r="H211" s="195">
        <f>VLOOKUP(B211,'14'!$D$6:$L$119,9,0)</f>
        <v>7</v>
      </c>
    </row>
    <row r="212" spans="1:8" ht="15.75" hidden="1" thickTop="1" x14ac:dyDescent="0.25">
      <c r="A212" s="2">
        <v>43</v>
      </c>
      <c r="B212" s="2" t="str">
        <f t="shared" si="6"/>
        <v>SORTING_WEST_J_2_14</v>
      </c>
      <c r="C212" s="223" t="s">
        <v>45</v>
      </c>
      <c r="D212" s="223" t="s">
        <v>19</v>
      </c>
      <c r="E212" s="223" t="s">
        <v>11</v>
      </c>
      <c r="F212" s="224">
        <v>2</v>
      </c>
      <c r="G212" s="195">
        <v>14</v>
      </c>
      <c r="H212" s="195">
        <f>VLOOKUP(B212,'14'!$D$6:$L$119,9,0)</f>
        <v>9</v>
      </c>
    </row>
    <row r="213" spans="1:8" ht="15.75" hidden="1" thickTop="1" x14ac:dyDescent="0.25">
      <c r="A213" s="2">
        <v>43</v>
      </c>
      <c r="B213" s="2" t="str">
        <f t="shared" si="6"/>
        <v>SORTING_WEST_Q_1_14</v>
      </c>
      <c r="C213" s="223" t="s">
        <v>45</v>
      </c>
      <c r="D213" s="223" t="s">
        <v>19</v>
      </c>
      <c r="E213" s="223" t="s">
        <v>59</v>
      </c>
      <c r="F213" s="224">
        <v>1</v>
      </c>
      <c r="G213" s="195">
        <v>14</v>
      </c>
      <c r="H213" s="195">
        <f>VLOOKUP(B213,'14'!$D$6:$L$119,9,0)</f>
        <v>10</v>
      </c>
    </row>
    <row r="214" spans="1:8" ht="15.75" hidden="1" thickTop="1" x14ac:dyDescent="0.25">
      <c r="A214" s="2">
        <v>43</v>
      </c>
      <c r="B214" s="2" t="str">
        <f t="shared" si="6"/>
        <v>SORTING_WEST_F_2_14</v>
      </c>
      <c r="C214" s="223" t="s">
        <v>45</v>
      </c>
      <c r="D214" s="223" t="s">
        <v>19</v>
      </c>
      <c r="E214" s="223" t="s">
        <v>7</v>
      </c>
      <c r="F214" s="224">
        <v>2</v>
      </c>
      <c r="G214" s="195">
        <v>14</v>
      </c>
      <c r="H214" s="195">
        <f>VLOOKUP(B214,'14'!$D$6:$L$119,9,0)</f>
        <v>11</v>
      </c>
    </row>
    <row r="215" spans="1:8" ht="15.75" hidden="1" thickTop="1" x14ac:dyDescent="0.25">
      <c r="A215" s="2">
        <v>43</v>
      </c>
      <c r="B215" s="2" t="str">
        <f t="shared" si="6"/>
        <v>SORTING_WEST_M_1_14</v>
      </c>
      <c r="C215" s="223" t="s">
        <v>45</v>
      </c>
      <c r="D215" s="223" t="s">
        <v>19</v>
      </c>
      <c r="E215" s="223" t="s">
        <v>14</v>
      </c>
      <c r="F215" s="224">
        <v>1</v>
      </c>
      <c r="G215" s="195">
        <v>14</v>
      </c>
      <c r="H215" s="195">
        <f>VLOOKUP(B215,'14'!$D$6:$L$119,9,0)</f>
        <v>13</v>
      </c>
    </row>
    <row r="216" spans="1:8" ht="15.75" hidden="1" thickTop="1" x14ac:dyDescent="0.25">
      <c r="A216" s="2">
        <v>43</v>
      </c>
      <c r="B216" s="2" t="str">
        <f t="shared" si="6"/>
        <v>TRANSFER_EAST_UNP_1_14</v>
      </c>
      <c r="C216" s="223" t="s">
        <v>21</v>
      </c>
      <c r="D216" s="223" t="s">
        <v>18</v>
      </c>
      <c r="E216" s="223" t="s">
        <v>42</v>
      </c>
      <c r="F216" s="224">
        <v>1</v>
      </c>
      <c r="G216" s="195">
        <v>14</v>
      </c>
      <c r="H216" s="195">
        <f>VLOOKUP(B216,'14'!$D$6:$L$119,9,0)</f>
        <v>1</v>
      </c>
    </row>
    <row r="217" spans="1:8" ht="15.75" hidden="1" thickTop="1" x14ac:dyDescent="0.25">
      <c r="A217" s="2">
        <v>43</v>
      </c>
      <c r="B217" s="2" t="str">
        <f t="shared" si="6"/>
        <v>TRANSFER_EAST_A_2_14</v>
      </c>
      <c r="C217" s="223" t="s">
        <v>21</v>
      </c>
      <c r="D217" s="223" t="s">
        <v>18</v>
      </c>
      <c r="E217" s="352" t="s">
        <v>2</v>
      </c>
      <c r="F217" s="224">
        <v>2</v>
      </c>
      <c r="G217" s="195">
        <v>14</v>
      </c>
      <c r="H217" s="195">
        <f>VLOOKUP(B217,'14'!$D$6:$L$119,9,0)</f>
        <v>2</v>
      </c>
    </row>
    <row r="218" spans="1:8" ht="15.75" hidden="1" thickTop="1" x14ac:dyDescent="0.25">
      <c r="A218" s="2">
        <v>43</v>
      </c>
      <c r="B218" s="2" t="str">
        <f t="shared" ref="B218" si="7">C218&amp;"_"&amp;D218&amp;"_"&amp;E218&amp;"_"&amp;F218&amp;"_"&amp;G218</f>
        <v>TRANSFER_EAST_C/U_1_14</v>
      </c>
      <c r="C218" s="223" t="s">
        <v>21</v>
      </c>
      <c r="D218" s="223" t="s">
        <v>18</v>
      </c>
      <c r="E218" s="352" t="s">
        <v>67</v>
      </c>
      <c r="F218" s="224">
        <v>1</v>
      </c>
      <c r="G218" s="195">
        <v>14</v>
      </c>
      <c r="H218" s="195">
        <f>VLOOKUP(B218,'14'!$D$6:$L$119,9,0)</f>
        <v>3</v>
      </c>
    </row>
    <row r="219" spans="1:8" ht="15.75" hidden="1" thickTop="1" x14ac:dyDescent="0.25">
      <c r="A219" s="2">
        <v>43</v>
      </c>
      <c r="B219" s="2" t="str">
        <f t="shared" si="6"/>
        <v>TRANSFER_EAST_C_2_14</v>
      </c>
      <c r="C219" s="223" t="s">
        <v>21</v>
      </c>
      <c r="D219" s="223" t="s">
        <v>18</v>
      </c>
      <c r="E219" s="223" t="s">
        <v>4</v>
      </c>
      <c r="F219" s="224">
        <v>2</v>
      </c>
      <c r="G219" s="195">
        <v>14</v>
      </c>
      <c r="H219" s="195">
        <f>VLOOKUP(B219,'14'!$D$6:$L$119,9,0)</f>
        <v>4</v>
      </c>
    </row>
    <row r="220" spans="1:8" ht="15.75" hidden="1" thickTop="1" x14ac:dyDescent="0.25">
      <c r="A220" s="2">
        <v>43</v>
      </c>
      <c r="B220" s="2" t="str">
        <f t="shared" si="6"/>
        <v>TRANSFER_EAST_I_1_14</v>
      </c>
      <c r="C220" s="223" t="s">
        <v>21</v>
      </c>
      <c r="D220" s="223" t="s">
        <v>18</v>
      </c>
      <c r="E220" s="223" t="s">
        <v>10</v>
      </c>
      <c r="F220" s="224">
        <v>1</v>
      </c>
      <c r="G220" s="195">
        <v>14</v>
      </c>
      <c r="H220" s="195">
        <f>VLOOKUP(B220,'14'!$D$6:$L$119,9,0)</f>
        <v>5</v>
      </c>
    </row>
    <row r="221" spans="1:8" ht="15.75" hidden="1" thickTop="1" x14ac:dyDescent="0.25">
      <c r="A221" s="2">
        <v>43</v>
      </c>
      <c r="B221" s="2" t="str">
        <f t="shared" si="6"/>
        <v>TRANSFER_EAST_G_2_14</v>
      </c>
      <c r="C221" s="223" t="s">
        <v>21</v>
      </c>
      <c r="D221" s="223" t="s">
        <v>18</v>
      </c>
      <c r="E221" s="223" t="s">
        <v>8</v>
      </c>
      <c r="F221" s="224">
        <v>2</v>
      </c>
      <c r="G221" s="195">
        <v>14</v>
      </c>
      <c r="H221" s="195">
        <f>VLOOKUP(B221,'14'!$D$6:$L$119,9,0)</f>
        <v>7</v>
      </c>
    </row>
    <row r="222" spans="1:8" ht="15.75" hidden="1" thickTop="1" x14ac:dyDescent="0.25">
      <c r="A222" s="2">
        <v>43</v>
      </c>
      <c r="B222" s="2" t="str">
        <f t="shared" si="6"/>
        <v>TRANSFER_EAST_B_1_14</v>
      </c>
      <c r="C222" s="223" t="s">
        <v>21</v>
      </c>
      <c r="D222" s="223" t="s">
        <v>18</v>
      </c>
      <c r="E222" s="223" t="s">
        <v>3</v>
      </c>
      <c r="F222" s="224">
        <v>1</v>
      </c>
      <c r="G222" s="195">
        <v>14</v>
      </c>
      <c r="H222" s="195">
        <f>VLOOKUP(B222,'14'!$D$6:$L$119,9,0)</f>
        <v>9</v>
      </c>
    </row>
    <row r="223" spans="1:8" ht="15.75" hidden="1" thickTop="1" x14ac:dyDescent="0.25">
      <c r="A223" s="2">
        <v>43</v>
      </c>
      <c r="B223" s="2" t="str">
        <f t="shared" si="6"/>
        <v>TRANSFER_EAST_E_2_14</v>
      </c>
      <c r="C223" s="223" t="s">
        <v>21</v>
      </c>
      <c r="D223" s="223" t="s">
        <v>18</v>
      </c>
      <c r="E223" s="223" t="s">
        <v>6</v>
      </c>
      <c r="F223" s="224">
        <v>2</v>
      </c>
      <c r="G223" s="195">
        <v>14</v>
      </c>
      <c r="H223" s="195">
        <f>VLOOKUP(B223,'14'!$D$6:$L$119,9,0)</f>
        <v>11</v>
      </c>
    </row>
    <row r="224" spans="1:8" ht="15.75" hidden="1" thickTop="1" x14ac:dyDescent="0.25">
      <c r="A224" s="2">
        <v>43</v>
      </c>
      <c r="B224" s="2" t="str">
        <f t="shared" si="6"/>
        <v>TRANSFER_EAST_D_1_14</v>
      </c>
      <c r="C224" s="223" t="s">
        <v>21</v>
      </c>
      <c r="D224" s="223" t="s">
        <v>18</v>
      </c>
      <c r="E224" s="223" t="s">
        <v>47</v>
      </c>
      <c r="F224" s="224">
        <v>1</v>
      </c>
      <c r="G224" s="195">
        <v>14</v>
      </c>
      <c r="H224" s="195">
        <f>VLOOKUP(B224,'14'!$D$6:$L$119,9,0)</f>
        <v>12</v>
      </c>
    </row>
    <row r="225" spans="1:8" ht="15.75" hidden="1" thickTop="1" x14ac:dyDescent="0.25">
      <c r="A225" s="2">
        <v>43</v>
      </c>
      <c r="B225" s="2" t="str">
        <f t="shared" si="6"/>
        <v>TRANSFER_EAST_K_2_14</v>
      </c>
      <c r="C225" s="223" t="s">
        <v>21</v>
      </c>
      <c r="D225" s="223" t="s">
        <v>18</v>
      </c>
      <c r="E225" s="223" t="s">
        <v>12</v>
      </c>
      <c r="F225" s="224">
        <v>2</v>
      </c>
      <c r="G225" s="195">
        <v>14</v>
      </c>
      <c r="H225" s="195">
        <f>VLOOKUP(B225,'14'!$D$6:$L$119,9,0)</f>
        <v>14</v>
      </c>
    </row>
    <row r="226" spans="1:8" ht="15.75" hidden="1" thickTop="1" x14ac:dyDescent="0.25">
      <c r="A226" s="2">
        <v>43</v>
      </c>
      <c r="B226" s="2" t="str">
        <f t="shared" si="6"/>
        <v>TRANSFER_WEST_H_1_14</v>
      </c>
      <c r="C226" s="223" t="s">
        <v>21</v>
      </c>
      <c r="D226" s="223" t="s">
        <v>19</v>
      </c>
      <c r="E226" s="223" t="s">
        <v>9</v>
      </c>
      <c r="F226" s="224">
        <v>1</v>
      </c>
      <c r="G226" s="195">
        <v>14</v>
      </c>
      <c r="H226" s="195">
        <f>VLOOKUP(B226,'14'!$D$6:$L$119,9,0)</f>
        <v>1</v>
      </c>
    </row>
    <row r="227" spans="1:8" ht="15.75" hidden="1" thickTop="1" x14ac:dyDescent="0.25">
      <c r="A227" s="2">
        <v>43</v>
      </c>
      <c r="B227" s="2" t="str">
        <f t="shared" si="6"/>
        <v>TRANSFER_WEST_P_2_14</v>
      </c>
      <c r="C227" s="223" t="s">
        <v>21</v>
      </c>
      <c r="D227" s="223" t="s">
        <v>19</v>
      </c>
      <c r="E227" s="223" t="s">
        <v>41</v>
      </c>
      <c r="F227" s="224">
        <v>2</v>
      </c>
      <c r="G227" s="195">
        <v>14</v>
      </c>
      <c r="H227" s="195">
        <f>VLOOKUP(B227,'14'!$D$6:$L$119,9,0)</f>
        <v>3</v>
      </c>
    </row>
    <row r="228" spans="1:8" ht="15.75" hidden="1" thickTop="1" x14ac:dyDescent="0.25">
      <c r="A228" s="2">
        <v>43</v>
      </c>
      <c r="B228" s="2" t="str">
        <f t="shared" si="6"/>
        <v>TRANSFER_WEST_O_1_14</v>
      </c>
      <c r="C228" s="223" t="s">
        <v>21</v>
      </c>
      <c r="D228" s="223" t="s">
        <v>19</v>
      </c>
      <c r="E228" s="223" t="s">
        <v>40</v>
      </c>
      <c r="F228" s="224">
        <v>1</v>
      </c>
      <c r="G228" s="195">
        <v>14</v>
      </c>
      <c r="H228" s="195">
        <f>VLOOKUP(B228,'14'!$D$6:$L$119,9,0)</f>
        <v>5</v>
      </c>
    </row>
    <row r="229" spans="1:8" ht="15.75" hidden="1" thickTop="1" x14ac:dyDescent="0.25">
      <c r="A229" s="2">
        <v>43</v>
      </c>
      <c r="B229" s="2" t="str">
        <f t="shared" si="6"/>
        <v>TRANSFER_WEST_L_2_14</v>
      </c>
      <c r="C229" s="223" t="s">
        <v>21</v>
      </c>
      <c r="D229" s="223" t="s">
        <v>19</v>
      </c>
      <c r="E229" s="223" t="s">
        <v>13</v>
      </c>
      <c r="F229" s="224">
        <v>2</v>
      </c>
      <c r="G229" s="195">
        <v>14</v>
      </c>
      <c r="H229" s="195">
        <f>VLOOKUP(B229,'14'!$D$6:$L$119,9,0)</f>
        <v>7</v>
      </c>
    </row>
    <row r="230" spans="1:8" ht="15.75" hidden="1" thickTop="1" x14ac:dyDescent="0.25">
      <c r="A230" s="2">
        <v>43</v>
      </c>
      <c r="B230" s="2" t="str">
        <f t="shared" si="6"/>
        <v>TRANSFER_WEST_N_1_14</v>
      </c>
      <c r="C230" s="223" t="s">
        <v>21</v>
      </c>
      <c r="D230" s="223" t="s">
        <v>19</v>
      </c>
      <c r="E230" s="223" t="s">
        <v>15</v>
      </c>
      <c r="F230" s="224">
        <v>1</v>
      </c>
      <c r="G230" s="195">
        <v>14</v>
      </c>
      <c r="H230" s="195">
        <f>VLOOKUP(B230,'14'!$D$6:$L$119,9,0)</f>
        <v>9</v>
      </c>
    </row>
    <row r="231" spans="1:8" ht="15.75" hidden="1" thickTop="1" x14ac:dyDescent="0.25">
      <c r="A231" s="2">
        <v>43</v>
      </c>
      <c r="B231" s="2" t="str">
        <f t="shared" si="6"/>
        <v>TRANSFER_WEST_J_2_14</v>
      </c>
      <c r="C231" s="223" t="s">
        <v>21</v>
      </c>
      <c r="D231" s="223" t="s">
        <v>19</v>
      </c>
      <c r="E231" s="223" t="s">
        <v>11</v>
      </c>
      <c r="F231" s="224">
        <v>2</v>
      </c>
      <c r="G231" s="195">
        <v>14</v>
      </c>
      <c r="H231" s="195">
        <f>VLOOKUP(B231,'14'!$D$6:$L$119,9,0)</f>
        <v>10</v>
      </c>
    </row>
    <row r="232" spans="1:8" ht="15.75" hidden="1" thickTop="1" x14ac:dyDescent="0.25">
      <c r="A232" s="2">
        <v>43</v>
      </c>
      <c r="B232" s="2" t="str">
        <f t="shared" si="6"/>
        <v>TRANSFER_WEST_Q_1_14</v>
      </c>
      <c r="C232" s="223" t="s">
        <v>21</v>
      </c>
      <c r="D232" s="223" t="s">
        <v>19</v>
      </c>
      <c r="E232" s="223" t="s">
        <v>59</v>
      </c>
      <c r="F232" s="224">
        <v>1</v>
      </c>
      <c r="G232" s="195">
        <v>14</v>
      </c>
      <c r="H232" s="195">
        <f>VLOOKUP(B232,'14'!$D$6:$L$119,9,0)</f>
        <v>11</v>
      </c>
    </row>
    <row r="233" spans="1:8" ht="15.75" hidden="1" thickTop="1" x14ac:dyDescent="0.25">
      <c r="A233" s="2">
        <v>43</v>
      </c>
      <c r="B233" s="2" t="str">
        <f t="shared" si="6"/>
        <v>TRANSFER_WEST_F_2_14</v>
      </c>
      <c r="C233" s="223" t="s">
        <v>21</v>
      </c>
      <c r="D233" s="223" t="s">
        <v>19</v>
      </c>
      <c r="E233" s="223" t="s">
        <v>7</v>
      </c>
      <c r="F233" s="224">
        <v>2</v>
      </c>
      <c r="G233" s="195">
        <v>14</v>
      </c>
      <c r="H233" s="195">
        <f>VLOOKUP(B233,'14'!$D$6:$L$119,9,0)</f>
        <v>13</v>
      </c>
    </row>
    <row r="234" spans="1:8" ht="15.75" hidden="1" thickTop="1" x14ac:dyDescent="0.25">
      <c r="A234" s="2">
        <v>43</v>
      </c>
      <c r="B234" s="2" t="str">
        <f t="shared" si="6"/>
        <v>TRANSFER_WEST_M_1_14</v>
      </c>
      <c r="C234" s="223" t="s">
        <v>21</v>
      </c>
      <c r="D234" s="223" t="s">
        <v>19</v>
      </c>
      <c r="E234" s="223" t="s">
        <v>14</v>
      </c>
      <c r="F234" s="224">
        <v>1</v>
      </c>
      <c r="G234" s="195">
        <v>14</v>
      </c>
      <c r="H234" s="195">
        <f>VLOOKUP(B234,'14'!$D$6:$L$119,9,0)</f>
        <v>14</v>
      </c>
    </row>
    <row r="235" spans="1:8" ht="15.75" hidden="1" thickTop="1" x14ac:dyDescent="0.25">
      <c r="A235" s="2">
        <v>43</v>
      </c>
      <c r="B235" s="2" t="str">
        <f t="shared" si="6"/>
        <v>PREPARE_EAST_UNP_1_14</v>
      </c>
      <c r="C235" s="223" t="s">
        <v>46</v>
      </c>
      <c r="D235" s="223" t="s">
        <v>18</v>
      </c>
      <c r="E235" s="223" t="s">
        <v>42</v>
      </c>
      <c r="F235" s="224">
        <v>1</v>
      </c>
      <c r="G235" s="195">
        <v>14</v>
      </c>
      <c r="H235" s="195">
        <f>VLOOKUP(B235,'14'!$D$6:$L$119,9,0)</f>
        <v>12</v>
      </c>
    </row>
    <row r="236" spans="1:8" ht="15.75" hidden="1" thickTop="1" x14ac:dyDescent="0.25">
      <c r="A236" s="2">
        <v>43</v>
      </c>
      <c r="B236" s="2" t="str">
        <f t="shared" si="6"/>
        <v>PREPARE_EAST_A_2_14</v>
      </c>
      <c r="C236" s="223" t="s">
        <v>46</v>
      </c>
      <c r="D236" s="223" t="s">
        <v>18</v>
      </c>
      <c r="E236" s="352" t="s">
        <v>2</v>
      </c>
      <c r="F236" s="224">
        <v>2</v>
      </c>
      <c r="G236" s="195">
        <v>14</v>
      </c>
      <c r="H236" s="195">
        <f>VLOOKUP(B236,'14'!$D$6:$L$119,9,0)</f>
        <v>13</v>
      </c>
    </row>
    <row r="237" spans="1:8" ht="15.75" hidden="1" thickTop="1" x14ac:dyDescent="0.25">
      <c r="A237" s="2">
        <v>43</v>
      </c>
      <c r="B237" s="2" t="str">
        <f t="shared" ref="B237" si="8">C237&amp;"_"&amp;D237&amp;"_"&amp;E237&amp;"_"&amp;F237&amp;"_"&amp;G237</f>
        <v>PREPARE_EAST_C/U_1_14</v>
      </c>
      <c r="C237" s="223" t="s">
        <v>46</v>
      </c>
      <c r="D237" s="223" t="s">
        <v>18</v>
      </c>
      <c r="E237" s="352" t="s">
        <v>67</v>
      </c>
      <c r="F237" s="224">
        <v>1</v>
      </c>
      <c r="G237" s="195">
        <v>14</v>
      </c>
      <c r="H237" s="195">
        <f>VLOOKUP(B237,'14'!$D$6:$L$119,9,0)</f>
        <v>14</v>
      </c>
    </row>
    <row r="238" spans="1:8" ht="15.75" hidden="1" thickTop="1" x14ac:dyDescent="0.25">
      <c r="A238" s="2">
        <v>43</v>
      </c>
      <c r="B238" s="2" t="str">
        <f t="shared" si="6"/>
        <v>PREPARE_EAST_C_2_14</v>
      </c>
      <c r="C238" s="223" t="s">
        <v>46</v>
      </c>
      <c r="D238" s="223" t="s">
        <v>18</v>
      </c>
      <c r="E238" s="223" t="s">
        <v>4</v>
      </c>
      <c r="F238" s="224">
        <v>2</v>
      </c>
      <c r="G238" s="195">
        <v>14</v>
      </c>
      <c r="H238" s="195">
        <f>VLOOKUP(B238,'14'!$D$6:$L$119,9,0)</f>
        <v>15</v>
      </c>
    </row>
    <row r="239" spans="1:8" ht="15.75" hidden="1" thickTop="1" x14ac:dyDescent="0.25">
      <c r="A239" s="2">
        <v>43</v>
      </c>
      <c r="B239" s="2" t="str">
        <f t="shared" si="6"/>
        <v>PREPARE_EAST_I_1_14</v>
      </c>
      <c r="C239" s="223" t="s">
        <v>46</v>
      </c>
      <c r="D239" s="223" t="s">
        <v>18</v>
      </c>
      <c r="E239" s="223" t="s">
        <v>10</v>
      </c>
      <c r="F239" s="224">
        <v>1</v>
      </c>
      <c r="G239" s="195">
        <v>14</v>
      </c>
      <c r="H239" s="195">
        <f>VLOOKUP(B239,'14'!$D$6:$L$119,9,0)</f>
        <v>17</v>
      </c>
    </row>
    <row r="240" spans="1:8" ht="15.75" hidden="1" thickTop="1" x14ac:dyDescent="0.25">
      <c r="A240" s="2">
        <v>43</v>
      </c>
      <c r="B240" s="2" t="str">
        <f t="shared" si="6"/>
        <v>PREPARE_EAST_G_2_14</v>
      </c>
      <c r="C240" s="223" t="s">
        <v>46</v>
      </c>
      <c r="D240" s="223" t="s">
        <v>18</v>
      </c>
      <c r="E240" s="223" t="s">
        <v>8</v>
      </c>
      <c r="F240" s="224">
        <v>2</v>
      </c>
      <c r="G240" s="195">
        <v>14</v>
      </c>
      <c r="H240" s="195">
        <f>VLOOKUP(B240,'14'!$D$6:$L$119,9,0)</f>
        <v>19</v>
      </c>
    </row>
    <row r="241" spans="1:8" ht="15.75" hidden="1" thickTop="1" x14ac:dyDescent="0.25">
      <c r="A241" s="2">
        <v>43</v>
      </c>
      <c r="B241" s="2" t="str">
        <f t="shared" si="6"/>
        <v>PREPARE_EAST_B_1_14</v>
      </c>
      <c r="C241" s="223" t="s">
        <v>46</v>
      </c>
      <c r="D241" s="223" t="s">
        <v>18</v>
      </c>
      <c r="E241" s="223" t="s">
        <v>3</v>
      </c>
      <c r="F241" s="224">
        <v>1</v>
      </c>
      <c r="G241" s="195">
        <v>14</v>
      </c>
      <c r="H241" s="195">
        <f>VLOOKUP(B241,'14'!$D$6:$L$119,9,0)</f>
        <v>21</v>
      </c>
    </row>
    <row r="242" spans="1:8" ht="15.75" hidden="1" thickTop="1" x14ac:dyDescent="0.25">
      <c r="A242" s="2">
        <v>43</v>
      </c>
      <c r="B242" s="2" t="str">
        <f t="shared" si="6"/>
        <v>PREPARE_EAST_E_2_14</v>
      </c>
      <c r="C242" s="223" t="s">
        <v>46</v>
      </c>
      <c r="D242" s="223" t="s">
        <v>18</v>
      </c>
      <c r="E242" s="223" t="s">
        <v>6</v>
      </c>
      <c r="F242" s="224">
        <v>2</v>
      </c>
      <c r="G242" s="195">
        <v>14</v>
      </c>
      <c r="H242" s="195">
        <f>VLOOKUP(B242,'14'!$D$6:$L$119,9,0)</f>
        <v>22</v>
      </c>
    </row>
    <row r="243" spans="1:8" ht="15.75" hidden="1" thickTop="1" x14ac:dyDescent="0.25">
      <c r="A243" s="2">
        <v>43</v>
      </c>
      <c r="B243" s="2" t="str">
        <f t="shared" si="6"/>
        <v>PREPARE_EAST_D_1_14</v>
      </c>
      <c r="C243" s="223" t="s">
        <v>46</v>
      </c>
      <c r="D243" s="223" t="s">
        <v>18</v>
      </c>
      <c r="E243" s="223" t="s">
        <v>47</v>
      </c>
      <c r="F243" s="224">
        <v>1</v>
      </c>
      <c r="G243" s="195">
        <v>14</v>
      </c>
      <c r="H243" s="195">
        <f>VLOOKUP(B243,'14'!$D$6:$L$119,9,0)</f>
        <v>23</v>
      </c>
    </row>
    <row r="244" spans="1:8" ht="15.75" hidden="1" thickTop="1" x14ac:dyDescent="0.25">
      <c r="A244" s="2">
        <v>43</v>
      </c>
      <c r="B244" s="2" t="str">
        <f t="shared" si="6"/>
        <v>PREPARE_EAST_K_2_14</v>
      </c>
      <c r="C244" s="223" t="s">
        <v>46</v>
      </c>
      <c r="D244" s="223" t="s">
        <v>18</v>
      </c>
      <c r="E244" s="223" t="s">
        <v>12</v>
      </c>
      <c r="F244" s="224">
        <v>2</v>
      </c>
      <c r="G244" s="195">
        <v>14</v>
      </c>
      <c r="H244" s="195">
        <f>VLOOKUP(B244,'14'!$D$6:$L$119,9,0)</f>
        <v>24</v>
      </c>
    </row>
    <row r="245" spans="1:8" ht="15.75" hidden="1" thickTop="1" x14ac:dyDescent="0.25">
      <c r="A245" s="2">
        <v>43</v>
      </c>
      <c r="B245" s="2" t="str">
        <f t="shared" si="6"/>
        <v>PREPARE_WEST_H_1_14</v>
      </c>
      <c r="C245" s="223" t="s">
        <v>46</v>
      </c>
      <c r="D245" s="223" t="s">
        <v>19</v>
      </c>
      <c r="E245" s="223" t="s">
        <v>9</v>
      </c>
      <c r="F245" s="224">
        <v>1</v>
      </c>
      <c r="G245" s="195">
        <v>14</v>
      </c>
      <c r="H245" s="195">
        <f>VLOOKUP(B245,'14'!$D$6:$L$119,9,0)</f>
        <v>12</v>
      </c>
    </row>
    <row r="246" spans="1:8" ht="15.75" hidden="1" thickTop="1" x14ac:dyDescent="0.25">
      <c r="A246" s="2">
        <v>43</v>
      </c>
      <c r="B246" s="2" t="str">
        <f t="shared" si="6"/>
        <v>PREPARE_WEST_P_2_14</v>
      </c>
      <c r="C246" s="223" t="s">
        <v>46</v>
      </c>
      <c r="D246" s="223" t="s">
        <v>19</v>
      </c>
      <c r="E246" s="223" t="s">
        <v>41</v>
      </c>
      <c r="F246" s="224">
        <v>2</v>
      </c>
      <c r="G246" s="195">
        <v>14</v>
      </c>
      <c r="H246" s="195">
        <f>VLOOKUP(B246,'14'!$D$6:$L$119,9,0)</f>
        <v>13</v>
      </c>
    </row>
    <row r="247" spans="1:8" ht="15.75" hidden="1" thickTop="1" x14ac:dyDescent="0.25">
      <c r="A247" s="2">
        <v>43</v>
      </c>
      <c r="B247" s="2" t="str">
        <f t="shared" si="6"/>
        <v>PREPARE_WEST_O_1_14</v>
      </c>
      <c r="C247" s="223" t="s">
        <v>46</v>
      </c>
      <c r="D247" s="223" t="s">
        <v>19</v>
      </c>
      <c r="E247" s="223" t="s">
        <v>40</v>
      </c>
      <c r="F247" s="224">
        <v>1</v>
      </c>
      <c r="G247" s="195">
        <v>14</v>
      </c>
      <c r="H247" s="195">
        <f>VLOOKUP(B247,'14'!$D$6:$L$119,9,0)</f>
        <v>15</v>
      </c>
    </row>
    <row r="248" spans="1:8" ht="15.75" hidden="1" thickTop="1" x14ac:dyDescent="0.25">
      <c r="A248" s="2">
        <v>43</v>
      </c>
      <c r="B248" s="2" t="str">
        <f t="shared" si="6"/>
        <v>PREPARE_WEST_L_2_14</v>
      </c>
      <c r="C248" s="223" t="s">
        <v>46</v>
      </c>
      <c r="D248" s="223" t="s">
        <v>19</v>
      </c>
      <c r="E248" s="223" t="s">
        <v>13</v>
      </c>
      <c r="F248" s="224">
        <v>2</v>
      </c>
      <c r="G248" s="195">
        <v>14</v>
      </c>
      <c r="H248" s="195">
        <f>VLOOKUP(B248,'14'!$D$6:$L$119,9,0)</f>
        <v>17</v>
      </c>
    </row>
    <row r="249" spans="1:8" ht="15.75" hidden="1" thickTop="1" x14ac:dyDescent="0.25">
      <c r="A249" s="2">
        <v>43</v>
      </c>
      <c r="B249" s="2" t="str">
        <f t="shared" si="6"/>
        <v>PREPARE_WEST_N_1_14</v>
      </c>
      <c r="C249" s="223" t="s">
        <v>46</v>
      </c>
      <c r="D249" s="223" t="s">
        <v>19</v>
      </c>
      <c r="E249" s="223" t="s">
        <v>15</v>
      </c>
      <c r="F249" s="224">
        <v>1</v>
      </c>
      <c r="G249" s="195">
        <v>14</v>
      </c>
      <c r="H249" s="195">
        <f>VLOOKUP(B249,'14'!$D$6:$L$119,9,0)</f>
        <v>19</v>
      </c>
    </row>
    <row r="250" spans="1:8" ht="15.75" hidden="1" thickTop="1" x14ac:dyDescent="0.25">
      <c r="A250" s="2">
        <v>43</v>
      </c>
      <c r="B250" s="2" t="str">
        <f t="shared" si="6"/>
        <v>PREPARE_WEST_J_2_14</v>
      </c>
      <c r="C250" s="223" t="s">
        <v>46</v>
      </c>
      <c r="D250" s="223" t="s">
        <v>19</v>
      </c>
      <c r="E250" s="223" t="s">
        <v>11</v>
      </c>
      <c r="F250" s="224">
        <v>2</v>
      </c>
      <c r="G250" s="195">
        <v>14</v>
      </c>
      <c r="H250" s="195">
        <f>VLOOKUP(B250,'14'!$D$6:$L$119,9,0)</f>
        <v>21</v>
      </c>
    </row>
    <row r="251" spans="1:8" ht="15.75" hidden="1" thickTop="1" x14ac:dyDescent="0.25">
      <c r="A251" s="2">
        <v>43</v>
      </c>
      <c r="B251" s="2" t="str">
        <f t="shared" si="6"/>
        <v>PREPARE_WEST_Q_1_14</v>
      </c>
      <c r="C251" s="223" t="s">
        <v>46</v>
      </c>
      <c r="D251" s="223" t="s">
        <v>19</v>
      </c>
      <c r="E251" s="223" t="s">
        <v>59</v>
      </c>
      <c r="F251" s="224">
        <v>1</v>
      </c>
      <c r="G251" s="195">
        <v>14</v>
      </c>
      <c r="H251" s="195">
        <f>VLOOKUP(B251,'14'!$D$6:$L$119,9,0)</f>
        <v>22</v>
      </c>
    </row>
    <row r="252" spans="1:8" ht="15.75" hidden="1" thickTop="1" x14ac:dyDescent="0.25">
      <c r="A252" s="2">
        <v>43</v>
      </c>
      <c r="B252" s="2" t="str">
        <f t="shared" si="6"/>
        <v>PREPARE_WEST_F_2_14</v>
      </c>
      <c r="C252" s="223" t="s">
        <v>46</v>
      </c>
      <c r="D252" s="223" t="s">
        <v>19</v>
      </c>
      <c r="E252" s="223" t="s">
        <v>7</v>
      </c>
      <c r="F252" s="224">
        <v>2</v>
      </c>
      <c r="G252" s="195">
        <v>14</v>
      </c>
      <c r="H252" s="195">
        <f>VLOOKUP(B252,'14'!$D$6:$L$119,9,0)</f>
        <v>24</v>
      </c>
    </row>
    <row r="253" spans="1:8" ht="15.75" hidden="1" thickTop="1" x14ac:dyDescent="0.25">
      <c r="A253" s="2">
        <v>43</v>
      </c>
      <c r="B253" s="2" t="str">
        <f t="shared" si="6"/>
        <v>PREPARE_WEST_M_1_14</v>
      </c>
      <c r="C253" s="223" t="s">
        <v>46</v>
      </c>
      <c r="D253" s="223" t="s">
        <v>19</v>
      </c>
      <c r="E253" s="223" t="s">
        <v>14</v>
      </c>
      <c r="F253" s="224">
        <v>1</v>
      </c>
      <c r="G253" s="195">
        <v>14</v>
      </c>
      <c r="H253" s="195">
        <f>VLOOKUP(B253,'14'!$D$6:$L$119,9,0)</f>
        <v>25</v>
      </c>
    </row>
    <row r="254" spans="1:8" ht="15.75" hidden="1" thickTop="1" x14ac:dyDescent="0.25">
      <c r="A254" s="2">
        <v>43</v>
      </c>
      <c r="B254" s="2" t="str">
        <f t="shared" si="6"/>
        <v>SUPPLY_EAST_UNP_1_14</v>
      </c>
      <c r="C254" s="223" t="s">
        <v>0</v>
      </c>
      <c r="D254" s="223" t="s">
        <v>18</v>
      </c>
      <c r="E254" s="223" t="s">
        <v>42</v>
      </c>
      <c r="F254" s="224">
        <v>1</v>
      </c>
      <c r="G254" s="195">
        <v>14</v>
      </c>
      <c r="H254" s="195">
        <f>VLOOKUP(B254,'14'!$D$6:$L$119,9,0)</f>
        <v>0</v>
      </c>
    </row>
    <row r="255" spans="1:8" ht="15.75" hidden="1" thickTop="1" x14ac:dyDescent="0.25">
      <c r="A255" s="2">
        <v>43</v>
      </c>
      <c r="B255" s="2" t="str">
        <f t="shared" si="6"/>
        <v>SUPPLY_EAST_A_2_14</v>
      </c>
      <c r="C255" s="223" t="s">
        <v>0</v>
      </c>
      <c r="D255" s="223" t="s">
        <v>18</v>
      </c>
      <c r="E255" s="352" t="s">
        <v>2</v>
      </c>
      <c r="F255" s="224">
        <v>2</v>
      </c>
      <c r="G255" s="195">
        <v>14</v>
      </c>
      <c r="H255" s="195">
        <f>VLOOKUP(B255,'14'!$D$6:$L$119,9,0)</f>
        <v>1</v>
      </c>
    </row>
    <row r="256" spans="1:8" ht="15.75" hidden="1" thickTop="1" x14ac:dyDescent="0.25">
      <c r="A256" s="2">
        <v>43</v>
      </c>
      <c r="B256" s="2" t="str">
        <f t="shared" ref="B256" si="9">C256&amp;"_"&amp;D256&amp;"_"&amp;E256&amp;"_"&amp;F256&amp;"_"&amp;G256</f>
        <v>SUPPLY_EAST_C/U_1_14</v>
      </c>
      <c r="C256" s="223" t="s">
        <v>0</v>
      </c>
      <c r="D256" s="223" t="s">
        <v>18</v>
      </c>
      <c r="E256" s="352" t="s">
        <v>67</v>
      </c>
      <c r="F256" s="224">
        <v>1</v>
      </c>
      <c r="G256" s="195">
        <v>14</v>
      </c>
      <c r="H256" s="195">
        <f>VLOOKUP(B256,'14'!$D$6:$L$119,9,0)</f>
        <v>2</v>
      </c>
    </row>
    <row r="257" spans="1:8" ht="15.75" hidden="1" thickTop="1" x14ac:dyDescent="0.25">
      <c r="A257" s="2">
        <v>43</v>
      </c>
      <c r="B257" s="2" t="str">
        <f t="shared" si="6"/>
        <v>SUPPLY_EAST_C_2_14</v>
      </c>
      <c r="C257" s="223" t="s">
        <v>0</v>
      </c>
      <c r="D257" s="223" t="s">
        <v>18</v>
      </c>
      <c r="E257" s="223" t="s">
        <v>4</v>
      </c>
      <c r="F257" s="224">
        <v>2</v>
      </c>
      <c r="G257" s="195">
        <v>14</v>
      </c>
      <c r="H257" s="195">
        <f>VLOOKUP(B257,'14'!$D$6:$L$119,9,0)</f>
        <v>3</v>
      </c>
    </row>
    <row r="258" spans="1:8" ht="15.75" hidden="1" thickTop="1" x14ac:dyDescent="0.25">
      <c r="A258" s="2">
        <v>43</v>
      </c>
      <c r="B258" s="2" t="str">
        <f t="shared" si="6"/>
        <v>SUPPLY_EAST_I_1_14</v>
      </c>
      <c r="C258" s="223" t="s">
        <v>0</v>
      </c>
      <c r="D258" s="223" t="s">
        <v>18</v>
      </c>
      <c r="E258" s="223" t="s">
        <v>10</v>
      </c>
      <c r="F258" s="224">
        <v>1</v>
      </c>
      <c r="G258" s="195">
        <v>14</v>
      </c>
      <c r="H258" s="195">
        <f>VLOOKUP(B258,'14'!$D$6:$L$119,9,0)</f>
        <v>4</v>
      </c>
    </row>
    <row r="259" spans="1:8" ht="15.75" hidden="1" thickTop="1" x14ac:dyDescent="0.25">
      <c r="A259" s="2">
        <v>43</v>
      </c>
      <c r="B259" s="2" t="str">
        <f t="shared" si="6"/>
        <v>SUPPLY_EAST_G_2_14</v>
      </c>
      <c r="C259" s="223" t="s">
        <v>0</v>
      </c>
      <c r="D259" s="223" t="s">
        <v>18</v>
      </c>
      <c r="E259" s="223" t="s">
        <v>8</v>
      </c>
      <c r="F259" s="224">
        <v>2</v>
      </c>
      <c r="G259" s="195">
        <v>14</v>
      </c>
      <c r="H259" s="195">
        <f>VLOOKUP(B259,'14'!$D$6:$L$119,9,0)</f>
        <v>6</v>
      </c>
    </row>
    <row r="260" spans="1:8" ht="15.75" hidden="1" thickTop="1" x14ac:dyDescent="0.25">
      <c r="A260" s="2">
        <v>43</v>
      </c>
      <c r="B260" s="2" t="str">
        <f t="shared" si="6"/>
        <v>SUPPLY_EAST_B_1_14</v>
      </c>
      <c r="C260" s="223" t="s">
        <v>0</v>
      </c>
      <c r="D260" s="223" t="s">
        <v>18</v>
      </c>
      <c r="E260" s="223" t="s">
        <v>3</v>
      </c>
      <c r="F260" s="224">
        <v>1</v>
      </c>
      <c r="G260" s="195">
        <v>14</v>
      </c>
      <c r="H260" s="195">
        <f>VLOOKUP(B260,'14'!$D$6:$L$119,9,0)</f>
        <v>8</v>
      </c>
    </row>
    <row r="261" spans="1:8" ht="15.75" hidden="1" thickTop="1" x14ac:dyDescent="0.25">
      <c r="A261" s="2">
        <v>43</v>
      </c>
      <c r="B261" s="2" t="str">
        <f t="shared" si="6"/>
        <v>SUPPLY_EAST_E_2_14</v>
      </c>
      <c r="C261" s="223" t="s">
        <v>0</v>
      </c>
      <c r="D261" s="223" t="s">
        <v>18</v>
      </c>
      <c r="E261" s="223" t="s">
        <v>6</v>
      </c>
      <c r="F261" s="224">
        <v>2</v>
      </c>
      <c r="G261" s="195">
        <v>14</v>
      </c>
      <c r="H261" s="195">
        <f>VLOOKUP(B261,'14'!$D$6:$L$119,9,0)</f>
        <v>9</v>
      </c>
    </row>
    <row r="262" spans="1:8" ht="15.75" hidden="1" thickTop="1" x14ac:dyDescent="0.25">
      <c r="A262" s="2">
        <v>43</v>
      </c>
      <c r="B262" s="2" t="str">
        <f t="shared" si="6"/>
        <v>SUPPLY_EAST_D_1_14</v>
      </c>
      <c r="C262" s="223" t="s">
        <v>0</v>
      </c>
      <c r="D262" s="223" t="s">
        <v>18</v>
      </c>
      <c r="E262" s="223" t="s">
        <v>47</v>
      </c>
      <c r="F262" s="224">
        <v>1</v>
      </c>
      <c r="G262" s="195">
        <v>14</v>
      </c>
      <c r="H262" s="195">
        <f>VLOOKUP(B262,'14'!$D$6:$L$119,9,0)</f>
        <v>11</v>
      </c>
    </row>
    <row r="263" spans="1:8" ht="15.75" hidden="1" thickTop="1" x14ac:dyDescent="0.25">
      <c r="A263" s="2">
        <v>43</v>
      </c>
      <c r="B263" s="2" t="str">
        <f t="shared" si="6"/>
        <v>SUPPLY_EAST_K_2_14</v>
      </c>
      <c r="C263" s="223" t="s">
        <v>0</v>
      </c>
      <c r="D263" s="223" t="s">
        <v>18</v>
      </c>
      <c r="E263" s="223" t="s">
        <v>12</v>
      </c>
      <c r="F263" s="224">
        <v>2</v>
      </c>
      <c r="G263" s="195">
        <v>14</v>
      </c>
      <c r="H263" s="195">
        <f>VLOOKUP(B263,'14'!$D$6:$L$119,9,0)</f>
        <v>12</v>
      </c>
    </row>
    <row r="264" spans="1:8" ht="15.75" hidden="1" thickTop="1" x14ac:dyDescent="0.25">
      <c r="A264" s="2">
        <v>43</v>
      </c>
      <c r="B264" s="2" t="str">
        <f t="shared" si="6"/>
        <v>SUPPLY_WEST_H_1_14</v>
      </c>
      <c r="C264" s="223" t="s">
        <v>0</v>
      </c>
      <c r="D264" s="223" t="s">
        <v>19</v>
      </c>
      <c r="E264" s="223" t="s">
        <v>9</v>
      </c>
      <c r="F264" s="224">
        <v>1</v>
      </c>
      <c r="G264" s="195">
        <v>14</v>
      </c>
      <c r="H264" s="195">
        <f>VLOOKUP(B264,'14'!$D$6:$L$119,9,0)</f>
        <v>0</v>
      </c>
    </row>
    <row r="265" spans="1:8" ht="15.75" hidden="1" thickTop="1" x14ac:dyDescent="0.25">
      <c r="A265" s="2">
        <v>43</v>
      </c>
      <c r="B265" s="2" t="str">
        <f t="shared" si="6"/>
        <v>SUPPLY_WEST_P_2_14</v>
      </c>
      <c r="C265" s="223" t="s">
        <v>0</v>
      </c>
      <c r="D265" s="223" t="s">
        <v>19</v>
      </c>
      <c r="E265" s="223" t="s">
        <v>41</v>
      </c>
      <c r="F265" s="224">
        <v>2</v>
      </c>
      <c r="G265" s="195">
        <v>14</v>
      </c>
      <c r="H265" s="195">
        <f>VLOOKUP(B265,'14'!$D$6:$L$119,9,0)</f>
        <v>1</v>
      </c>
    </row>
    <row r="266" spans="1:8" ht="15.75" hidden="1" thickTop="1" x14ac:dyDescent="0.25">
      <c r="A266" s="2">
        <v>43</v>
      </c>
      <c r="B266" s="2" t="str">
        <f t="shared" si="6"/>
        <v>SUPPLY_WEST_O_1_14</v>
      </c>
      <c r="C266" s="223" t="s">
        <v>0</v>
      </c>
      <c r="D266" s="223" t="s">
        <v>19</v>
      </c>
      <c r="E266" s="223" t="s">
        <v>40</v>
      </c>
      <c r="F266" s="224">
        <v>1</v>
      </c>
      <c r="G266" s="195">
        <v>14</v>
      </c>
      <c r="H266" s="195">
        <f>VLOOKUP(B266,'14'!$D$6:$L$119,9,0)</f>
        <v>3</v>
      </c>
    </row>
    <row r="267" spans="1:8" ht="15.75" hidden="1" thickTop="1" x14ac:dyDescent="0.25">
      <c r="A267" s="2">
        <v>43</v>
      </c>
      <c r="B267" s="2" t="str">
        <f t="shared" si="6"/>
        <v>SUPPLY_WEST_L_2_14</v>
      </c>
      <c r="C267" s="223" t="s">
        <v>0</v>
      </c>
      <c r="D267" s="223" t="s">
        <v>19</v>
      </c>
      <c r="E267" s="223" t="s">
        <v>13</v>
      </c>
      <c r="F267" s="224">
        <v>2</v>
      </c>
      <c r="G267" s="195">
        <v>14</v>
      </c>
      <c r="H267" s="195">
        <f>VLOOKUP(B267,'14'!$D$6:$L$119,9,0)</f>
        <v>5</v>
      </c>
    </row>
    <row r="268" spans="1:8" ht="15.75" hidden="1" thickTop="1" x14ac:dyDescent="0.25">
      <c r="A268" s="2">
        <v>43</v>
      </c>
      <c r="B268" s="2" t="str">
        <f t="shared" si="6"/>
        <v>SUPPLY_WEST_N_1_14</v>
      </c>
      <c r="C268" s="223" t="s">
        <v>0</v>
      </c>
      <c r="D268" s="223" t="s">
        <v>19</v>
      </c>
      <c r="E268" s="223" t="s">
        <v>15</v>
      </c>
      <c r="F268" s="224">
        <v>1</v>
      </c>
      <c r="G268" s="195">
        <v>14</v>
      </c>
      <c r="H268" s="195">
        <f>VLOOKUP(B268,'14'!$D$6:$L$119,9,0)</f>
        <v>7</v>
      </c>
    </row>
    <row r="269" spans="1:8" ht="15.75" hidden="1" thickTop="1" x14ac:dyDescent="0.25">
      <c r="A269" s="2">
        <v>43</v>
      </c>
      <c r="B269" s="2" t="str">
        <f t="shared" si="6"/>
        <v>SUPPLY_WEST_J_2_14</v>
      </c>
      <c r="C269" s="223" t="s">
        <v>0</v>
      </c>
      <c r="D269" s="223" t="s">
        <v>19</v>
      </c>
      <c r="E269" s="223" t="s">
        <v>11</v>
      </c>
      <c r="F269" s="224">
        <v>2</v>
      </c>
      <c r="G269" s="195">
        <v>14</v>
      </c>
      <c r="H269" s="195">
        <f>VLOOKUP(B269,'14'!$D$6:$L$119,9,0)</f>
        <v>9</v>
      </c>
    </row>
    <row r="270" spans="1:8" ht="15.75" hidden="1" thickTop="1" x14ac:dyDescent="0.25">
      <c r="A270" s="2">
        <v>43</v>
      </c>
      <c r="B270" s="2" t="str">
        <f t="shared" si="6"/>
        <v>SUPPLY_WEST_Q_1_14</v>
      </c>
      <c r="C270" s="223" t="s">
        <v>0</v>
      </c>
      <c r="D270" s="223" t="s">
        <v>19</v>
      </c>
      <c r="E270" s="223" t="s">
        <v>59</v>
      </c>
      <c r="F270" s="224">
        <v>1</v>
      </c>
      <c r="G270" s="195">
        <v>14</v>
      </c>
      <c r="H270" s="195">
        <f>VLOOKUP(B270,'14'!$D$6:$L$119,9,0)</f>
        <v>10</v>
      </c>
    </row>
    <row r="271" spans="1:8" ht="15.75" hidden="1" thickTop="1" x14ac:dyDescent="0.25">
      <c r="A271" s="2">
        <v>43</v>
      </c>
      <c r="B271" s="2" t="str">
        <f t="shared" si="6"/>
        <v>SUPPLY_WEST_F_2_14</v>
      </c>
      <c r="C271" s="223" t="s">
        <v>0</v>
      </c>
      <c r="D271" s="223" t="s">
        <v>19</v>
      </c>
      <c r="E271" s="223" t="s">
        <v>7</v>
      </c>
      <c r="F271" s="224">
        <v>2</v>
      </c>
      <c r="G271" s="195">
        <v>14</v>
      </c>
      <c r="H271" s="195">
        <f>VLOOKUP(B271,'14'!$D$6:$L$119,9,0)</f>
        <v>12</v>
      </c>
    </row>
    <row r="272" spans="1:8" ht="15.75" hidden="1" thickTop="1" x14ac:dyDescent="0.25">
      <c r="A272" s="2">
        <v>43</v>
      </c>
      <c r="B272" s="2" t="str">
        <f t="shared" si="6"/>
        <v>SUPPLY_WEST_M_1_14</v>
      </c>
      <c r="C272" s="223" t="s">
        <v>0</v>
      </c>
      <c r="D272" s="223" t="s">
        <v>19</v>
      </c>
      <c r="E272" s="223" t="s">
        <v>14</v>
      </c>
      <c r="F272" s="224">
        <v>1</v>
      </c>
      <c r="G272" s="195">
        <v>14</v>
      </c>
      <c r="H272" s="195">
        <f>VLOOKUP(B272,'14'!$D$6:$L$119,9,0)</f>
        <v>13</v>
      </c>
    </row>
    <row r="273" spans="1:8" ht="15.75" hidden="1" thickTop="1" x14ac:dyDescent="0.25">
      <c r="A273" s="2">
        <v>43</v>
      </c>
      <c r="B273" s="2" t="str">
        <f t="shared" si="6"/>
        <v>EMPTY_EAST_UNP_1_14</v>
      </c>
      <c r="C273" s="223" t="s">
        <v>32</v>
      </c>
      <c r="D273" s="223" t="s">
        <v>18</v>
      </c>
      <c r="E273" s="223" t="s">
        <v>42</v>
      </c>
      <c r="F273" s="224">
        <v>1</v>
      </c>
      <c r="G273" s="195">
        <v>14</v>
      </c>
      <c r="H273" s="195">
        <f>VLOOKUP(B273,'14'!$D$6:$L$119,9,0)</f>
        <v>10</v>
      </c>
    </row>
    <row r="274" spans="1:8" ht="15.75" hidden="1" thickTop="1" x14ac:dyDescent="0.25">
      <c r="A274" s="2">
        <v>43</v>
      </c>
      <c r="B274" s="2" t="str">
        <f t="shared" si="6"/>
        <v>EMPTY_EAST_A_2_14</v>
      </c>
      <c r="C274" s="223" t="s">
        <v>32</v>
      </c>
      <c r="D274" s="223" t="s">
        <v>18</v>
      </c>
      <c r="E274" s="352" t="s">
        <v>2</v>
      </c>
      <c r="F274" s="224">
        <v>2</v>
      </c>
      <c r="G274" s="195">
        <v>14</v>
      </c>
      <c r="H274" s="195">
        <f>VLOOKUP(B274,'14'!$D$6:$L$119,9,0)</f>
        <v>12</v>
      </c>
    </row>
    <row r="275" spans="1:8" ht="15.75" hidden="1" thickTop="1" x14ac:dyDescent="0.25">
      <c r="A275" s="2">
        <v>43</v>
      </c>
      <c r="B275" s="2" t="str">
        <f t="shared" ref="B275" si="10">C275&amp;"_"&amp;D275&amp;"_"&amp;E275&amp;"_"&amp;F275&amp;"_"&amp;G275</f>
        <v>EMPTY_EAST_C/U_1_14</v>
      </c>
      <c r="C275" s="223" t="s">
        <v>32</v>
      </c>
      <c r="D275" s="223" t="s">
        <v>18</v>
      </c>
      <c r="E275" s="352" t="s">
        <v>67</v>
      </c>
      <c r="F275" s="224">
        <v>1</v>
      </c>
      <c r="G275" s="195">
        <v>14</v>
      </c>
      <c r="H275" s="195">
        <f>VLOOKUP(B275,'14'!$D$6:$L$119,9,0)</f>
        <v>13</v>
      </c>
    </row>
    <row r="276" spans="1:8" ht="15.75" hidden="1" thickTop="1" x14ac:dyDescent="0.25">
      <c r="A276" s="2">
        <v>43</v>
      </c>
      <c r="B276" s="2" t="str">
        <f t="shared" si="6"/>
        <v>EMPTY_EAST_C_2_14</v>
      </c>
      <c r="C276" s="223" t="s">
        <v>32</v>
      </c>
      <c r="D276" s="223" t="s">
        <v>18</v>
      </c>
      <c r="E276" s="223" t="s">
        <v>4</v>
      </c>
      <c r="F276" s="224">
        <v>2</v>
      </c>
      <c r="G276" s="195">
        <v>14</v>
      </c>
      <c r="H276" s="195">
        <f>VLOOKUP(B276,'14'!$D$6:$L$119,9,0)</f>
        <v>14</v>
      </c>
    </row>
    <row r="277" spans="1:8" ht="15.75" hidden="1" thickTop="1" x14ac:dyDescent="0.25">
      <c r="A277" s="2">
        <v>43</v>
      </c>
      <c r="B277" s="2" t="str">
        <f t="shared" si="6"/>
        <v>EMPTY_EAST_I_1_14</v>
      </c>
      <c r="C277" s="223" t="s">
        <v>32</v>
      </c>
      <c r="D277" s="223" t="s">
        <v>18</v>
      </c>
      <c r="E277" s="223" t="s">
        <v>10</v>
      </c>
      <c r="F277" s="224">
        <v>1</v>
      </c>
      <c r="G277" s="195">
        <v>14</v>
      </c>
      <c r="H277" s="195">
        <f>VLOOKUP(B277,'14'!$D$6:$L$119,9,0)</f>
        <v>16</v>
      </c>
    </row>
    <row r="278" spans="1:8" ht="15.75" hidden="1" thickTop="1" x14ac:dyDescent="0.25">
      <c r="A278" s="2">
        <v>43</v>
      </c>
      <c r="B278" s="2" t="str">
        <f t="shared" si="6"/>
        <v>EMPTY_EAST_G_2_14</v>
      </c>
      <c r="C278" s="223" t="s">
        <v>32</v>
      </c>
      <c r="D278" s="223" t="s">
        <v>18</v>
      </c>
      <c r="E278" s="223" t="s">
        <v>8</v>
      </c>
      <c r="F278" s="224">
        <v>2</v>
      </c>
      <c r="G278" s="195">
        <v>14</v>
      </c>
      <c r="H278" s="195">
        <f>VLOOKUP(B278,'14'!$D$6:$L$119,9,0)</f>
        <v>18</v>
      </c>
    </row>
    <row r="279" spans="1:8" ht="15.75" hidden="1" thickTop="1" x14ac:dyDescent="0.25">
      <c r="A279" s="2">
        <v>43</v>
      </c>
      <c r="B279" s="2" t="str">
        <f t="shared" ref="B279:B345" si="11">C279&amp;"_"&amp;D279&amp;"_"&amp;E279&amp;"_"&amp;F279&amp;"_"&amp;G279</f>
        <v>EMPTY_EAST_B_1_14</v>
      </c>
      <c r="C279" s="223" t="s">
        <v>32</v>
      </c>
      <c r="D279" s="223" t="s">
        <v>18</v>
      </c>
      <c r="E279" s="223" t="s">
        <v>3</v>
      </c>
      <c r="F279" s="224">
        <v>1</v>
      </c>
      <c r="G279" s="195">
        <v>14</v>
      </c>
      <c r="H279" s="195">
        <f>VLOOKUP(B279,'14'!$D$6:$L$119,9,0)</f>
        <v>20</v>
      </c>
    </row>
    <row r="280" spans="1:8" ht="15.75" hidden="1" thickTop="1" x14ac:dyDescent="0.25">
      <c r="A280" s="2">
        <v>43</v>
      </c>
      <c r="B280" s="2" t="str">
        <f t="shared" si="11"/>
        <v>EMPTY_EAST_E_2_14</v>
      </c>
      <c r="C280" s="223" t="s">
        <v>32</v>
      </c>
      <c r="D280" s="223" t="s">
        <v>18</v>
      </c>
      <c r="E280" s="223" t="s">
        <v>6</v>
      </c>
      <c r="F280" s="224">
        <v>2</v>
      </c>
      <c r="G280" s="195">
        <v>14</v>
      </c>
      <c r="H280" s="195">
        <f>VLOOKUP(B280,'14'!$D$6:$L$119,9,0)</f>
        <v>21</v>
      </c>
    </row>
    <row r="281" spans="1:8" ht="15.75" hidden="1" thickTop="1" x14ac:dyDescent="0.25">
      <c r="A281" s="2">
        <v>43</v>
      </c>
      <c r="B281" s="2" t="str">
        <f t="shared" si="11"/>
        <v>EMPTY_EAST_D_1_14</v>
      </c>
      <c r="C281" s="223" t="s">
        <v>32</v>
      </c>
      <c r="D281" s="223" t="s">
        <v>18</v>
      </c>
      <c r="E281" s="223" t="s">
        <v>47</v>
      </c>
      <c r="F281" s="224">
        <v>1</v>
      </c>
      <c r="G281" s="195">
        <v>14</v>
      </c>
      <c r="H281" s="195">
        <f>VLOOKUP(B281,'14'!$D$6:$L$119,9,0)</f>
        <v>22</v>
      </c>
    </row>
    <row r="282" spans="1:8" ht="15.75" hidden="1" thickTop="1" x14ac:dyDescent="0.25">
      <c r="A282" s="2">
        <v>43</v>
      </c>
      <c r="B282" s="2" t="str">
        <f t="shared" si="11"/>
        <v>EMPTY_EAST_K_2_14</v>
      </c>
      <c r="C282" s="223" t="s">
        <v>32</v>
      </c>
      <c r="D282" s="223" t="s">
        <v>18</v>
      </c>
      <c r="E282" s="223" t="s">
        <v>12</v>
      </c>
      <c r="F282" s="224">
        <v>2</v>
      </c>
      <c r="G282" s="195">
        <v>14</v>
      </c>
      <c r="H282" s="195">
        <f>VLOOKUP(B282,'14'!$D$6:$L$119,9,0)</f>
        <v>23</v>
      </c>
    </row>
    <row r="283" spans="1:8" ht="15.75" hidden="1" thickTop="1" x14ac:dyDescent="0.25">
      <c r="A283" s="2">
        <v>43</v>
      </c>
      <c r="B283" s="2" t="str">
        <f t="shared" si="11"/>
        <v>EMPTY_WEST_H_1_14</v>
      </c>
      <c r="C283" s="223" t="s">
        <v>32</v>
      </c>
      <c r="D283" s="223" t="s">
        <v>19</v>
      </c>
      <c r="E283" s="223" t="s">
        <v>9</v>
      </c>
      <c r="F283" s="224">
        <v>1</v>
      </c>
      <c r="G283" s="195">
        <v>14</v>
      </c>
      <c r="H283" s="195">
        <f>VLOOKUP(B283,'14'!$D$6:$L$119,9,0)</f>
        <v>10</v>
      </c>
    </row>
    <row r="284" spans="1:8" ht="15.75" hidden="1" thickTop="1" x14ac:dyDescent="0.25">
      <c r="A284" s="2">
        <v>43</v>
      </c>
      <c r="B284" s="2" t="str">
        <f t="shared" si="11"/>
        <v>EMPTY_WEST_P_2_14</v>
      </c>
      <c r="C284" s="223" t="s">
        <v>32</v>
      </c>
      <c r="D284" s="223" t="s">
        <v>19</v>
      </c>
      <c r="E284" s="223" t="s">
        <v>41</v>
      </c>
      <c r="F284" s="224">
        <v>2</v>
      </c>
      <c r="G284" s="195">
        <v>14</v>
      </c>
      <c r="H284" s="195">
        <f>VLOOKUP(B284,'14'!$D$6:$L$119,9,0)</f>
        <v>11</v>
      </c>
    </row>
    <row r="285" spans="1:8" ht="15.75" hidden="1" thickTop="1" x14ac:dyDescent="0.25">
      <c r="A285" s="2">
        <v>43</v>
      </c>
      <c r="B285" s="2" t="str">
        <f t="shared" si="11"/>
        <v>EMPTY_WEST_O_1_14</v>
      </c>
      <c r="C285" s="223" t="s">
        <v>32</v>
      </c>
      <c r="D285" s="223" t="s">
        <v>19</v>
      </c>
      <c r="E285" s="223" t="s">
        <v>40</v>
      </c>
      <c r="F285" s="224">
        <v>1</v>
      </c>
      <c r="G285" s="195">
        <v>14</v>
      </c>
      <c r="H285" s="195">
        <f>VLOOKUP(B285,'14'!$D$6:$L$119,9,0)</f>
        <v>13</v>
      </c>
    </row>
    <row r="286" spans="1:8" ht="15.75" hidden="1" thickTop="1" x14ac:dyDescent="0.25">
      <c r="A286" s="2">
        <v>43</v>
      </c>
      <c r="B286" s="2" t="str">
        <f t="shared" si="11"/>
        <v>EMPTY_WEST_L_2_14</v>
      </c>
      <c r="C286" s="223" t="s">
        <v>32</v>
      </c>
      <c r="D286" s="223" t="s">
        <v>19</v>
      </c>
      <c r="E286" s="223" t="s">
        <v>13</v>
      </c>
      <c r="F286" s="224">
        <v>2</v>
      </c>
      <c r="G286" s="195">
        <v>14</v>
      </c>
      <c r="H286" s="195">
        <f>VLOOKUP(B286,'14'!$D$6:$L$119,9,0)</f>
        <v>15</v>
      </c>
    </row>
    <row r="287" spans="1:8" ht="15.75" hidden="1" thickTop="1" x14ac:dyDescent="0.25">
      <c r="A287" s="2">
        <v>43</v>
      </c>
      <c r="B287" s="2" t="str">
        <f t="shared" si="11"/>
        <v>EMPTY_WEST_N_1_14</v>
      </c>
      <c r="C287" s="223" t="s">
        <v>32</v>
      </c>
      <c r="D287" s="223" t="s">
        <v>19</v>
      </c>
      <c r="E287" s="223" t="s">
        <v>15</v>
      </c>
      <c r="F287" s="224">
        <v>1</v>
      </c>
      <c r="G287" s="195">
        <v>14</v>
      </c>
      <c r="H287" s="195">
        <f>VLOOKUP(B287,'14'!$D$6:$L$119,9,0)</f>
        <v>17</v>
      </c>
    </row>
    <row r="288" spans="1:8" ht="15.75" hidden="1" thickTop="1" x14ac:dyDescent="0.25">
      <c r="A288" s="2">
        <v>43</v>
      </c>
      <c r="B288" s="2" t="str">
        <f t="shared" si="11"/>
        <v>EMPTY_WEST_J_2_14</v>
      </c>
      <c r="C288" s="223" t="s">
        <v>32</v>
      </c>
      <c r="D288" s="223" t="s">
        <v>19</v>
      </c>
      <c r="E288" s="223" t="s">
        <v>11</v>
      </c>
      <c r="F288" s="224">
        <v>2</v>
      </c>
      <c r="G288" s="195">
        <v>14</v>
      </c>
      <c r="H288" s="195">
        <f>VLOOKUP(B288,'14'!$D$6:$L$119,9,0)</f>
        <v>19</v>
      </c>
    </row>
    <row r="289" spans="1:8" ht="15.75" hidden="1" thickTop="1" x14ac:dyDescent="0.25">
      <c r="A289" s="2">
        <v>43</v>
      </c>
      <c r="B289" s="2" t="str">
        <f t="shared" si="11"/>
        <v>EMPTY_WEST_Q_1_14</v>
      </c>
      <c r="C289" s="223" t="s">
        <v>32</v>
      </c>
      <c r="D289" s="223" t="s">
        <v>19</v>
      </c>
      <c r="E289" s="223" t="s">
        <v>59</v>
      </c>
      <c r="F289" s="224">
        <v>1</v>
      </c>
      <c r="G289" s="195">
        <v>14</v>
      </c>
      <c r="H289" s="195">
        <f>VLOOKUP(B289,'14'!$D$6:$L$119,9,0)</f>
        <v>21</v>
      </c>
    </row>
    <row r="290" spans="1:8" ht="15.75" hidden="1" thickTop="1" x14ac:dyDescent="0.25">
      <c r="A290" s="2">
        <v>43</v>
      </c>
      <c r="B290" s="2" t="str">
        <f t="shared" si="11"/>
        <v>EMPTY_WEST_F_2_14</v>
      </c>
      <c r="C290" s="223" t="s">
        <v>32</v>
      </c>
      <c r="D290" s="223" t="s">
        <v>19</v>
      </c>
      <c r="E290" s="223" t="s">
        <v>7</v>
      </c>
      <c r="F290" s="224">
        <v>2</v>
      </c>
      <c r="G290" s="195">
        <v>14</v>
      </c>
      <c r="H290" s="195">
        <f>VLOOKUP(B290,'14'!$D$6:$L$119,9,0)</f>
        <v>22</v>
      </c>
    </row>
    <row r="291" spans="1:8" ht="15.75" hidden="1" thickTop="1" x14ac:dyDescent="0.25">
      <c r="A291" s="2">
        <v>43</v>
      </c>
      <c r="B291" s="2" t="str">
        <f t="shared" si="11"/>
        <v>EMPTY_WEST_M_1_14</v>
      </c>
      <c r="C291" s="223" t="s">
        <v>32</v>
      </c>
      <c r="D291" s="223" t="s">
        <v>19</v>
      </c>
      <c r="E291" s="223" t="s">
        <v>14</v>
      </c>
      <c r="F291" s="224">
        <v>1</v>
      </c>
      <c r="G291" s="195">
        <v>14</v>
      </c>
      <c r="H291" s="195">
        <f>VLOOKUP(B291,'14'!$D$6:$L$119,9,0)</f>
        <v>23</v>
      </c>
    </row>
    <row r="292" spans="1:8" ht="15.75" hidden="1" thickTop="1" x14ac:dyDescent="0.25">
      <c r="A292" s="2">
        <v>43</v>
      </c>
      <c r="B292" s="2" t="str">
        <f t="shared" si="11"/>
        <v>SORTING_EAST_UNP_1_15</v>
      </c>
      <c r="C292" s="223" t="s">
        <v>45</v>
      </c>
      <c r="D292" s="223" t="s">
        <v>18</v>
      </c>
      <c r="E292" s="223" t="s">
        <v>42</v>
      </c>
      <c r="F292" s="224">
        <v>1</v>
      </c>
      <c r="G292" s="195">
        <v>15</v>
      </c>
      <c r="H292" s="195">
        <f>VLOOKUP(B292,'15'!$D$6:$L$119,9,0)</f>
        <v>0</v>
      </c>
    </row>
    <row r="293" spans="1:8" ht="15.75" hidden="1" thickTop="1" x14ac:dyDescent="0.25">
      <c r="A293" s="2">
        <v>43</v>
      </c>
      <c r="B293" s="2" t="str">
        <f t="shared" si="11"/>
        <v>SORTING_EAST_A_2_15</v>
      </c>
      <c r="C293" s="223" t="s">
        <v>45</v>
      </c>
      <c r="D293" s="223" t="s">
        <v>18</v>
      </c>
      <c r="E293" s="352" t="s">
        <v>2</v>
      </c>
      <c r="F293" s="224">
        <v>2</v>
      </c>
      <c r="G293" s="195">
        <v>15</v>
      </c>
      <c r="H293" s="195">
        <f>VLOOKUP(B293,'15'!$D$6:$L$119,9,0)</f>
        <v>1</v>
      </c>
    </row>
    <row r="294" spans="1:8" ht="15.75" hidden="1" thickTop="1" x14ac:dyDescent="0.25">
      <c r="A294" s="2">
        <v>43</v>
      </c>
      <c r="B294" s="2" t="str">
        <f t="shared" si="11"/>
        <v>SORTING_EAST_C/U_1_15</v>
      </c>
      <c r="C294" s="223" t="s">
        <v>45</v>
      </c>
      <c r="D294" s="223" t="s">
        <v>18</v>
      </c>
      <c r="E294" s="352" t="s">
        <v>67</v>
      </c>
      <c r="F294" s="224">
        <v>1</v>
      </c>
      <c r="G294" s="195">
        <v>15</v>
      </c>
      <c r="H294" s="195">
        <f>VLOOKUP(B294,'15'!$D$6:$L$119,9,0)</f>
        <v>2</v>
      </c>
    </row>
    <row r="295" spans="1:8" ht="15.75" hidden="1" thickTop="1" x14ac:dyDescent="0.25">
      <c r="A295" s="2">
        <v>43</v>
      </c>
      <c r="B295" s="2" t="str">
        <f t="shared" si="11"/>
        <v>SORTING_EAST_C_2_15</v>
      </c>
      <c r="C295" s="223" t="s">
        <v>45</v>
      </c>
      <c r="D295" s="223" t="s">
        <v>18</v>
      </c>
      <c r="E295" s="223" t="s">
        <v>4</v>
      </c>
      <c r="F295" s="224">
        <v>2</v>
      </c>
      <c r="G295" s="195">
        <v>15</v>
      </c>
      <c r="H295" s="195">
        <f>VLOOKUP(B295,'15'!$D$6:$L$119,9,0)</f>
        <v>3</v>
      </c>
    </row>
    <row r="296" spans="1:8" ht="15.75" hidden="1" thickTop="1" x14ac:dyDescent="0.25">
      <c r="A296" s="2">
        <v>43</v>
      </c>
      <c r="B296" s="2" t="str">
        <f t="shared" si="11"/>
        <v>SORTING_EAST_I_1_15</v>
      </c>
      <c r="C296" s="223" t="s">
        <v>45</v>
      </c>
      <c r="D296" s="223" t="s">
        <v>18</v>
      </c>
      <c r="E296" s="223" t="s">
        <v>10</v>
      </c>
      <c r="F296" s="224">
        <v>1</v>
      </c>
      <c r="G296" s="195">
        <v>15</v>
      </c>
      <c r="H296" s="195">
        <f>VLOOKUP(B296,'15'!$D$6:$L$119,9,0)</f>
        <v>4</v>
      </c>
    </row>
    <row r="297" spans="1:8" ht="15.75" hidden="1" thickTop="1" x14ac:dyDescent="0.25">
      <c r="A297" s="2">
        <v>43</v>
      </c>
      <c r="B297" s="2" t="str">
        <f t="shared" si="11"/>
        <v>SORTING_EAST_G_2_15</v>
      </c>
      <c r="C297" s="223" t="s">
        <v>45</v>
      </c>
      <c r="D297" s="223" t="s">
        <v>18</v>
      </c>
      <c r="E297" s="223" t="s">
        <v>8</v>
      </c>
      <c r="F297" s="224">
        <v>2</v>
      </c>
      <c r="G297" s="195">
        <v>15</v>
      </c>
      <c r="H297" s="195">
        <f>VLOOKUP(B297,'15'!$D$6:$L$119,9,0)</f>
        <v>5</v>
      </c>
    </row>
    <row r="298" spans="1:8" ht="15.75" hidden="1" thickTop="1" x14ac:dyDescent="0.25">
      <c r="A298" s="2">
        <v>43</v>
      </c>
      <c r="B298" s="2" t="str">
        <f t="shared" si="11"/>
        <v>SORTING_EAST_B_1_15</v>
      </c>
      <c r="C298" s="223" t="s">
        <v>45</v>
      </c>
      <c r="D298" s="223" t="s">
        <v>18</v>
      </c>
      <c r="E298" s="223" t="s">
        <v>3</v>
      </c>
      <c r="F298" s="224">
        <v>1</v>
      </c>
      <c r="G298" s="195">
        <v>15</v>
      </c>
      <c r="H298" s="195">
        <f>VLOOKUP(B298,'15'!$D$6:$L$119,9,0)</f>
        <v>7</v>
      </c>
    </row>
    <row r="299" spans="1:8" ht="15.75" hidden="1" thickTop="1" x14ac:dyDescent="0.25">
      <c r="A299" s="2">
        <v>43</v>
      </c>
      <c r="B299" s="2" t="str">
        <f t="shared" si="11"/>
        <v>SORTING_EAST_E_2_15</v>
      </c>
      <c r="C299" s="223" t="s">
        <v>45</v>
      </c>
      <c r="D299" s="223" t="s">
        <v>18</v>
      </c>
      <c r="E299" s="223" t="s">
        <v>6</v>
      </c>
      <c r="F299" s="224">
        <v>2</v>
      </c>
      <c r="G299" s="195">
        <v>15</v>
      </c>
      <c r="H299" s="195">
        <f>VLOOKUP(B299,'15'!$D$6:$L$119,9,0)</f>
        <v>9</v>
      </c>
    </row>
    <row r="300" spans="1:8" ht="15.75" hidden="1" thickTop="1" x14ac:dyDescent="0.25">
      <c r="A300" s="2">
        <v>43</v>
      </c>
      <c r="B300" s="2" t="str">
        <f t="shared" si="11"/>
        <v>SORTING_EAST_D_1_15</v>
      </c>
      <c r="C300" s="223" t="s">
        <v>45</v>
      </c>
      <c r="D300" s="223" t="s">
        <v>18</v>
      </c>
      <c r="E300" s="223" t="s">
        <v>47</v>
      </c>
      <c r="F300" s="224">
        <v>1</v>
      </c>
      <c r="G300" s="195">
        <v>15</v>
      </c>
      <c r="H300" s="195">
        <f>VLOOKUP(B300,'15'!$D$6:$L$119,9,0)</f>
        <v>11</v>
      </c>
    </row>
    <row r="301" spans="1:8" ht="15.75" hidden="1" thickTop="1" x14ac:dyDescent="0.25">
      <c r="A301" s="2">
        <v>43</v>
      </c>
      <c r="B301" s="2" t="str">
        <f t="shared" si="11"/>
        <v>SORTING_EAST_K_2_15</v>
      </c>
      <c r="C301" s="223" t="s">
        <v>45</v>
      </c>
      <c r="D301" s="223" t="s">
        <v>18</v>
      </c>
      <c r="E301" s="223" t="s">
        <v>12</v>
      </c>
      <c r="F301" s="224">
        <v>2</v>
      </c>
      <c r="G301" s="195">
        <v>15</v>
      </c>
      <c r="H301" s="195">
        <f>VLOOKUP(B301,'15'!$D$6:$L$119,9,0)</f>
        <v>13</v>
      </c>
    </row>
    <row r="302" spans="1:8" ht="15.75" hidden="1" thickTop="1" x14ac:dyDescent="0.25">
      <c r="A302" s="2">
        <v>43</v>
      </c>
      <c r="B302" s="2" t="str">
        <f t="shared" si="11"/>
        <v>SORTING_WEST_H_1_15</v>
      </c>
      <c r="C302" s="223" t="s">
        <v>45</v>
      </c>
      <c r="D302" s="223" t="s">
        <v>19</v>
      </c>
      <c r="E302" s="223" t="s">
        <v>9</v>
      </c>
      <c r="F302" s="224">
        <v>1</v>
      </c>
      <c r="G302" s="195">
        <v>15</v>
      </c>
      <c r="H302" s="195">
        <f>VLOOKUP(B302,'15'!$D$6:$L$119,9,0)</f>
        <v>0</v>
      </c>
    </row>
    <row r="303" spans="1:8" ht="15.75" hidden="1" thickTop="1" x14ac:dyDescent="0.25">
      <c r="A303" s="2">
        <v>43</v>
      </c>
      <c r="B303" s="2" t="str">
        <f t="shared" si="11"/>
        <v>SORTING_WEST_P_2_15</v>
      </c>
      <c r="C303" s="223" t="s">
        <v>45</v>
      </c>
      <c r="D303" s="223" t="s">
        <v>19</v>
      </c>
      <c r="E303" s="223" t="s">
        <v>41</v>
      </c>
      <c r="F303" s="224">
        <v>2</v>
      </c>
      <c r="G303" s="195">
        <v>15</v>
      </c>
      <c r="H303" s="195">
        <f>VLOOKUP(B303,'15'!$D$6:$L$119,9,0)</f>
        <v>1</v>
      </c>
    </row>
    <row r="304" spans="1:8" ht="15.75" hidden="1" thickTop="1" x14ac:dyDescent="0.25">
      <c r="A304" s="2">
        <v>43</v>
      </c>
      <c r="B304" s="2" t="str">
        <f t="shared" si="11"/>
        <v>SORTING_WEST_O_1_15</v>
      </c>
      <c r="C304" s="223" t="s">
        <v>45</v>
      </c>
      <c r="D304" s="223" t="s">
        <v>19</v>
      </c>
      <c r="E304" s="223" t="s">
        <v>40</v>
      </c>
      <c r="F304" s="224">
        <v>1</v>
      </c>
      <c r="G304" s="195">
        <v>15</v>
      </c>
      <c r="H304" s="195">
        <f>VLOOKUP(B304,'15'!$D$6:$L$119,9,0)</f>
        <v>3</v>
      </c>
    </row>
    <row r="305" spans="1:8" ht="15.75" hidden="1" thickTop="1" x14ac:dyDescent="0.25">
      <c r="A305" s="2">
        <v>43</v>
      </c>
      <c r="B305" s="2" t="str">
        <f t="shared" si="11"/>
        <v>SORTING_WEST_L_2_15</v>
      </c>
      <c r="C305" s="223" t="s">
        <v>45</v>
      </c>
      <c r="D305" s="223" t="s">
        <v>19</v>
      </c>
      <c r="E305" s="223" t="s">
        <v>13</v>
      </c>
      <c r="F305" s="224">
        <v>2</v>
      </c>
      <c r="G305" s="195">
        <v>15</v>
      </c>
      <c r="H305" s="195">
        <f>VLOOKUP(B305,'15'!$D$6:$L$119,9,0)</f>
        <v>5</v>
      </c>
    </row>
    <row r="306" spans="1:8" ht="15.75" hidden="1" thickTop="1" x14ac:dyDescent="0.25">
      <c r="A306" s="2">
        <v>43</v>
      </c>
      <c r="B306" s="2" t="str">
        <f t="shared" si="11"/>
        <v>SORTING_WEST_N_1_15</v>
      </c>
      <c r="C306" s="223" t="s">
        <v>45</v>
      </c>
      <c r="D306" s="223" t="s">
        <v>19</v>
      </c>
      <c r="E306" s="223" t="s">
        <v>15</v>
      </c>
      <c r="F306" s="224">
        <v>1</v>
      </c>
      <c r="G306" s="195">
        <v>15</v>
      </c>
      <c r="H306" s="195">
        <f>VLOOKUP(B306,'15'!$D$6:$L$119,9,0)</f>
        <v>7</v>
      </c>
    </row>
    <row r="307" spans="1:8" ht="15.75" hidden="1" thickTop="1" x14ac:dyDescent="0.25">
      <c r="A307" s="2">
        <v>43</v>
      </c>
      <c r="B307" s="2" t="str">
        <f t="shared" si="11"/>
        <v>SORTING_WEST_J_2_15</v>
      </c>
      <c r="C307" s="223" t="s">
        <v>45</v>
      </c>
      <c r="D307" s="223" t="s">
        <v>19</v>
      </c>
      <c r="E307" s="223" t="s">
        <v>11</v>
      </c>
      <c r="F307" s="224">
        <v>2</v>
      </c>
      <c r="G307" s="195">
        <v>15</v>
      </c>
      <c r="H307" s="195">
        <f>VLOOKUP(B307,'15'!$D$6:$L$119,9,0)</f>
        <v>9</v>
      </c>
    </row>
    <row r="308" spans="1:8" ht="15.75" hidden="1" thickTop="1" x14ac:dyDescent="0.25">
      <c r="A308" s="2">
        <v>43</v>
      </c>
      <c r="B308" s="2" t="str">
        <f t="shared" si="11"/>
        <v>SORTING_WEST_Q_1_15</v>
      </c>
      <c r="C308" s="223" t="s">
        <v>45</v>
      </c>
      <c r="D308" s="223" t="s">
        <v>19</v>
      </c>
      <c r="E308" s="223" t="s">
        <v>59</v>
      </c>
      <c r="F308" s="224">
        <v>1</v>
      </c>
      <c r="G308" s="195">
        <v>15</v>
      </c>
      <c r="H308" s="195">
        <f>VLOOKUP(B308,'15'!$D$6:$L$119,9,0)</f>
        <v>10</v>
      </c>
    </row>
    <row r="309" spans="1:8" ht="15.75" hidden="1" thickTop="1" x14ac:dyDescent="0.25">
      <c r="A309" s="2">
        <v>43</v>
      </c>
      <c r="B309" s="2" t="str">
        <f t="shared" si="11"/>
        <v>SORTING_WEST_F_2_15</v>
      </c>
      <c r="C309" s="223" t="s">
        <v>45</v>
      </c>
      <c r="D309" s="223" t="s">
        <v>19</v>
      </c>
      <c r="E309" s="223" t="s">
        <v>7</v>
      </c>
      <c r="F309" s="224">
        <v>2</v>
      </c>
      <c r="G309" s="195">
        <v>15</v>
      </c>
      <c r="H309" s="195">
        <f>VLOOKUP(B309,'15'!$D$6:$L$119,9,0)</f>
        <v>11</v>
      </c>
    </row>
    <row r="310" spans="1:8" ht="15.75" hidden="1" thickTop="1" x14ac:dyDescent="0.25">
      <c r="A310" s="2">
        <v>43</v>
      </c>
      <c r="B310" s="2" t="str">
        <f t="shared" si="11"/>
        <v>SORTING_WEST_M_1_15</v>
      </c>
      <c r="C310" s="223" t="s">
        <v>45</v>
      </c>
      <c r="D310" s="223" t="s">
        <v>19</v>
      </c>
      <c r="E310" s="223" t="s">
        <v>14</v>
      </c>
      <c r="F310" s="224">
        <v>1</v>
      </c>
      <c r="G310" s="195">
        <v>15</v>
      </c>
      <c r="H310" s="195">
        <f>VLOOKUP(B310,'15'!$D$6:$L$119,9,0)</f>
        <v>13</v>
      </c>
    </row>
    <row r="311" spans="1:8" ht="15.75" hidden="1" thickTop="1" x14ac:dyDescent="0.25">
      <c r="A311" s="2">
        <v>43</v>
      </c>
      <c r="B311" s="2" t="str">
        <f t="shared" si="11"/>
        <v>TRANSFER_EAST_UNP_1_15</v>
      </c>
      <c r="C311" s="223" t="s">
        <v>21</v>
      </c>
      <c r="D311" s="223" t="s">
        <v>18</v>
      </c>
      <c r="E311" s="223" t="s">
        <v>42</v>
      </c>
      <c r="F311" s="224">
        <v>1</v>
      </c>
      <c r="G311" s="195">
        <v>15</v>
      </c>
      <c r="H311" s="195">
        <f>VLOOKUP(B311,'15'!$D$6:$L$119,9,0)</f>
        <v>1</v>
      </c>
    </row>
    <row r="312" spans="1:8" ht="15.75" hidden="1" thickTop="1" x14ac:dyDescent="0.25">
      <c r="A312" s="2">
        <v>43</v>
      </c>
      <c r="B312" s="2" t="str">
        <f t="shared" si="11"/>
        <v>TRANSFER_EAST_A_2_15</v>
      </c>
      <c r="C312" s="223" t="s">
        <v>21</v>
      </c>
      <c r="D312" s="223" t="s">
        <v>18</v>
      </c>
      <c r="E312" s="352" t="s">
        <v>2</v>
      </c>
      <c r="F312" s="224">
        <v>2</v>
      </c>
      <c r="G312" s="195">
        <v>15</v>
      </c>
      <c r="H312" s="195">
        <f>VLOOKUP(B312,'15'!$D$6:$L$119,9,0)</f>
        <v>2</v>
      </c>
    </row>
    <row r="313" spans="1:8" ht="15.75" hidden="1" thickTop="1" x14ac:dyDescent="0.25">
      <c r="A313" s="2">
        <v>43</v>
      </c>
      <c r="B313" s="2" t="str">
        <f t="shared" si="11"/>
        <v>TRANSFER_EAST_C/U_1_15</v>
      </c>
      <c r="C313" s="223" t="s">
        <v>21</v>
      </c>
      <c r="D313" s="223" t="s">
        <v>18</v>
      </c>
      <c r="E313" s="352" t="s">
        <v>67</v>
      </c>
      <c r="F313" s="224">
        <v>1</v>
      </c>
      <c r="G313" s="195">
        <v>15</v>
      </c>
      <c r="H313" s="195">
        <f>VLOOKUP(B313,'15'!$D$6:$L$119,9,0)</f>
        <v>3</v>
      </c>
    </row>
    <row r="314" spans="1:8" ht="15.75" hidden="1" thickTop="1" x14ac:dyDescent="0.25">
      <c r="A314" s="2">
        <v>43</v>
      </c>
      <c r="B314" s="2" t="str">
        <f t="shared" si="11"/>
        <v>TRANSFER_EAST_C_2_15</v>
      </c>
      <c r="C314" s="223" t="s">
        <v>21</v>
      </c>
      <c r="D314" s="223" t="s">
        <v>18</v>
      </c>
      <c r="E314" s="223" t="s">
        <v>4</v>
      </c>
      <c r="F314" s="224">
        <v>2</v>
      </c>
      <c r="G314" s="195">
        <v>15</v>
      </c>
      <c r="H314" s="195">
        <f>VLOOKUP(B314,'15'!$D$6:$L$119,9,0)</f>
        <v>4</v>
      </c>
    </row>
    <row r="315" spans="1:8" ht="15.75" hidden="1" thickTop="1" x14ac:dyDescent="0.25">
      <c r="A315" s="2">
        <v>43</v>
      </c>
      <c r="B315" s="2" t="str">
        <f t="shared" si="11"/>
        <v>TRANSFER_EAST_I_1_15</v>
      </c>
      <c r="C315" s="223" t="s">
        <v>21</v>
      </c>
      <c r="D315" s="223" t="s">
        <v>18</v>
      </c>
      <c r="E315" s="223" t="s">
        <v>10</v>
      </c>
      <c r="F315" s="224">
        <v>1</v>
      </c>
      <c r="G315" s="195">
        <v>15</v>
      </c>
      <c r="H315" s="195">
        <f>VLOOKUP(B315,'15'!$D$6:$L$119,9,0)</f>
        <v>5</v>
      </c>
    </row>
    <row r="316" spans="1:8" ht="15.75" hidden="1" thickTop="1" x14ac:dyDescent="0.25">
      <c r="A316" s="2">
        <v>43</v>
      </c>
      <c r="B316" s="2" t="str">
        <f t="shared" si="11"/>
        <v>TRANSFER_EAST_G_2_15</v>
      </c>
      <c r="C316" s="223" t="s">
        <v>21</v>
      </c>
      <c r="D316" s="223" t="s">
        <v>18</v>
      </c>
      <c r="E316" s="223" t="s">
        <v>8</v>
      </c>
      <c r="F316" s="224">
        <v>2</v>
      </c>
      <c r="G316" s="195">
        <v>15</v>
      </c>
      <c r="H316" s="195">
        <f>VLOOKUP(B316,'15'!$D$6:$L$119,9,0)</f>
        <v>7</v>
      </c>
    </row>
    <row r="317" spans="1:8" ht="15.75" hidden="1" thickTop="1" x14ac:dyDescent="0.25">
      <c r="A317" s="2">
        <v>43</v>
      </c>
      <c r="B317" s="2" t="str">
        <f t="shared" si="11"/>
        <v>TRANSFER_EAST_B_1_15</v>
      </c>
      <c r="C317" s="223" t="s">
        <v>21</v>
      </c>
      <c r="D317" s="223" t="s">
        <v>18</v>
      </c>
      <c r="E317" s="223" t="s">
        <v>3</v>
      </c>
      <c r="F317" s="224">
        <v>1</v>
      </c>
      <c r="G317" s="195">
        <v>15</v>
      </c>
      <c r="H317" s="195">
        <f>VLOOKUP(B317,'15'!$D$6:$L$119,9,0)</f>
        <v>9</v>
      </c>
    </row>
    <row r="318" spans="1:8" ht="15.75" hidden="1" thickTop="1" x14ac:dyDescent="0.25">
      <c r="A318" s="2">
        <v>43</v>
      </c>
      <c r="B318" s="2" t="str">
        <f t="shared" si="11"/>
        <v>TRANSFER_EAST_E_2_15</v>
      </c>
      <c r="C318" s="223" t="s">
        <v>21</v>
      </c>
      <c r="D318" s="223" t="s">
        <v>18</v>
      </c>
      <c r="E318" s="223" t="s">
        <v>6</v>
      </c>
      <c r="F318" s="224">
        <v>2</v>
      </c>
      <c r="G318" s="195">
        <v>15</v>
      </c>
      <c r="H318" s="195">
        <f>VLOOKUP(B318,'15'!$D$6:$L$119,9,0)</f>
        <v>11</v>
      </c>
    </row>
    <row r="319" spans="1:8" ht="15.75" hidden="1" thickTop="1" x14ac:dyDescent="0.25">
      <c r="A319" s="2">
        <v>43</v>
      </c>
      <c r="B319" s="2" t="str">
        <f t="shared" si="11"/>
        <v>TRANSFER_EAST_D_1_15</v>
      </c>
      <c r="C319" s="223" t="s">
        <v>21</v>
      </c>
      <c r="D319" s="223" t="s">
        <v>18</v>
      </c>
      <c r="E319" s="223" t="s">
        <v>47</v>
      </c>
      <c r="F319" s="224">
        <v>1</v>
      </c>
      <c r="G319" s="195">
        <v>15</v>
      </c>
      <c r="H319" s="195">
        <f>VLOOKUP(B319,'15'!$D$6:$L$119,9,0)</f>
        <v>13</v>
      </c>
    </row>
    <row r="320" spans="1:8" ht="15.75" hidden="1" thickTop="1" x14ac:dyDescent="0.25">
      <c r="A320" s="2">
        <v>43</v>
      </c>
      <c r="B320" s="2" t="str">
        <f t="shared" si="11"/>
        <v>TRANSFER_EAST_K_2_15</v>
      </c>
      <c r="C320" s="223" t="s">
        <v>21</v>
      </c>
      <c r="D320" s="223" t="s">
        <v>18</v>
      </c>
      <c r="E320" s="223" t="s">
        <v>12</v>
      </c>
      <c r="F320" s="224">
        <v>2</v>
      </c>
      <c r="G320" s="195">
        <v>15</v>
      </c>
      <c r="H320" s="195">
        <f>VLOOKUP(B320,'15'!$D$6:$L$119,9,0)</f>
        <v>15</v>
      </c>
    </row>
    <row r="321" spans="1:8" ht="15.75" hidden="1" thickTop="1" x14ac:dyDescent="0.25">
      <c r="A321" s="2">
        <v>43</v>
      </c>
      <c r="B321" s="2" t="str">
        <f t="shared" si="11"/>
        <v>TRANSFER_WEST_H_1_15</v>
      </c>
      <c r="C321" s="223" t="s">
        <v>21</v>
      </c>
      <c r="D321" s="223" t="s">
        <v>19</v>
      </c>
      <c r="E321" s="223" t="s">
        <v>9</v>
      </c>
      <c r="F321" s="224">
        <v>1</v>
      </c>
      <c r="G321" s="195">
        <v>15</v>
      </c>
      <c r="H321" s="195">
        <f>VLOOKUP(B321,'15'!$D$6:$L$119,9,0)</f>
        <v>1</v>
      </c>
    </row>
    <row r="322" spans="1:8" ht="15.75" hidden="1" thickTop="1" x14ac:dyDescent="0.25">
      <c r="A322" s="2">
        <v>43</v>
      </c>
      <c r="B322" s="2" t="str">
        <f t="shared" si="11"/>
        <v>TRANSFER_WEST_P_2_15</v>
      </c>
      <c r="C322" s="223" t="s">
        <v>21</v>
      </c>
      <c r="D322" s="223" t="s">
        <v>19</v>
      </c>
      <c r="E322" s="223" t="s">
        <v>41</v>
      </c>
      <c r="F322" s="224">
        <v>2</v>
      </c>
      <c r="G322" s="195">
        <v>15</v>
      </c>
      <c r="H322" s="195">
        <f>VLOOKUP(B322,'15'!$D$6:$L$119,9,0)</f>
        <v>3</v>
      </c>
    </row>
    <row r="323" spans="1:8" ht="15.75" hidden="1" thickTop="1" x14ac:dyDescent="0.25">
      <c r="A323" s="2">
        <v>43</v>
      </c>
      <c r="B323" s="2" t="str">
        <f t="shared" si="11"/>
        <v>TRANSFER_WEST_O_1_15</v>
      </c>
      <c r="C323" s="223" t="s">
        <v>21</v>
      </c>
      <c r="D323" s="223" t="s">
        <v>19</v>
      </c>
      <c r="E323" s="223" t="s">
        <v>40</v>
      </c>
      <c r="F323" s="224">
        <v>1</v>
      </c>
      <c r="G323" s="195">
        <v>15</v>
      </c>
      <c r="H323" s="195">
        <f>VLOOKUP(B323,'15'!$D$6:$L$119,9,0)</f>
        <v>5</v>
      </c>
    </row>
    <row r="324" spans="1:8" ht="15.75" hidden="1" thickTop="1" x14ac:dyDescent="0.25">
      <c r="A324" s="2">
        <v>43</v>
      </c>
      <c r="B324" s="2" t="str">
        <f t="shared" si="11"/>
        <v>TRANSFER_WEST_L_2_15</v>
      </c>
      <c r="C324" s="223" t="s">
        <v>21</v>
      </c>
      <c r="D324" s="223" t="s">
        <v>19</v>
      </c>
      <c r="E324" s="223" t="s">
        <v>13</v>
      </c>
      <c r="F324" s="224">
        <v>2</v>
      </c>
      <c r="G324" s="195">
        <v>15</v>
      </c>
      <c r="H324" s="195">
        <f>VLOOKUP(B324,'15'!$D$6:$L$119,9,0)</f>
        <v>7</v>
      </c>
    </row>
    <row r="325" spans="1:8" ht="15.75" hidden="1" thickTop="1" x14ac:dyDescent="0.25">
      <c r="A325" s="2">
        <v>43</v>
      </c>
      <c r="B325" s="2" t="str">
        <f t="shared" si="11"/>
        <v>TRANSFER_WEST_N_1_15</v>
      </c>
      <c r="C325" s="223" t="s">
        <v>21</v>
      </c>
      <c r="D325" s="223" t="s">
        <v>19</v>
      </c>
      <c r="E325" s="223" t="s">
        <v>15</v>
      </c>
      <c r="F325" s="224">
        <v>1</v>
      </c>
      <c r="G325" s="195">
        <v>15</v>
      </c>
      <c r="H325" s="195">
        <f>VLOOKUP(B325,'15'!$D$6:$L$119,9,0)</f>
        <v>9</v>
      </c>
    </row>
    <row r="326" spans="1:8" ht="15.75" hidden="1" thickTop="1" x14ac:dyDescent="0.25">
      <c r="A326" s="2">
        <v>43</v>
      </c>
      <c r="B326" s="2" t="str">
        <f t="shared" si="11"/>
        <v>TRANSFER_WEST_J_2_15</v>
      </c>
      <c r="C326" s="223" t="s">
        <v>21</v>
      </c>
      <c r="D326" s="223" t="s">
        <v>19</v>
      </c>
      <c r="E326" s="223" t="s">
        <v>11</v>
      </c>
      <c r="F326" s="224">
        <v>2</v>
      </c>
      <c r="G326" s="195">
        <v>15</v>
      </c>
      <c r="H326" s="195">
        <f>VLOOKUP(B326,'15'!$D$6:$L$119,9,0)</f>
        <v>10</v>
      </c>
    </row>
    <row r="327" spans="1:8" ht="15.75" hidden="1" thickTop="1" x14ac:dyDescent="0.25">
      <c r="A327" s="2">
        <v>43</v>
      </c>
      <c r="B327" s="2" t="str">
        <f t="shared" si="11"/>
        <v>TRANSFER_WEST_Q_1_15</v>
      </c>
      <c r="C327" s="223" t="s">
        <v>21</v>
      </c>
      <c r="D327" s="223" t="s">
        <v>19</v>
      </c>
      <c r="E327" s="223" t="s">
        <v>59</v>
      </c>
      <c r="F327" s="224">
        <v>1</v>
      </c>
      <c r="G327" s="195">
        <v>15</v>
      </c>
      <c r="H327" s="195">
        <f>VLOOKUP(B327,'15'!$D$6:$L$119,9,0)</f>
        <v>11</v>
      </c>
    </row>
    <row r="328" spans="1:8" ht="15.75" hidden="1" thickTop="1" x14ac:dyDescent="0.25">
      <c r="A328" s="2">
        <v>43</v>
      </c>
      <c r="B328" s="2" t="str">
        <f t="shared" si="11"/>
        <v>TRANSFER_WEST_F_2_15</v>
      </c>
      <c r="C328" s="223" t="s">
        <v>21</v>
      </c>
      <c r="D328" s="223" t="s">
        <v>19</v>
      </c>
      <c r="E328" s="223" t="s">
        <v>7</v>
      </c>
      <c r="F328" s="224">
        <v>2</v>
      </c>
      <c r="G328" s="195">
        <v>15</v>
      </c>
      <c r="H328" s="195">
        <f>VLOOKUP(B328,'15'!$D$6:$L$119,9,0)</f>
        <v>13</v>
      </c>
    </row>
    <row r="329" spans="1:8" ht="15.75" hidden="1" thickTop="1" x14ac:dyDescent="0.25">
      <c r="A329" s="2">
        <v>43</v>
      </c>
      <c r="B329" s="2" t="str">
        <f t="shared" si="11"/>
        <v>TRANSFER_WEST_M_1_15</v>
      </c>
      <c r="C329" s="223" t="s">
        <v>21</v>
      </c>
      <c r="D329" s="223" t="s">
        <v>19</v>
      </c>
      <c r="E329" s="223" t="s">
        <v>14</v>
      </c>
      <c r="F329" s="224">
        <v>1</v>
      </c>
      <c r="G329" s="195">
        <v>15</v>
      </c>
      <c r="H329" s="195">
        <f>VLOOKUP(B329,'15'!$D$6:$L$119,9,0)</f>
        <v>15</v>
      </c>
    </row>
    <row r="330" spans="1:8" ht="15.75" hidden="1" thickTop="1" x14ac:dyDescent="0.25">
      <c r="A330" s="2">
        <v>43</v>
      </c>
      <c r="B330" s="2" t="str">
        <f t="shared" si="11"/>
        <v>PREPARE_EAST_UNP_1_15</v>
      </c>
      <c r="C330" s="223" t="s">
        <v>46</v>
      </c>
      <c r="D330" s="223" t="s">
        <v>18</v>
      </c>
      <c r="E330" s="223" t="s">
        <v>42</v>
      </c>
      <c r="F330" s="224">
        <v>1</v>
      </c>
      <c r="G330" s="195">
        <v>15</v>
      </c>
      <c r="H330" s="195">
        <f>VLOOKUP(B330,'15'!$D$6:$L$119,9,0)</f>
        <v>13</v>
      </c>
    </row>
    <row r="331" spans="1:8" ht="15.75" hidden="1" thickTop="1" x14ac:dyDescent="0.25">
      <c r="A331" s="2">
        <v>43</v>
      </c>
      <c r="B331" s="2" t="str">
        <f t="shared" si="11"/>
        <v>PREPARE_EAST_A_2_15</v>
      </c>
      <c r="C331" s="223" t="s">
        <v>46</v>
      </c>
      <c r="D331" s="223" t="s">
        <v>18</v>
      </c>
      <c r="E331" s="352" t="s">
        <v>2</v>
      </c>
      <c r="F331" s="224">
        <v>2</v>
      </c>
      <c r="G331" s="195">
        <v>15</v>
      </c>
      <c r="H331" s="195">
        <f>VLOOKUP(B331,'15'!$D$6:$L$119,9,0)</f>
        <v>14</v>
      </c>
    </row>
    <row r="332" spans="1:8" ht="15.75" hidden="1" thickTop="1" x14ac:dyDescent="0.25">
      <c r="A332" s="2">
        <v>43</v>
      </c>
      <c r="B332" s="2" t="str">
        <f t="shared" si="11"/>
        <v>PREPARE_EAST_C/U_1_15</v>
      </c>
      <c r="C332" s="223" t="s">
        <v>46</v>
      </c>
      <c r="D332" s="223" t="s">
        <v>18</v>
      </c>
      <c r="E332" s="352" t="s">
        <v>67</v>
      </c>
      <c r="F332" s="224">
        <v>1</v>
      </c>
      <c r="G332" s="195">
        <v>15</v>
      </c>
      <c r="H332" s="195">
        <f>VLOOKUP(B332,'15'!$D$6:$L$119,9,0)</f>
        <v>14</v>
      </c>
    </row>
    <row r="333" spans="1:8" ht="15.75" hidden="1" thickTop="1" x14ac:dyDescent="0.25">
      <c r="A333" s="2">
        <v>43</v>
      </c>
      <c r="B333" s="2" t="str">
        <f t="shared" si="11"/>
        <v>PREPARE_EAST_C_2_15</v>
      </c>
      <c r="C333" s="223" t="s">
        <v>46</v>
      </c>
      <c r="D333" s="223" t="s">
        <v>18</v>
      </c>
      <c r="E333" s="223" t="s">
        <v>4</v>
      </c>
      <c r="F333" s="224">
        <v>2</v>
      </c>
      <c r="G333" s="195">
        <v>15</v>
      </c>
      <c r="H333" s="195">
        <f>VLOOKUP(B333,'15'!$D$6:$L$119,9,0)</f>
        <v>16</v>
      </c>
    </row>
    <row r="334" spans="1:8" ht="15.75" hidden="1" thickTop="1" x14ac:dyDescent="0.25">
      <c r="A334" s="2">
        <v>43</v>
      </c>
      <c r="B334" s="2" t="str">
        <f t="shared" si="11"/>
        <v>PREPARE_EAST_I_1_15</v>
      </c>
      <c r="C334" s="223" t="s">
        <v>46</v>
      </c>
      <c r="D334" s="223" t="s">
        <v>18</v>
      </c>
      <c r="E334" s="223" t="s">
        <v>10</v>
      </c>
      <c r="F334" s="224">
        <v>1</v>
      </c>
      <c r="G334" s="195">
        <v>15</v>
      </c>
      <c r="H334" s="195">
        <f>VLOOKUP(B334,'15'!$D$6:$L$119,9,0)</f>
        <v>18</v>
      </c>
    </row>
    <row r="335" spans="1:8" ht="15.75" hidden="1" thickTop="1" x14ac:dyDescent="0.25">
      <c r="A335" s="2">
        <v>43</v>
      </c>
      <c r="B335" s="2" t="str">
        <f t="shared" si="11"/>
        <v>PREPARE_EAST_G_2_15</v>
      </c>
      <c r="C335" s="223" t="s">
        <v>46</v>
      </c>
      <c r="D335" s="223" t="s">
        <v>18</v>
      </c>
      <c r="E335" s="223" t="s">
        <v>8</v>
      </c>
      <c r="F335" s="224">
        <v>2</v>
      </c>
      <c r="G335" s="195">
        <v>15</v>
      </c>
      <c r="H335" s="195">
        <f>VLOOKUP(B335,'15'!$D$6:$L$119,9,0)</f>
        <v>20</v>
      </c>
    </row>
    <row r="336" spans="1:8" ht="15.75" hidden="1" thickTop="1" x14ac:dyDescent="0.25">
      <c r="A336" s="2">
        <v>43</v>
      </c>
      <c r="B336" s="2" t="str">
        <f t="shared" si="11"/>
        <v>PREPARE_EAST_B_1_15</v>
      </c>
      <c r="C336" s="223" t="s">
        <v>46</v>
      </c>
      <c r="D336" s="223" t="s">
        <v>18</v>
      </c>
      <c r="E336" s="223" t="s">
        <v>3</v>
      </c>
      <c r="F336" s="224">
        <v>1</v>
      </c>
      <c r="G336" s="195">
        <v>15</v>
      </c>
      <c r="H336" s="195">
        <f>VLOOKUP(B336,'15'!$D$6:$L$119,9,0)</f>
        <v>22</v>
      </c>
    </row>
    <row r="337" spans="1:8" ht="15.75" hidden="1" thickTop="1" x14ac:dyDescent="0.25">
      <c r="A337" s="2">
        <v>43</v>
      </c>
      <c r="B337" s="2" t="str">
        <f t="shared" si="11"/>
        <v>PREPARE_EAST_E_2_15</v>
      </c>
      <c r="C337" s="223" t="s">
        <v>46</v>
      </c>
      <c r="D337" s="223" t="s">
        <v>18</v>
      </c>
      <c r="E337" s="223" t="s">
        <v>6</v>
      </c>
      <c r="F337" s="224">
        <v>2</v>
      </c>
      <c r="G337" s="195">
        <v>15</v>
      </c>
      <c r="H337" s="195">
        <f>VLOOKUP(B337,'15'!$D$6:$L$119,9,0)</f>
        <v>24</v>
      </c>
    </row>
    <row r="338" spans="1:8" ht="15.75" hidden="1" thickTop="1" x14ac:dyDescent="0.25">
      <c r="A338" s="2">
        <v>43</v>
      </c>
      <c r="B338" s="2" t="str">
        <f t="shared" si="11"/>
        <v>PREPARE_EAST_D_1_15</v>
      </c>
      <c r="C338" s="223" t="s">
        <v>46</v>
      </c>
      <c r="D338" s="223" t="s">
        <v>18</v>
      </c>
      <c r="E338" s="223" t="s">
        <v>47</v>
      </c>
      <c r="F338" s="224">
        <v>1</v>
      </c>
      <c r="G338" s="195">
        <v>15</v>
      </c>
      <c r="H338" s="195">
        <f>VLOOKUP(B338,'15'!$D$6:$L$119,9,0)</f>
        <v>25</v>
      </c>
    </row>
    <row r="339" spans="1:8" ht="15.75" hidden="1" thickTop="1" x14ac:dyDescent="0.25">
      <c r="A339" s="2">
        <v>43</v>
      </c>
      <c r="B339" s="2" t="str">
        <f t="shared" si="11"/>
        <v>PREPARE_EAST_K_2_15</v>
      </c>
      <c r="C339" s="223" t="s">
        <v>46</v>
      </c>
      <c r="D339" s="223" t="s">
        <v>18</v>
      </c>
      <c r="E339" s="223" t="s">
        <v>12</v>
      </c>
      <c r="F339" s="224">
        <v>2</v>
      </c>
      <c r="G339" s="195">
        <v>15</v>
      </c>
      <c r="H339" s="195">
        <f>VLOOKUP(B339,'15'!$D$6:$L$119,9,0)</f>
        <v>26</v>
      </c>
    </row>
    <row r="340" spans="1:8" ht="15.75" hidden="1" thickTop="1" x14ac:dyDescent="0.25">
      <c r="A340" s="2">
        <v>43</v>
      </c>
      <c r="B340" s="2" t="str">
        <f t="shared" si="11"/>
        <v>PREPARE_WEST_H_1_15</v>
      </c>
      <c r="C340" s="223" t="s">
        <v>46</v>
      </c>
      <c r="D340" s="223" t="s">
        <v>19</v>
      </c>
      <c r="E340" s="223" t="s">
        <v>9</v>
      </c>
      <c r="F340" s="224">
        <v>1</v>
      </c>
      <c r="G340" s="195">
        <v>15</v>
      </c>
      <c r="H340" s="195">
        <f>VLOOKUP(B340,'15'!$D$6:$L$119,9,0)</f>
        <v>13</v>
      </c>
    </row>
    <row r="341" spans="1:8" ht="15.75" hidden="1" thickTop="1" x14ac:dyDescent="0.25">
      <c r="A341" s="2">
        <v>43</v>
      </c>
      <c r="B341" s="2" t="str">
        <f t="shared" si="11"/>
        <v>PREPARE_WEST_P_2_15</v>
      </c>
      <c r="C341" s="223" t="s">
        <v>46</v>
      </c>
      <c r="D341" s="223" t="s">
        <v>19</v>
      </c>
      <c r="E341" s="223" t="s">
        <v>41</v>
      </c>
      <c r="F341" s="224">
        <v>2</v>
      </c>
      <c r="G341" s="195">
        <v>15</v>
      </c>
      <c r="H341" s="195">
        <f>VLOOKUP(B341,'15'!$D$6:$L$119,9,0)</f>
        <v>15</v>
      </c>
    </row>
    <row r="342" spans="1:8" ht="15.75" hidden="1" thickTop="1" x14ac:dyDescent="0.25">
      <c r="A342" s="2">
        <v>43</v>
      </c>
      <c r="B342" s="2" t="str">
        <f t="shared" si="11"/>
        <v>PREPARE_WEST_O_1_15</v>
      </c>
      <c r="C342" s="223" t="s">
        <v>46</v>
      </c>
      <c r="D342" s="223" t="s">
        <v>19</v>
      </c>
      <c r="E342" s="223" t="s">
        <v>40</v>
      </c>
      <c r="F342" s="224">
        <v>1</v>
      </c>
      <c r="G342" s="332">
        <v>15</v>
      </c>
      <c r="H342" s="195">
        <f>VLOOKUP(B342,'15'!$D$6:$L$119,9,0)</f>
        <v>17</v>
      </c>
    </row>
    <row r="343" spans="1:8" ht="15.75" hidden="1" thickTop="1" x14ac:dyDescent="0.25">
      <c r="A343" s="2">
        <v>43</v>
      </c>
      <c r="B343" s="2" t="str">
        <f t="shared" si="11"/>
        <v>PREPARE_WEST_L_2_15</v>
      </c>
      <c r="C343" s="223" t="s">
        <v>46</v>
      </c>
      <c r="D343" s="223" t="s">
        <v>19</v>
      </c>
      <c r="E343" s="223" t="s">
        <v>13</v>
      </c>
      <c r="F343" s="224">
        <v>2</v>
      </c>
      <c r="G343" s="332">
        <v>15</v>
      </c>
      <c r="H343" s="195">
        <f>VLOOKUP(B343,'15'!$D$6:$L$119,9,0)</f>
        <v>19</v>
      </c>
    </row>
    <row r="344" spans="1:8" ht="15.75" hidden="1" thickTop="1" x14ac:dyDescent="0.25">
      <c r="A344" s="2">
        <v>43</v>
      </c>
      <c r="B344" s="2" t="str">
        <f t="shared" si="11"/>
        <v>PREPARE_WEST_N_1_15</v>
      </c>
      <c r="C344" s="223" t="s">
        <v>46</v>
      </c>
      <c r="D344" s="223" t="s">
        <v>19</v>
      </c>
      <c r="E344" s="223" t="s">
        <v>15</v>
      </c>
      <c r="F344" s="224">
        <v>1</v>
      </c>
      <c r="G344" s="332">
        <v>15</v>
      </c>
      <c r="H344" s="195">
        <f>VLOOKUP(B344,'15'!$D$6:$L$119,9,0)</f>
        <v>20</v>
      </c>
    </row>
    <row r="345" spans="1:8" ht="15.75" hidden="1" thickTop="1" x14ac:dyDescent="0.25">
      <c r="A345" s="2">
        <v>43</v>
      </c>
      <c r="B345" s="2" t="str">
        <f t="shared" si="11"/>
        <v>PREPARE_WEST_J_2_15</v>
      </c>
      <c r="C345" s="223" t="s">
        <v>46</v>
      </c>
      <c r="D345" s="223" t="s">
        <v>19</v>
      </c>
      <c r="E345" s="223" t="s">
        <v>11</v>
      </c>
      <c r="F345" s="224">
        <v>2</v>
      </c>
      <c r="G345" s="332">
        <v>15</v>
      </c>
      <c r="H345" s="195">
        <f>VLOOKUP(B345,'15'!$D$6:$L$119,9,0)</f>
        <v>22</v>
      </c>
    </row>
    <row r="346" spans="1:8" ht="15.75" hidden="1" thickTop="1" x14ac:dyDescent="0.25">
      <c r="A346" s="2">
        <v>43</v>
      </c>
      <c r="B346" s="2" t="str">
        <f t="shared" ref="B346:B409" si="12">C346&amp;"_"&amp;D346&amp;"_"&amp;E346&amp;"_"&amp;F346&amp;"_"&amp;G346</f>
        <v>PREPARE_WEST_Q_1_15</v>
      </c>
      <c r="C346" s="223" t="s">
        <v>46</v>
      </c>
      <c r="D346" s="223" t="s">
        <v>19</v>
      </c>
      <c r="E346" s="223" t="s">
        <v>59</v>
      </c>
      <c r="F346" s="224">
        <v>1</v>
      </c>
      <c r="G346" s="195">
        <v>15</v>
      </c>
      <c r="H346" s="195">
        <f>VLOOKUP(B346,'15'!$D$6:$L$119,9,0)</f>
        <v>23</v>
      </c>
    </row>
    <row r="347" spans="1:8" ht="15.75" hidden="1" thickTop="1" x14ac:dyDescent="0.25">
      <c r="A347" s="2">
        <v>43</v>
      </c>
      <c r="B347" s="2" t="str">
        <f t="shared" si="12"/>
        <v>PREPARE_WEST_F_2_15</v>
      </c>
      <c r="C347" s="223" t="s">
        <v>46</v>
      </c>
      <c r="D347" s="223" t="s">
        <v>19</v>
      </c>
      <c r="E347" s="223" t="s">
        <v>7</v>
      </c>
      <c r="F347" s="224">
        <v>2</v>
      </c>
      <c r="G347" s="332">
        <v>15</v>
      </c>
      <c r="H347" s="195">
        <f>VLOOKUP(B347,'15'!$D$6:$L$119,9,0)</f>
        <v>25</v>
      </c>
    </row>
    <row r="348" spans="1:8" ht="15.75" hidden="1" thickTop="1" x14ac:dyDescent="0.25">
      <c r="A348" s="2">
        <v>43</v>
      </c>
      <c r="B348" s="2" t="str">
        <f t="shared" si="12"/>
        <v>PREPARE_WEST_M_1_15</v>
      </c>
      <c r="C348" s="223" t="s">
        <v>46</v>
      </c>
      <c r="D348" s="223" t="s">
        <v>19</v>
      </c>
      <c r="E348" s="223" t="s">
        <v>14</v>
      </c>
      <c r="F348" s="224">
        <v>1</v>
      </c>
      <c r="G348" s="332">
        <v>15</v>
      </c>
      <c r="H348" s="195">
        <f>VLOOKUP(B348,'15'!$D$6:$L$119,9,0)</f>
        <v>26</v>
      </c>
    </row>
    <row r="349" spans="1:8" ht="15.75" hidden="1" thickTop="1" x14ac:dyDescent="0.25">
      <c r="A349" s="2">
        <v>43</v>
      </c>
      <c r="B349" s="2" t="str">
        <f t="shared" si="12"/>
        <v>SUPPLY_EAST_UNP_1_15</v>
      </c>
      <c r="C349" s="223" t="s">
        <v>0</v>
      </c>
      <c r="D349" s="223" t="s">
        <v>18</v>
      </c>
      <c r="E349" s="223" t="s">
        <v>42</v>
      </c>
      <c r="F349" s="224">
        <v>1</v>
      </c>
      <c r="G349" s="332">
        <v>15</v>
      </c>
      <c r="H349" s="195">
        <f>VLOOKUP(B349,'15'!$D$6:$L$119,9,0)</f>
        <v>0</v>
      </c>
    </row>
    <row r="350" spans="1:8" ht="15.75" hidden="1" thickTop="1" x14ac:dyDescent="0.25">
      <c r="A350" s="2">
        <v>43</v>
      </c>
      <c r="B350" s="2" t="str">
        <f t="shared" si="12"/>
        <v>SUPPLY_EAST_A_2_15</v>
      </c>
      <c r="C350" s="223" t="s">
        <v>0</v>
      </c>
      <c r="D350" s="223" t="s">
        <v>18</v>
      </c>
      <c r="E350" s="352" t="s">
        <v>2</v>
      </c>
      <c r="F350" s="224">
        <v>2</v>
      </c>
      <c r="G350" s="332">
        <v>15</v>
      </c>
      <c r="H350" s="195">
        <f>VLOOKUP(B350,'15'!$D$6:$L$119,9,0)</f>
        <v>1</v>
      </c>
    </row>
    <row r="351" spans="1:8" ht="15.75" hidden="1" thickTop="1" x14ac:dyDescent="0.25">
      <c r="A351" s="2">
        <v>43</v>
      </c>
      <c r="B351" s="2" t="str">
        <f t="shared" si="12"/>
        <v>SUPPLY_EAST_C/U_1_15</v>
      </c>
      <c r="C351" s="223" t="s">
        <v>0</v>
      </c>
      <c r="D351" s="223" t="s">
        <v>18</v>
      </c>
      <c r="E351" s="352" t="s">
        <v>67</v>
      </c>
      <c r="F351" s="224">
        <v>1</v>
      </c>
      <c r="G351" s="332">
        <v>15</v>
      </c>
      <c r="H351" s="195">
        <f>VLOOKUP(B351,'15'!$D$6:$L$119,9,0)</f>
        <v>2</v>
      </c>
    </row>
    <row r="352" spans="1:8" ht="15.75" hidden="1" thickTop="1" x14ac:dyDescent="0.25">
      <c r="A352" s="2">
        <v>43</v>
      </c>
      <c r="B352" s="2" t="str">
        <f t="shared" si="12"/>
        <v>SUPPLY_EAST_C_2_15</v>
      </c>
      <c r="C352" s="223" t="s">
        <v>0</v>
      </c>
      <c r="D352" s="223" t="s">
        <v>18</v>
      </c>
      <c r="E352" s="223" t="s">
        <v>4</v>
      </c>
      <c r="F352" s="224">
        <v>2</v>
      </c>
      <c r="G352" s="332">
        <v>15</v>
      </c>
      <c r="H352" s="195">
        <f>VLOOKUP(B352,'15'!$D$6:$L$119,9,0)</f>
        <v>3</v>
      </c>
    </row>
    <row r="353" spans="1:8" ht="15.75" hidden="1" thickTop="1" x14ac:dyDescent="0.25">
      <c r="A353" s="2">
        <v>43</v>
      </c>
      <c r="B353" s="2" t="str">
        <f t="shared" si="12"/>
        <v>SUPPLY_EAST_I_1_15</v>
      </c>
      <c r="C353" s="223" t="s">
        <v>0</v>
      </c>
      <c r="D353" s="223" t="s">
        <v>18</v>
      </c>
      <c r="E353" s="223" t="s">
        <v>10</v>
      </c>
      <c r="F353" s="224">
        <v>1</v>
      </c>
      <c r="G353" s="332">
        <v>15</v>
      </c>
      <c r="H353" s="195">
        <f>VLOOKUP(B353,'15'!$D$6:$L$119,9,0)</f>
        <v>4</v>
      </c>
    </row>
    <row r="354" spans="1:8" ht="15.75" hidden="1" thickTop="1" x14ac:dyDescent="0.25">
      <c r="A354" s="2">
        <v>43</v>
      </c>
      <c r="B354" s="2" t="str">
        <f t="shared" si="12"/>
        <v>SUPPLY_EAST_G_2_15</v>
      </c>
      <c r="C354" s="223" t="s">
        <v>0</v>
      </c>
      <c r="D354" s="223" t="s">
        <v>18</v>
      </c>
      <c r="E354" s="223" t="s">
        <v>8</v>
      </c>
      <c r="F354" s="224">
        <v>2</v>
      </c>
      <c r="G354" s="332">
        <v>15</v>
      </c>
      <c r="H354" s="195">
        <f>VLOOKUP(B354,'15'!$D$6:$L$119,9,0)</f>
        <v>6</v>
      </c>
    </row>
    <row r="355" spans="1:8" ht="15.75" hidden="1" thickTop="1" x14ac:dyDescent="0.25">
      <c r="A355" s="2">
        <v>43</v>
      </c>
      <c r="B355" s="2" t="str">
        <f t="shared" si="12"/>
        <v>SUPPLY_EAST_B_1_15</v>
      </c>
      <c r="C355" s="223" t="s">
        <v>0</v>
      </c>
      <c r="D355" s="223" t="s">
        <v>18</v>
      </c>
      <c r="E355" s="223" t="s">
        <v>3</v>
      </c>
      <c r="F355" s="224">
        <v>1</v>
      </c>
      <c r="G355" s="332">
        <v>15</v>
      </c>
      <c r="H355" s="195">
        <f>VLOOKUP(B355,'15'!$D$6:$L$119,9,0)</f>
        <v>8</v>
      </c>
    </row>
    <row r="356" spans="1:8" ht="15.75" hidden="1" thickTop="1" x14ac:dyDescent="0.25">
      <c r="A356" s="2">
        <v>43</v>
      </c>
      <c r="B356" s="2" t="str">
        <f t="shared" si="12"/>
        <v>SUPPLY_EAST_E_2_15</v>
      </c>
      <c r="C356" s="223" t="s">
        <v>0</v>
      </c>
      <c r="D356" s="223" t="s">
        <v>18</v>
      </c>
      <c r="E356" s="223" t="s">
        <v>6</v>
      </c>
      <c r="F356" s="224">
        <v>2</v>
      </c>
      <c r="G356" s="332">
        <v>15</v>
      </c>
      <c r="H356" s="195">
        <f>VLOOKUP(B356,'15'!$D$6:$L$119,9,0)</f>
        <v>10</v>
      </c>
    </row>
    <row r="357" spans="1:8" ht="15.75" hidden="1" thickTop="1" x14ac:dyDescent="0.25">
      <c r="A357" s="2">
        <v>43</v>
      </c>
      <c r="B357" s="2" t="str">
        <f t="shared" si="12"/>
        <v>SUPPLY_EAST_D_1_15</v>
      </c>
      <c r="C357" s="223" t="s">
        <v>0</v>
      </c>
      <c r="D357" s="223" t="s">
        <v>18</v>
      </c>
      <c r="E357" s="223" t="s">
        <v>47</v>
      </c>
      <c r="F357" s="224">
        <v>1</v>
      </c>
      <c r="G357" s="332">
        <v>15</v>
      </c>
      <c r="H357" s="195">
        <f>VLOOKUP(B357,'15'!$D$6:$L$119,9,0)</f>
        <v>12</v>
      </c>
    </row>
    <row r="358" spans="1:8" ht="15.75" hidden="1" thickTop="1" x14ac:dyDescent="0.25">
      <c r="A358" s="2">
        <v>43</v>
      </c>
      <c r="B358" s="2" t="str">
        <f t="shared" si="12"/>
        <v>SUPPLY_EAST_K_2_15</v>
      </c>
      <c r="C358" s="223" t="s">
        <v>0</v>
      </c>
      <c r="D358" s="223" t="s">
        <v>18</v>
      </c>
      <c r="E358" s="223" t="s">
        <v>12</v>
      </c>
      <c r="F358" s="224">
        <v>2</v>
      </c>
      <c r="G358" s="332">
        <v>15</v>
      </c>
      <c r="H358" s="195">
        <f>VLOOKUP(B358,'15'!$D$6:$L$119,9,0)</f>
        <v>13</v>
      </c>
    </row>
    <row r="359" spans="1:8" ht="15.75" hidden="1" thickTop="1" x14ac:dyDescent="0.25">
      <c r="A359" s="2">
        <v>43</v>
      </c>
      <c r="B359" s="2" t="str">
        <f t="shared" si="12"/>
        <v>SUPPLY_WEST_H_1_15</v>
      </c>
      <c r="C359" s="223" t="s">
        <v>0</v>
      </c>
      <c r="D359" s="223" t="s">
        <v>19</v>
      </c>
      <c r="E359" s="223" t="s">
        <v>9</v>
      </c>
      <c r="F359" s="224">
        <v>1</v>
      </c>
      <c r="G359" s="332">
        <v>15</v>
      </c>
      <c r="H359" s="195">
        <f>VLOOKUP(B359,'15'!$D$6:$L$119,9,0)</f>
        <v>0</v>
      </c>
    </row>
    <row r="360" spans="1:8" ht="15.75" hidden="1" thickTop="1" x14ac:dyDescent="0.25">
      <c r="A360" s="2">
        <v>43</v>
      </c>
      <c r="B360" s="2" t="str">
        <f t="shared" si="12"/>
        <v>SUPPLY_WEST_P_2_15</v>
      </c>
      <c r="C360" s="223" t="s">
        <v>0</v>
      </c>
      <c r="D360" s="223" t="s">
        <v>19</v>
      </c>
      <c r="E360" s="223" t="s">
        <v>41</v>
      </c>
      <c r="F360" s="224">
        <v>2</v>
      </c>
      <c r="G360" s="332">
        <v>15</v>
      </c>
      <c r="H360" s="195">
        <f>VLOOKUP(B360,'15'!$D$6:$L$119,9,0)</f>
        <v>2</v>
      </c>
    </row>
    <row r="361" spans="1:8" ht="15.75" hidden="1" thickTop="1" x14ac:dyDescent="0.25">
      <c r="A361" s="2">
        <v>43</v>
      </c>
      <c r="B361" s="2" t="str">
        <f t="shared" si="12"/>
        <v>SUPPLY_WEST_O_1_15</v>
      </c>
      <c r="C361" s="223" t="s">
        <v>0</v>
      </c>
      <c r="D361" s="223" t="s">
        <v>19</v>
      </c>
      <c r="E361" s="223" t="s">
        <v>40</v>
      </c>
      <c r="F361" s="224">
        <v>1</v>
      </c>
      <c r="G361" s="332">
        <v>15</v>
      </c>
      <c r="H361" s="195">
        <f>VLOOKUP(B361,'15'!$D$6:$L$119,9,0)</f>
        <v>4</v>
      </c>
    </row>
    <row r="362" spans="1:8" ht="15.75" hidden="1" thickTop="1" x14ac:dyDescent="0.25">
      <c r="A362" s="2">
        <v>43</v>
      </c>
      <c r="B362" s="2" t="str">
        <f t="shared" si="12"/>
        <v>SUPPLY_WEST_L_2_15</v>
      </c>
      <c r="C362" s="223" t="s">
        <v>0</v>
      </c>
      <c r="D362" s="223" t="s">
        <v>19</v>
      </c>
      <c r="E362" s="223" t="s">
        <v>13</v>
      </c>
      <c r="F362" s="224">
        <v>2</v>
      </c>
      <c r="G362" s="332">
        <v>15</v>
      </c>
      <c r="H362" s="195">
        <f>VLOOKUP(B362,'15'!$D$6:$L$119,9,0)</f>
        <v>6</v>
      </c>
    </row>
    <row r="363" spans="1:8" ht="15.75" hidden="1" thickTop="1" x14ac:dyDescent="0.25">
      <c r="A363" s="2">
        <v>43</v>
      </c>
      <c r="B363" s="2" t="str">
        <f t="shared" si="12"/>
        <v>SUPPLY_WEST_N_1_15</v>
      </c>
      <c r="C363" s="223" t="s">
        <v>0</v>
      </c>
      <c r="D363" s="223" t="s">
        <v>19</v>
      </c>
      <c r="E363" s="223" t="s">
        <v>15</v>
      </c>
      <c r="F363" s="224">
        <v>1</v>
      </c>
      <c r="G363" s="332">
        <v>15</v>
      </c>
      <c r="H363" s="195">
        <f>VLOOKUP(B363,'15'!$D$6:$L$119,9,0)</f>
        <v>7</v>
      </c>
    </row>
    <row r="364" spans="1:8" ht="15.75" hidden="1" thickTop="1" x14ac:dyDescent="0.25">
      <c r="A364" s="2">
        <v>43</v>
      </c>
      <c r="B364" s="2" t="str">
        <f t="shared" si="12"/>
        <v>SUPPLY_WEST_J_2_15</v>
      </c>
      <c r="C364" s="223" t="s">
        <v>0</v>
      </c>
      <c r="D364" s="223" t="s">
        <v>19</v>
      </c>
      <c r="E364" s="223" t="s">
        <v>11</v>
      </c>
      <c r="F364" s="224">
        <v>2</v>
      </c>
      <c r="G364" s="332">
        <v>15</v>
      </c>
      <c r="H364" s="195">
        <f>VLOOKUP(B364,'15'!$D$6:$L$119,9,0)</f>
        <v>8</v>
      </c>
    </row>
    <row r="365" spans="1:8" ht="15.75" hidden="1" thickTop="1" x14ac:dyDescent="0.25">
      <c r="A365" s="2">
        <v>43</v>
      </c>
      <c r="B365" s="2" t="str">
        <f t="shared" si="12"/>
        <v>SUPPLY_WEST_Q_1_15</v>
      </c>
      <c r="C365" s="223" t="s">
        <v>0</v>
      </c>
      <c r="D365" s="223" t="s">
        <v>19</v>
      </c>
      <c r="E365" s="223" t="s">
        <v>59</v>
      </c>
      <c r="F365" s="224">
        <v>1</v>
      </c>
      <c r="G365" s="195">
        <v>15</v>
      </c>
      <c r="H365" s="195">
        <f>VLOOKUP(B365,'15'!$D$6:$L$119,9,0)</f>
        <v>10</v>
      </c>
    </row>
    <row r="366" spans="1:8" ht="15.75" hidden="1" thickTop="1" x14ac:dyDescent="0.25">
      <c r="A366" s="2">
        <v>43</v>
      </c>
      <c r="B366" s="2" t="str">
        <f t="shared" si="12"/>
        <v>SUPPLY_WEST_F_2_15</v>
      </c>
      <c r="C366" s="223" t="s">
        <v>0</v>
      </c>
      <c r="D366" s="223" t="s">
        <v>19</v>
      </c>
      <c r="E366" s="223" t="s">
        <v>7</v>
      </c>
      <c r="F366" s="224">
        <v>2</v>
      </c>
      <c r="G366" s="332">
        <v>15</v>
      </c>
      <c r="H366" s="195">
        <f>VLOOKUP(B366,'15'!$D$6:$L$119,9,0)</f>
        <v>11</v>
      </c>
    </row>
    <row r="367" spans="1:8" ht="15.75" hidden="1" thickTop="1" x14ac:dyDescent="0.25">
      <c r="A367" s="2">
        <v>43</v>
      </c>
      <c r="B367" s="2" t="str">
        <f t="shared" si="12"/>
        <v>SUPPLY_WEST_M_1_15</v>
      </c>
      <c r="C367" s="223" t="s">
        <v>0</v>
      </c>
      <c r="D367" s="223" t="s">
        <v>19</v>
      </c>
      <c r="E367" s="223" t="s">
        <v>14</v>
      </c>
      <c r="F367" s="224">
        <v>1</v>
      </c>
      <c r="G367" s="332">
        <v>15</v>
      </c>
      <c r="H367" s="195">
        <f>VLOOKUP(B367,'15'!$D$6:$L$119,9,0)</f>
        <v>13</v>
      </c>
    </row>
    <row r="368" spans="1:8" ht="15.75" hidden="1" thickTop="1" x14ac:dyDescent="0.25">
      <c r="A368" s="2">
        <v>43</v>
      </c>
      <c r="B368" s="2" t="str">
        <f t="shared" si="12"/>
        <v>EMPTY_EAST_UNP_1_15</v>
      </c>
      <c r="C368" s="223" t="s">
        <v>32</v>
      </c>
      <c r="D368" s="223" t="s">
        <v>18</v>
      </c>
      <c r="E368" s="223" t="s">
        <v>42</v>
      </c>
      <c r="F368" s="224">
        <v>1</v>
      </c>
      <c r="G368" s="332">
        <v>15</v>
      </c>
      <c r="H368" s="195">
        <f>VLOOKUP(B368,'15'!$D$6:$L$119,9,0)</f>
        <v>11</v>
      </c>
    </row>
    <row r="369" spans="1:8" ht="15.75" hidden="1" thickTop="1" x14ac:dyDescent="0.25">
      <c r="A369" s="2">
        <v>43</v>
      </c>
      <c r="B369" s="2" t="str">
        <f t="shared" si="12"/>
        <v>EMPTY_EAST_A_2_15</v>
      </c>
      <c r="C369" s="223" t="s">
        <v>32</v>
      </c>
      <c r="D369" s="223" t="s">
        <v>18</v>
      </c>
      <c r="E369" s="352" t="s">
        <v>2</v>
      </c>
      <c r="F369" s="224">
        <v>2</v>
      </c>
      <c r="G369" s="332">
        <v>15</v>
      </c>
      <c r="H369" s="195">
        <f>VLOOKUP(B369,'15'!$D$6:$L$119,9,0)</f>
        <v>12</v>
      </c>
    </row>
    <row r="370" spans="1:8" ht="15.75" hidden="1" thickTop="1" x14ac:dyDescent="0.25">
      <c r="A370" s="2">
        <v>43</v>
      </c>
      <c r="B370" s="2" t="str">
        <f t="shared" si="12"/>
        <v>EMPTY_EAST_C/U_1_15</v>
      </c>
      <c r="C370" s="223" t="s">
        <v>32</v>
      </c>
      <c r="D370" s="223" t="s">
        <v>18</v>
      </c>
      <c r="E370" s="352" t="s">
        <v>67</v>
      </c>
      <c r="F370" s="224">
        <v>1</v>
      </c>
      <c r="G370" s="332">
        <v>15</v>
      </c>
      <c r="H370" s="195">
        <f>VLOOKUP(B370,'15'!$D$6:$L$119,9,0)</f>
        <v>13</v>
      </c>
    </row>
    <row r="371" spans="1:8" ht="15.75" hidden="1" thickTop="1" x14ac:dyDescent="0.25">
      <c r="A371" s="2">
        <v>43</v>
      </c>
      <c r="B371" s="2" t="str">
        <f t="shared" si="12"/>
        <v>EMPTY_EAST_C_2_15</v>
      </c>
      <c r="C371" s="223" t="s">
        <v>32</v>
      </c>
      <c r="D371" s="223" t="s">
        <v>18</v>
      </c>
      <c r="E371" s="223" t="s">
        <v>4</v>
      </c>
      <c r="F371" s="224">
        <v>2</v>
      </c>
      <c r="G371" s="332">
        <v>15</v>
      </c>
      <c r="H371" s="195">
        <f>VLOOKUP(B371,'15'!$D$6:$L$119,9,0)</f>
        <v>14</v>
      </c>
    </row>
    <row r="372" spans="1:8" ht="15.75" hidden="1" thickTop="1" x14ac:dyDescent="0.25">
      <c r="A372" s="2">
        <v>43</v>
      </c>
      <c r="B372" s="2" t="str">
        <f t="shared" si="12"/>
        <v>EMPTY_EAST_I_1_15</v>
      </c>
      <c r="C372" s="223" t="s">
        <v>32</v>
      </c>
      <c r="D372" s="223" t="s">
        <v>18</v>
      </c>
      <c r="E372" s="223" t="s">
        <v>10</v>
      </c>
      <c r="F372" s="224">
        <v>1</v>
      </c>
      <c r="G372" s="332">
        <v>15</v>
      </c>
      <c r="H372" s="195">
        <f>VLOOKUP(B372,'15'!$D$6:$L$119,9,0)</f>
        <v>16</v>
      </c>
    </row>
    <row r="373" spans="1:8" ht="15.75" hidden="1" thickTop="1" x14ac:dyDescent="0.25">
      <c r="A373" s="2">
        <v>43</v>
      </c>
      <c r="B373" s="2" t="str">
        <f t="shared" si="12"/>
        <v>EMPTY_EAST_G_2_15</v>
      </c>
      <c r="C373" s="223" t="s">
        <v>32</v>
      </c>
      <c r="D373" s="223" t="s">
        <v>18</v>
      </c>
      <c r="E373" s="223" t="s">
        <v>8</v>
      </c>
      <c r="F373" s="224">
        <v>2</v>
      </c>
      <c r="G373" s="332">
        <v>15</v>
      </c>
      <c r="H373" s="195">
        <f>VLOOKUP(B373,'15'!$D$6:$L$119,9,0)</f>
        <v>18</v>
      </c>
    </row>
    <row r="374" spans="1:8" ht="15.75" hidden="1" thickTop="1" x14ac:dyDescent="0.25">
      <c r="A374" s="2">
        <v>43</v>
      </c>
      <c r="B374" s="2" t="str">
        <f t="shared" si="12"/>
        <v>EMPTY_EAST_B_1_15</v>
      </c>
      <c r="C374" s="223" t="s">
        <v>32</v>
      </c>
      <c r="D374" s="223" t="s">
        <v>18</v>
      </c>
      <c r="E374" s="223" t="s">
        <v>3</v>
      </c>
      <c r="F374" s="224">
        <v>1</v>
      </c>
      <c r="G374" s="332">
        <v>15</v>
      </c>
      <c r="H374" s="195">
        <f>VLOOKUP(B374,'15'!$D$6:$L$119,9,0)</f>
        <v>20</v>
      </c>
    </row>
    <row r="375" spans="1:8" ht="15.75" hidden="1" thickTop="1" x14ac:dyDescent="0.25">
      <c r="A375" s="2">
        <v>43</v>
      </c>
      <c r="B375" s="2" t="str">
        <f t="shared" si="12"/>
        <v>EMPTY_EAST_E_2_15</v>
      </c>
      <c r="C375" s="223" t="s">
        <v>32</v>
      </c>
      <c r="D375" s="223" t="s">
        <v>18</v>
      </c>
      <c r="E375" s="223" t="s">
        <v>6</v>
      </c>
      <c r="F375" s="224">
        <v>2</v>
      </c>
      <c r="G375" s="332">
        <v>15</v>
      </c>
      <c r="H375" s="195">
        <f>VLOOKUP(B375,'15'!$D$6:$L$119,9,0)</f>
        <v>22</v>
      </c>
    </row>
    <row r="376" spans="1:8" ht="15.75" hidden="1" thickTop="1" x14ac:dyDescent="0.25">
      <c r="A376" s="2">
        <v>43</v>
      </c>
      <c r="B376" s="2" t="str">
        <f t="shared" si="12"/>
        <v>EMPTY_EAST_D_1_15</v>
      </c>
      <c r="C376" s="223" t="s">
        <v>32</v>
      </c>
      <c r="D376" s="223" t="s">
        <v>18</v>
      </c>
      <c r="E376" s="223" t="s">
        <v>47</v>
      </c>
      <c r="F376" s="224">
        <v>1</v>
      </c>
      <c r="G376" s="332">
        <v>15</v>
      </c>
      <c r="H376" s="195">
        <f>VLOOKUP(B376,'15'!$D$6:$L$119,9,0)</f>
        <v>23</v>
      </c>
    </row>
    <row r="377" spans="1:8" ht="15.75" hidden="1" thickTop="1" x14ac:dyDescent="0.25">
      <c r="A377" s="2">
        <v>43</v>
      </c>
      <c r="B377" s="2" t="str">
        <f t="shared" si="12"/>
        <v>EMPTY_EAST_K_2_15</v>
      </c>
      <c r="C377" s="223" t="s">
        <v>32</v>
      </c>
      <c r="D377" s="223" t="s">
        <v>18</v>
      </c>
      <c r="E377" s="223" t="s">
        <v>12</v>
      </c>
      <c r="F377" s="224">
        <v>2</v>
      </c>
      <c r="G377" s="332">
        <v>15</v>
      </c>
      <c r="H377" s="195">
        <f>VLOOKUP(B377,'15'!$D$6:$L$119,9,0)</f>
        <v>24</v>
      </c>
    </row>
    <row r="378" spans="1:8" ht="15.75" hidden="1" thickTop="1" x14ac:dyDescent="0.25">
      <c r="A378" s="2">
        <v>43</v>
      </c>
      <c r="B378" s="2" t="str">
        <f t="shared" si="12"/>
        <v>EMPTY_WEST_H_1_15</v>
      </c>
      <c r="C378" s="223" t="s">
        <v>32</v>
      </c>
      <c r="D378" s="223" t="s">
        <v>19</v>
      </c>
      <c r="E378" s="223" t="s">
        <v>9</v>
      </c>
      <c r="F378" s="224">
        <v>1</v>
      </c>
      <c r="G378" s="332">
        <v>15</v>
      </c>
      <c r="H378" s="195">
        <f>VLOOKUP(B378,'15'!$D$6:$L$119,9,0)</f>
        <v>11</v>
      </c>
    </row>
    <row r="379" spans="1:8" ht="15.75" hidden="1" thickTop="1" x14ac:dyDescent="0.25">
      <c r="A379" s="2">
        <v>43</v>
      </c>
      <c r="B379" s="2" t="str">
        <f t="shared" si="12"/>
        <v>EMPTY_WEST_P_2_15</v>
      </c>
      <c r="C379" s="223" t="s">
        <v>32</v>
      </c>
      <c r="D379" s="223" t="s">
        <v>19</v>
      </c>
      <c r="E379" s="223" t="s">
        <v>41</v>
      </c>
      <c r="F379" s="224">
        <v>2</v>
      </c>
      <c r="G379" s="332">
        <v>15</v>
      </c>
      <c r="H379" s="195">
        <f>VLOOKUP(B379,'15'!$D$6:$L$119,9,0)</f>
        <v>13</v>
      </c>
    </row>
    <row r="380" spans="1:8" ht="15.75" hidden="1" thickTop="1" x14ac:dyDescent="0.25">
      <c r="A380" s="2">
        <v>43</v>
      </c>
      <c r="B380" s="2" t="str">
        <f t="shared" si="12"/>
        <v>EMPTY_WEST_O_1_15</v>
      </c>
      <c r="C380" s="223" t="s">
        <v>32</v>
      </c>
      <c r="D380" s="223" t="s">
        <v>19</v>
      </c>
      <c r="E380" s="223" t="s">
        <v>40</v>
      </c>
      <c r="F380" s="224">
        <v>1</v>
      </c>
      <c r="G380" s="332">
        <v>15</v>
      </c>
      <c r="H380" s="195">
        <f>VLOOKUP(B380,'15'!$D$6:$L$119,9,0)</f>
        <v>15</v>
      </c>
    </row>
    <row r="381" spans="1:8" ht="15.75" hidden="1" thickTop="1" x14ac:dyDescent="0.25">
      <c r="A381" s="2">
        <v>43</v>
      </c>
      <c r="B381" s="2" t="str">
        <f t="shared" si="12"/>
        <v>EMPTY_WEST_L_2_15</v>
      </c>
      <c r="C381" s="223" t="s">
        <v>32</v>
      </c>
      <c r="D381" s="223" t="s">
        <v>19</v>
      </c>
      <c r="E381" s="223" t="s">
        <v>13</v>
      </c>
      <c r="F381" s="224">
        <v>2</v>
      </c>
      <c r="G381" s="332">
        <v>15</v>
      </c>
      <c r="H381" s="195">
        <f>VLOOKUP(B381,'15'!$D$6:$L$119,9,0)</f>
        <v>17</v>
      </c>
    </row>
    <row r="382" spans="1:8" ht="15.75" hidden="1" thickTop="1" x14ac:dyDescent="0.25">
      <c r="A382" s="2">
        <v>43</v>
      </c>
      <c r="B382" s="2" t="str">
        <f t="shared" si="12"/>
        <v>EMPTY_WEST_N_1_15</v>
      </c>
      <c r="C382" s="223" t="s">
        <v>32</v>
      </c>
      <c r="D382" s="223" t="s">
        <v>19</v>
      </c>
      <c r="E382" s="223" t="s">
        <v>15</v>
      </c>
      <c r="F382" s="224">
        <v>1</v>
      </c>
      <c r="G382" s="332">
        <v>15</v>
      </c>
      <c r="H382" s="195">
        <f>VLOOKUP(B382,'15'!$D$6:$L$119,9,0)</f>
        <v>19</v>
      </c>
    </row>
    <row r="383" spans="1:8" ht="15.75" hidden="1" thickTop="1" x14ac:dyDescent="0.25">
      <c r="A383" s="2">
        <v>43</v>
      </c>
      <c r="B383" s="2" t="str">
        <f t="shared" si="12"/>
        <v>EMPTY_WEST_J_2_15</v>
      </c>
      <c r="C383" s="223" t="s">
        <v>32</v>
      </c>
      <c r="D383" s="223" t="s">
        <v>19</v>
      </c>
      <c r="E383" s="223" t="s">
        <v>11</v>
      </c>
      <c r="F383" s="224">
        <v>2</v>
      </c>
      <c r="G383" s="332">
        <v>15</v>
      </c>
      <c r="H383" s="195">
        <f>VLOOKUP(B383,'15'!$D$6:$L$119,9,0)</f>
        <v>21</v>
      </c>
    </row>
    <row r="384" spans="1:8" ht="15.75" hidden="1" thickTop="1" x14ac:dyDescent="0.25">
      <c r="A384" s="2">
        <v>43</v>
      </c>
      <c r="B384" s="2" t="str">
        <f t="shared" si="12"/>
        <v>EMPTY_WEST_Q_1_15</v>
      </c>
      <c r="C384" s="223" t="s">
        <v>32</v>
      </c>
      <c r="D384" s="223" t="s">
        <v>19</v>
      </c>
      <c r="E384" s="223" t="s">
        <v>59</v>
      </c>
      <c r="F384" s="224">
        <v>1</v>
      </c>
      <c r="G384" s="195">
        <v>15</v>
      </c>
      <c r="H384" s="195">
        <f>VLOOKUP(B384,'15'!$D$6:$L$119,9,0)</f>
        <v>22</v>
      </c>
    </row>
    <row r="385" spans="1:8" ht="15.75" hidden="1" thickTop="1" x14ac:dyDescent="0.25">
      <c r="A385" s="2">
        <v>43</v>
      </c>
      <c r="B385" s="2" t="str">
        <f t="shared" si="12"/>
        <v>EMPTY_WEST_F_2_15</v>
      </c>
      <c r="C385" s="223" t="s">
        <v>32</v>
      </c>
      <c r="D385" s="223" t="s">
        <v>19</v>
      </c>
      <c r="E385" s="223" t="s">
        <v>7</v>
      </c>
      <c r="F385" s="224">
        <v>2</v>
      </c>
      <c r="G385" s="332">
        <v>15</v>
      </c>
      <c r="H385" s="195">
        <f>VLOOKUP(B385,'15'!$D$6:$L$119,9,0)</f>
        <v>23</v>
      </c>
    </row>
    <row r="386" spans="1:8" ht="15.75" hidden="1" thickTop="1" x14ac:dyDescent="0.25">
      <c r="A386" s="2">
        <v>43</v>
      </c>
      <c r="B386" s="2" t="str">
        <f t="shared" si="12"/>
        <v>EMPTY_WEST_M_1_15</v>
      </c>
      <c r="C386" s="223" t="s">
        <v>32</v>
      </c>
      <c r="D386" s="223" t="s">
        <v>19</v>
      </c>
      <c r="E386" s="223" t="s">
        <v>14</v>
      </c>
      <c r="F386" s="224">
        <v>1</v>
      </c>
      <c r="G386" s="332">
        <v>15</v>
      </c>
      <c r="H386" s="195">
        <f>VLOOKUP(B386,'15'!$D$6:$L$119,9,0)</f>
        <v>25</v>
      </c>
    </row>
    <row r="387" spans="1:8" ht="15.75" hidden="1" thickTop="1" x14ac:dyDescent="0.25">
      <c r="A387" s="2">
        <v>43</v>
      </c>
      <c r="B387" s="2" t="str">
        <f t="shared" si="12"/>
        <v>SORTING_EAST_UNP_1_16</v>
      </c>
      <c r="C387" s="223" t="s">
        <v>45</v>
      </c>
      <c r="D387" s="223" t="s">
        <v>18</v>
      </c>
      <c r="E387" s="223" t="s">
        <v>42</v>
      </c>
      <c r="F387" s="224">
        <v>1</v>
      </c>
      <c r="G387" s="332">
        <v>16</v>
      </c>
      <c r="H387" s="195">
        <f>VLOOKUP(B387,'16'!$D$6:$K$119,8,0)</f>
        <v>0</v>
      </c>
    </row>
    <row r="388" spans="1:8" ht="15.75" hidden="1" thickTop="1" x14ac:dyDescent="0.25">
      <c r="A388" s="2">
        <v>43</v>
      </c>
      <c r="B388" s="2" t="str">
        <f t="shared" si="12"/>
        <v>SORTING_EAST_A_2_16</v>
      </c>
      <c r="C388" s="223" t="s">
        <v>45</v>
      </c>
      <c r="D388" s="223" t="s">
        <v>18</v>
      </c>
      <c r="E388" s="352" t="s">
        <v>2</v>
      </c>
      <c r="F388" s="224">
        <v>2</v>
      </c>
      <c r="G388" s="332">
        <v>16</v>
      </c>
      <c r="H388" s="195">
        <f>VLOOKUP(B388,'16'!$D$6:$K$119,8,0)</f>
        <v>1</v>
      </c>
    </row>
    <row r="389" spans="1:8" ht="15.75" hidden="1" thickTop="1" x14ac:dyDescent="0.25">
      <c r="A389" s="2">
        <v>43</v>
      </c>
      <c r="B389" s="2" t="str">
        <f t="shared" si="12"/>
        <v>SORTING_EAST_C/U_1_16</v>
      </c>
      <c r="C389" s="223" t="s">
        <v>45</v>
      </c>
      <c r="D389" s="223" t="s">
        <v>18</v>
      </c>
      <c r="E389" s="352" t="s">
        <v>67</v>
      </c>
      <c r="F389" s="224">
        <v>1</v>
      </c>
      <c r="G389" s="332">
        <v>16</v>
      </c>
      <c r="H389" s="195">
        <f>VLOOKUP(B389,'16'!$D$6:$K$119,8,0)</f>
        <v>3</v>
      </c>
    </row>
    <row r="390" spans="1:8" ht="15.75" hidden="1" thickTop="1" x14ac:dyDescent="0.25">
      <c r="A390" s="2">
        <v>43</v>
      </c>
      <c r="B390" s="2" t="str">
        <f t="shared" si="12"/>
        <v>SORTING_EAST_C_2_16</v>
      </c>
      <c r="C390" s="223" t="s">
        <v>45</v>
      </c>
      <c r="D390" s="223" t="s">
        <v>18</v>
      </c>
      <c r="E390" s="223" t="s">
        <v>4</v>
      </c>
      <c r="F390" s="224">
        <v>2</v>
      </c>
      <c r="G390" s="332">
        <v>16</v>
      </c>
      <c r="H390" s="195">
        <f>VLOOKUP(B390,'16'!$D$6:$K$119,8,0)</f>
        <v>4</v>
      </c>
    </row>
    <row r="391" spans="1:8" ht="15.75" hidden="1" thickTop="1" x14ac:dyDescent="0.25">
      <c r="A391" s="2">
        <v>43</v>
      </c>
      <c r="B391" s="2" t="str">
        <f t="shared" si="12"/>
        <v>SORTING_EAST_I_1_16</v>
      </c>
      <c r="C391" s="223" t="s">
        <v>45</v>
      </c>
      <c r="D391" s="223" t="s">
        <v>18</v>
      </c>
      <c r="E391" s="223" t="s">
        <v>10</v>
      </c>
      <c r="F391" s="224">
        <v>1</v>
      </c>
      <c r="G391" s="332">
        <v>16</v>
      </c>
      <c r="H391" s="195">
        <f>VLOOKUP(B391,'16'!$D$6:$K$119,8,0)</f>
        <v>5</v>
      </c>
    </row>
    <row r="392" spans="1:8" ht="15.75" hidden="1" thickTop="1" x14ac:dyDescent="0.25">
      <c r="A392" s="2">
        <v>43</v>
      </c>
      <c r="B392" s="2" t="str">
        <f t="shared" si="12"/>
        <v>SORTING_EAST_G_2_16</v>
      </c>
      <c r="C392" s="223" t="s">
        <v>45</v>
      </c>
      <c r="D392" s="223" t="s">
        <v>18</v>
      </c>
      <c r="E392" s="223" t="s">
        <v>8</v>
      </c>
      <c r="F392" s="224">
        <v>2</v>
      </c>
      <c r="G392" s="332">
        <v>16</v>
      </c>
      <c r="H392" s="195">
        <f>VLOOKUP(B392,'16'!$D$6:$K$119,8,0)</f>
        <v>6</v>
      </c>
    </row>
    <row r="393" spans="1:8" ht="15.75" hidden="1" thickTop="1" x14ac:dyDescent="0.25">
      <c r="A393" s="2">
        <v>43</v>
      </c>
      <c r="B393" s="2" t="str">
        <f t="shared" si="12"/>
        <v>SORTING_EAST_B_1_16</v>
      </c>
      <c r="C393" s="223" t="s">
        <v>45</v>
      </c>
      <c r="D393" s="223" t="s">
        <v>18</v>
      </c>
      <c r="E393" s="223" t="s">
        <v>3</v>
      </c>
      <c r="F393" s="224">
        <v>1</v>
      </c>
      <c r="G393" s="332">
        <v>16</v>
      </c>
      <c r="H393" s="195">
        <f>VLOOKUP(B393,'16'!$D$6:$K$119,8,0)</f>
        <v>8</v>
      </c>
    </row>
    <row r="394" spans="1:8" ht="15.75" hidden="1" thickTop="1" x14ac:dyDescent="0.25">
      <c r="A394" s="2">
        <v>43</v>
      </c>
      <c r="B394" s="2" t="str">
        <f t="shared" si="12"/>
        <v>SORTING_EAST_E_2_16</v>
      </c>
      <c r="C394" s="223" t="s">
        <v>45</v>
      </c>
      <c r="D394" s="223" t="s">
        <v>18</v>
      </c>
      <c r="E394" s="223" t="s">
        <v>6</v>
      </c>
      <c r="F394" s="224">
        <v>2</v>
      </c>
      <c r="G394" s="332">
        <v>16</v>
      </c>
      <c r="H394" s="195">
        <f>VLOOKUP(B394,'16'!$D$6:$K$119,8,0)</f>
        <v>10</v>
      </c>
    </row>
    <row r="395" spans="1:8" ht="15.75" hidden="1" thickTop="1" x14ac:dyDescent="0.25">
      <c r="A395" s="2">
        <v>43</v>
      </c>
      <c r="B395" s="2" t="str">
        <f t="shared" si="12"/>
        <v>SORTING_EAST_D_1_16</v>
      </c>
      <c r="C395" s="223" t="s">
        <v>45</v>
      </c>
      <c r="D395" s="223" t="s">
        <v>18</v>
      </c>
      <c r="E395" s="223" t="s">
        <v>47</v>
      </c>
      <c r="F395" s="224">
        <v>1</v>
      </c>
      <c r="G395" s="332">
        <v>16</v>
      </c>
      <c r="H395" s="195">
        <f>VLOOKUP(B395,'16'!$D$6:$K$119,8,0)</f>
        <v>12</v>
      </c>
    </row>
    <row r="396" spans="1:8" ht="15.75" hidden="1" thickTop="1" x14ac:dyDescent="0.25">
      <c r="A396" s="2">
        <v>43</v>
      </c>
      <c r="B396" s="2" t="str">
        <f t="shared" si="12"/>
        <v>SORTING_EAST_K_2_16</v>
      </c>
      <c r="C396" s="223" t="s">
        <v>45</v>
      </c>
      <c r="D396" s="223" t="s">
        <v>18</v>
      </c>
      <c r="E396" s="223" t="s">
        <v>12</v>
      </c>
      <c r="F396" s="224">
        <v>2</v>
      </c>
      <c r="G396" s="332">
        <v>16</v>
      </c>
      <c r="H396" s="195">
        <f>VLOOKUP(B396,'16'!$D$6:$K$119,8,0)</f>
        <v>14</v>
      </c>
    </row>
    <row r="397" spans="1:8" ht="15.75" hidden="1" thickTop="1" x14ac:dyDescent="0.25">
      <c r="A397" s="2">
        <v>43</v>
      </c>
      <c r="B397" s="2" t="str">
        <f t="shared" si="12"/>
        <v>SORTING_WEST_H_1_16</v>
      </c>
      <c r="C397" s="223" t="s">
        <v>45</v>
      </c>
      <c r="D397" s="223" t="s">
        <v>19</v>
      </c>
      <c r="E397" s="223" t="s">
        <v>9</v>
      </c>
      <c r="F397" s="224">
        <v>1</v>
      </c>
      <c r="G397" s="332">
        <v>16</v>
      </c>
      <c r="H397" s="195">
        <f>VLOOKUP(B397,'16'!$D$6:$K$119,8,0)</f>
        <v>0</v>
      </c>
    </row>
    <row r="398" spans="1:8" ht="15.75" hidden="1" thickTop="1" x14ac:dyDescent="0.25">
      <c r="A398" s="2">
        <v>43</v>
      </c>
      <c r="B398" s="2" t="str">
        <f t="shared" si="12"/>
        <v>SORTING_WEST_P_2_16</v>
      </c>
      <c r="C398" s="223" t="s">
        <v>45</v>
      </c>
      <c r="D398" s="223" t="s">
        <v>19</v>
      </c>
      <c r="E398" s="223" t="s">
        <v>41</v>
      </c>
      <c r="F398" s="224">
        <v>2</v>
      </c>
      <c r="G398" s="332">
        <v>16</v>
      </c>
      <c r="H398" s="195">
        <f>VLOOKUP(B398,'16'!$D$6:$K$119,8,0)</f>
        <v>2</v>
      </c>
    </row>
    <row r="399" spans="1:8" ht="15.75" hidden="1" thickTop="1" x14ac:dyDescent="0.25">
      <c r="A399" s="2">
        <v>43</v>
      </c>
      <c r="B399" s="2" t="str">
        <f t="shared" si="12"/>
        <v>SORTING_WEST_O_1_16</v>
      </c>
      <c r="C399" s="223" t="s">
        <v>45</v>
      </c>
      <c r="D399" s="223" t="s">
        <v>19</v>
      </c>
      <c r="E399" s="223" t="s">
        <v>40</v>
      </c>
      <c r="F399" s="224">
        <v>1</v>
      </c>
      <c r="G399" s="332">
        <v>16</v>
      </c>
      <c r="H399" s="195">
        <f>VLOOKUP(B399,'16'!$D$6:$K$119,8,0)</f>
        <v>4</v>
      </c>
    </row>
    <row r="400" spans="1:8" ht="15.75" hidden="1" thickTop="1" x14ac:dyDescent="0.25">
      <c r="A400" s="2">
        <v>43</v>
      </c>
      <c r="B400" s="2" t="str">
        <f t="shared" si="12"/>
        <v>SORTING_WEST_L_2_16</v>
      </c>
      <c r="C400" s="223" t="s">
        <v>45</v>
      </c>
      <c r="D400" s="223" t="s">
        <v>19</v>
      </c>
      <c r="E400" s="223" t="s">
        <v>13</v>
      </c>
      <c r="F400" s="224">
        <v>2</v>
      </c>
      <c r="G400" s="332">
        <v>16</v>
      </c>
      <c r="H400" s="195">
        <f>VLOOKUP(B400,'16'!$D$6:$K$119,8,0)</f>
        <v>6</v>
      </c>
    </row>
    <row r="401" spans="1:8" ht="15.75" hidden="1" thickTop="1" x14ac:dyDescent="0.25">
      <c r="A401" s="2">
        <v>43</v>
      </c>
      <c r="B401" s="2" t="str">
        <f t="shared" si="12"/>
        <v>SORTING_WEST_N_1_16</v>
      </c>
      <c r="C401" s="223" t="s">
        <v>45</v>
      </c>
      <c r="D401" s="223" t="s">
        <v>19</v>
      </c>
      <c r="E401" s="223" t="s">
        <v>15</v>
      </c>
      <c r="F401" s="224">
        <v>1</v>
      </c>
      <c r="G401" s="332">
        <v>16</v>
      </c>
      <c r="H401" s="195">
        <f>VLOOKUP(B401,'16'!$D$6:$K$119,8,0)</f>
        <v>8</v>
      </c>
    </row>
    <row r="402" spans="1:8" ht="15.75" hidden="1" thickTop="1" x14ac:dyDescent="0.25">
      <c r="A402" s="2">
        <v>43</v>
      </c>
      <c r="B402" s="2" t="str">
        <f t="shared" si="12"/>
        <v>SORTING_WEST_J_2_16</v>
      </c>
      <c r="C402" s="223" t="s">
        <v>45</v>
      </c>
      <c r="D402" s="223" t="s">
        <v>19</v>
      </c>
      <c r="E402" s="223" t="s">
        <v>11</v>
      </c>
      <c r="F402" s="224">
        <v>2</v>
      </c>
      <c r="G402" s="332">
        <v>16</v>
      </c>
      <c r="H402" s="195">
        <f>VLOOKUP(B402,'16'!$D$6:$K$119,8,0)</f>
        <v>10</v>
      </c>
    </row>
    <row r="403" spans="1:8" ht="15.75" hidden="1" thickTop="1" x14ac:dyDescent="0.25">
      <c r="A403" s="2">
        <v>43</v>
      </c>
      <c r="B403" s="2" t="str">
        <f t="shared" si="12"/>
        <v>SORTING_WEST_Q_1_16</v>
      </c>
      <c r="C403" s="223" t="s">
        <v>45</v>
      </c>
      <c r="D403" s="223" t="s">
        <v>19</v>
      </c>
      <c r="E403" s="223" t="s">
        <v>59</v>
      </c>
      <c r="F403" s="224">
        <v>1</v>
      </c>
      <c r="G403" s="195">
        <v>16</v>
      </c>
      <c r="H403" s="195">
        <f>VLOOKUP(B403,'16'!$D$6:$K$119,8,0)</f>
        <v>12</v>
      </c>
    </row>
    <row r="404" spans="1:8" ht="15.75" hidden="1" thickTop="1" x14ac:dyDescent="0.25">
      <c r="A404" s="2">
        <v>43</v>
      </c>
      <c r="B404" s="2" t="str">
        <f t="shared" si="12"/>
        <v>SORTING_WEST_F_2_16</v>
      </c>
      <c r="C404" s="223" t="s">
        <v>45</v>
      </c>
      <c r="D404" s="223" t="s">
        <v>19</v>
      </c>
      <c r="E404" s="223" t="s">
        <v>7</v>
      </c>
      <c r="F404" s="224">
        <v>2</v>
      </c>
      <c r="G404" s="332">
        <v>16</v>
      </c>
      <c r="H404" s="195">
        <f>VLOOKUP(B404,'16'!$D$6:$K$119,8,0)</f>
        <v>13</v>
      </c>
    </row>
    <row r="405" spans="1:8" ht="15.75" hidden="1" thickTop="1" x14ac:dyDescent="0.25">
      <c r="A405" s="2">
        <v>43</v>
      </c>
      <c r="B405" s="2" t="str">
        <f t="shared" si="12"/>
        <v>SORTING_WEST_M_1_16</v>
      </c>
      <c r="C405" s="223" t="s">
        <v>45</v>
      </c>
      <c r="D405" s="223" t="s">
        <v>19</v>
      </c>
      <c r="E405" s="223" t="s">
        <v>14</v>
      </c>
      <c r="F405" s="224">
        <v>1</v>
      </c>
      <c r="G405" s="332">
        <v>16</v>
      </c>
      <c r="H405" s="195">
        <f>VLOOKUP(B405,'16'!$D$6:$K$119,8,0)</f>
        <v>14</v>
      </c>
    </row>
    <row r="406" spans="1:8" ht="15.75" hidden="1" thickTop="1" x14ac:dyDescent="0.25">
      <c r="A406" s="2">
        <v>43</v>
      </c>
      <c r="B406" s="2" t="str">
        <f t="shared" si="12"/>
        <v>TRANSFER_EAST_UNP_1_16</v>
      </c>
      <c r="C406" s="223" t="s">
        <v>21</v>
      </c>
      <c r="D406" s="223" t="s">
        <v>18</v>
      </c>
      <c r="E406" s="223" t="s">
        <v>42</v>
      </c>
      <c r="F406" s="224">
        <v>1</v>
      </c>
      <c r="G406" s="332">
        <v>16</v>
      </c>
      <c r="H406" s="195">
        <f>VLOOKUP(B406,'16'!$D$6:$K$119,8,0)</f>
        <v>1</v>
      </c>
    </row>
    <row r="407" spans="1:8" ht="15.75" hidden="1" thickTop="1" x14ac:dyDescent="0.25">
      <c r="A407" s="2">
        <v>43</v>
      </c>
      <c r="B407" s="2" t="str">
        <f t="shared" si="12"/>
        <v>TRANSFER_EAST_A_2_16</v>
      </c>
      <c r="C407" s="223" t="s">
        <v>21</v>
      </c>
      <c r="D407" s="223" t="s">
        <v>18</v>
      </c>
      <c r="E407" s="352" t="s">
        <v>2</v>
      </c>
      <c r="F407" s="224">
        <v>2</v>
      </c>
      <c r="G407" s="332">
        <v>16</v>
      </c>
      <c r="H407" s="195">
        <f>VLOOKUP(B407,'16'!$D$6:$K$119,8,0)</f>
        <v>3</v>
      </c>
    </row>
    <row r="408" spans="1:8" ht="15.75" hidden="1" thickTop="1" x14ac:dyDescent="0.25">
      <c r="A408" s="2">
        <v>43</v>
      </c>
      <c r="B408" s="2" t="str">
        <f t="shared" si="12"/>
        <v>TRANSFER_EAST_C/U_1_16</v>
      </c>
      <c r="C408" s="223" t="s">
        <v>21</v>
      </c>
      <c r="D408" s="223" t="s">
        <v>18</v>
      </c>
      <c r="E408" s="352" t="s">
        <v>67</v>
      </c>
      <c r="F408" s="224">
        <v>1</v>
      </c>
      <c r="G408" s="332">
        <v>16</v>
      </c>
      <c r="H408" s="195">
        <f>VLOOKUP(B408,'16'!$D$6:$K$119,8,0)</f>
        <v>4</v>
      </c>
    </row>
    <row r="409" spans="1:8" ht="15.75" hidden="1" thickTop="1" x14ac:dyDescent="0.25">
      <c r="A409" s="2">
        <v>43</v>
      </c>
      <c r="B409" s="2" t="str">
        <f t="shared" si="12"/>
        <v>TRANSFER_EAST_C_2_16</v>
      </c>
      <c r="C409" s="223" t="s">
        <v>21</v>
      </c>
      <c r="D409" s="223" t="s">
        <v>18</v>
      </c>
      <c r="E409" s="223" t="s">
        <v>4</v>
      </c>
      <c r="F409" s="224">
        <v>2</v>
      </c>
      <c r="G409" s="332">
        <v>16</v>
      </c>
      <c r="H409" s="195">
        <f>VLOOKUP(B409,'16'!$D$6:$K$119,8,0)</f>
        <v>5</v>
      </c>
    </row>
    <row r="410" spans="1:8" ht="15.75" hidden="1" thickTop="1" x14ac:dyDescent="0.25">
      <c r="A410" s="2">
        <v>43</v>
      </c>
      <c r="B410" s="2" t="str">
        <f t="shared" ref="B410:B477" si="13">C410&amp;"_"&amp;D410&amp;"_"&amp;E410&amp;"_"&amp;F410&amp;"_"&amp;G410</f>
        <v>TRANSFER_EAST_I_1_16</v>
      </c>
      <c r="C410" s="223" t="s">
        <v>21</v>
      </c>
      <c r="D410" s="223" t="s">
        <v>18</v>
      </c>
      <c r="E410" s="223" t="s">
        <v>10</v>
      </c>
      <c r="F410" s="224">
        <v>1</v>
      </c>
      <c r="G410" s="332">
        <v>16</v>
      </c>
      <c r="H410" s="195">
        <f>VLOOKUP(B410,'16'!$D$6:$K$119,8,0)</f>
        <v>6</v>
      </c>
    </row>
    <row r="411" spans="1:8" ht="15.75" hidden="1" thickTop="1" x14ac:dyDescent="0.25">
      <c r="A411" s="2">
        <v>43</v>
      </c>
      <c r="B411" s="2" t="str">
        <f t="shared" si="13"/>
        <v>TRANSFER_EAST_G_2_16</v>
      </c>
      <c r="C411" s="223" t="s">
        <v>21</v>
      </c>
      <c r="D411" s="223" t="s">
        <v>18</v>
      </c>
      <c r="E411" s="223" t="s">
        <v>8</v>
      </c>
      <c r="F411" s="224">
        <v>2</v>
      </c>
      <c r="G411" s="332">
        <v>16</v>
      </c>
      <c r="H411" s="195">
        <f>VLOOKUP(B411,'16'!$D$6:$K$119,8,0)</f>
        <v>8</v>
      </c>
    </row>
    <row r="412" spans="1:8" ht="15.75" hidden="1" thickTop="1" x14ac:dyDescent="0.25">
      <c r="A412" s="2">
        <v>43</v>
      </c>
      <c r="B412" s="2" t="str">
        <f t="shared" si="13"/>
        <v>TRANSFER_EAST_B_1_16</v>
      </c>
      <c r="C412" s="223" t="s">
        <v>21</v>
      </c>
      <c r="D412" s="223" t="s">
        <v>18</v>
      </c>
      <c r="E412" s="223" t="s">
        <v>3</v>
      </c>
      <c r="F412" s="224">
        <v>1</v>
      </c>
      <c r="G412" s="332">
        <v>16</v>
      </c>
      <c r="H412" s="195">
        <f>VLOOKUP(B412,'16'!$D$6:$K$119,8,0)</f>
        <v>10</v>
      </c>
    </row>
    <row r="413" spans="1:8" ht="15.75" hidden="1" thickTop="1" x14ac:dyDescent="0.25">
      <c r="A413" s="2">
        <v>43</v>
      </c>
      <c r="B413" s="2" t="str">
        <f t="shared" si="13"/>
        <v>TRANSFER_EAST_E_2_16</v>
      </c>
      <c r="C413" s="223" t="s">
        <v>21</v>
      </c>
      <c r="D413" s="223" t="s">
        <v>18</v>
      </c>
      <c r="E413" s="223" t="s">
        <v>6</v>
      </c>
      <c r="F413" s="224">
        <v>2</v>
      </c>
      <c r="G413" s="332">
        <v>16</v>
      </c>
      <c r="H413" s="195">
        <f>VLOOKUP(B413,'16'!$D$6:$K$119,8,0)</f>
        <v>12</v>
      </c>
    </row>
    <row r="414" spans="1:8" ht="15.75" hidden="1" thickTop="1" x14ac:dyDescent="0.25">
      <c r="A414" s="2">
        <v>43</v>
      </c>
      <c r="B414" s="2" t="str">
        <f t="shared" si="13"/>
        <v>TRANSFER_EAST_D_1_16</v>
      </c>
      <c r="C414" s="223" t="s">
        <v>21</v>
      </c>
      <c r="D414" s="223" t="s">
        <v>18</v>
      </c>
      <c r="E414" s="223" t="s">
        <v>47</v>
      </c>
      <c r="F414" s="224">
        <v>1</v>
      </c>
      <c r="G414" s="332">
        <v>16</v>
      </c>
      <c r="H414" s="195">
        <f>VLOOKUP(B414,'16'!$D$6:$K$119,8,0)</f>
        <v>14</v>
      </c>
    </row>
    <row r="415" spans="1:8" ht="15.75" hidden="1" thickTop="1" x14ac:dyDescent="0.25">
      <c r="A415" s="2">
        <v>43</v>
      </c>
      <c r="B415" s="2" t="str">
        <f t="shared" si="13"/>
        <v>TRANSFER_EAST_K_2_16</v>
      </c>
      <c r="C415" s="223" t="s">
        <v>21</v>
      </c>
      <c r="D415" s="223" t="s">
        <v>18</v>
      </c>
      <c r="E415" s="223" t="s">
        <v>12</v>
      </c>
      <c r="F415" s="224">
        <v>2</v>
      </c>
      <c r="G415" s="332">
        <v>16</v>
      </c>
      <c r="H415" s="195">
        <f>VLOOKUP(B415,'16'!$D$6:$K$119,8,0)</f>
        <v>16</v>
      </c>
    </row>
    <row r="416" spans="1:8" ht="15.75" hidden="1" thickTop="1" x14ac:dyDescent="0.25">
      <c r="A416" s="2">
        <v>43</v>
      </c>
      <c r="B416" s="2" t="str">
        <f t="shared" si="13"/>
        <v>TRANSFER_WEST_H_1_16</v>
      </c>
      <c r="C416" s="223" t="s">
        <v>21</v>
      </c>
      <c r="D416" s="223" t="s">
        <v>19</v>
      </c>
      <c r="E416" s="223" t="s">
        <v>9</v>
      </c>
      <c r="F416" s="224">
        <v>1</v>
      </c>
      <c r="G416" s="332">
        <v>16</v>
      </c>
      <c r="H416" s="195">
        <f>VLOOKUP(B416,'16'!$D$6:$K$119,8,0)</f>
        <v>2</v>
      </c>
    </row>
    <row r="417" spans="1:8" ht="15.75" hidden="1" thickTop="1" x14ac:dyDescent="0.25">
      <c r="A417" s="2">
        <v>43</v>
      </c>
      <c r="B417" s="2" t="str">
        <f t="shared" si="13"/>
        <v>TRANSFER_WEST_P_2_16</v>
      </c>
      <c r="C417" s="223" t="s">
        <v>21</v>
      </c>
      <c r="D417" s="223" t="s">
        <v>19</v>
      </c>
      <c r="E417" s="223" t="s">
        <v>41</v>
      </c>
      <c r="F417" s="224">
        <v>2</v>
      </c>
      <c r="G417" s="332">
        <v>16</v>
      </c>
      <c r="H417" s="195">
        <f>VLOOKUP(B417,'16'!$D$6:$K$119,8,0)</f>
        <v>4</v>
      </c>
    </row>
    <row r="418" spans="1:8" ht="15.75" hidden="1" thickTop="1" x14ac:dyDescent="0.25">
      <c r="A418" s="2">
        <v>43</v>
      </c>
      <c r="B418" s="2" t="str">
        <f t="shared" si="13"/>
        <v>TRANSFER_WEST_O_1_16</v>
      </c>
      <c r="C418" s="223" t="s">
        <v>21</v>
      </c>
      <c r="D418" s="223" t="s">
        <v>19</v>
      </c>
      <c r="E418" s="223" t="s">
        <v>40</v>
      </c>
      <c r="F418" s="224">
        <v>1</v>
      </c>
      <c r="G418" s="332">
        <v>16</v>
      </c>
      <c r="H418" s="195">
        <f>VLOOKUP(B418,'16'!$D$6:$K$119,8,0)</f>
        <v>6</v>
      </c>
    </row>
    <row r="419" spans="1:8" ht="15.75" hidden="1" thickTop="1" x14ac:dyDescent="0.25">
      <c r="A419" s="2">
        <v>43</v>
      </c>
      <c r="B419" s="2" t="str">
        <f t="shared" si="13"/>
        <v>TRANSFER_WEST_L_2_16</v>
      </c>
      <c r="C419" s="223" t="s">
        <v>21</v>
      </c>
      <c r="D419" s="223" t="s">
        <v>19</v>
      </c>
      <c r="E419" s="223" t="s">
        <v>13</v>
      </c>
      <c r="F419" s="224">
        <v>2</v>
      </c>
      <c r="G419" s="332">
        <v>16</v>
      </c>
      <c r="H419" s="195">
        <f>VLOOKUP(B419,'16'!$D$6:$K$119,8,0)</f>
        <v>8</v>
      </c>
    </row>
    <row r="420" spans="1:8" ht="15.75" hidden="1" thickTop="1" x14ac:dyDescent="0.25">
      <c r="A420" s="2">
        <v>43</v>
      </c>
      <c r="B420" s="2" t="str">
        <f t="shared" si="13"/>
        <v>TRANSFER_WEST_N_1_16</v>
      </c>
      <c r="C420" s="223" t="s">
        <v>21</v>
      </c>
      <c r="D420" s="223" t="s">
        <v>19</v>
      </c>
      <c r="E420" s="223" t="s">
        <v>15</v>
      </c>
      <c r="F420" s="224">
        <v>1</v>
      </c>
      <c r="G420" s="332">
        <v>16</v>
      </c>
      <c r="H420" s="195">
        <f>VLOOKUP(B420,'16'!$D$6:$K$119,8,0)</f>
        <v>10</v>
      </c>
    </row>
    <row r="421" spans="1:8" ht="15.75" hidden="1" thickTop="1" x14ac:dyDescent="0.25">
      <c r="A421" s="2">
        <v>43</v>
      </c>
      <c r="B421" s="2" t="str">
        <f t="shared" si="13"/>
        <v>TRANSFER_WEST_J_2_16</v>
      </c>
      <c r="C421" s="223" t="s">
        <v>21</v>
      </c>
      <c r="D421" s="223" t="s">
        <v>19</v>
      </c>
      <c r="E421" s="223" t="s">
        <v>11</v>
      </c>
      <c r="F421" s="224">
        <v>2</v>
      </c>
      <c r="G421" s="332">
        <v>16</v>
      </c>
      <c r="H421" s="195">
        <f>VLOOKUP(B421,'16'!$D$6:$K$119,8,0)</f>
        <v>12</v>
      </c>
    </row>
    <row r="422" spans="1:8" ht="15.75" hidden="1" thickTop="1" x14ac:dyDescent="0.25">
      <c r="A422" s="2">
        <v>43</v>
      </c>
      <c r="B422" s="2" t="str">
        <f t="shared" si="13"/>
        <v>TRANSFER_WEST_Q_1_16</v>
      </c>
      <c r="C422" s="223" t="s">
        <v>21</v>
      </c>
      <c r="D422" s="223" t="s">
        <v>19</v>
      </c>
      <c r="E422" s="223" t="s">
        <v>59</v>
      </c>
      <c r="F422" s="224">
        <v>1</v>
      </c>
      <c r="G422" s="195">
        <v>16</v>
      </c>
      <c r="H422" s="195">
        <f>VLOOKUP(B422,'16'!$D$6:$K$119,8,0)</f>
        <v>13</v>
      </c>
    </row>
    <row r="423" spans="1:8" ht="15.75" hidden="1" thickTop="1" x14ac:dyDescent="0.25">
      <c r="A423" s="2">
        <v>43</v>
      </c>
      <c r="B423" s="2" t="str">
        <f t="shared" si="13"/>
        <v>TRANSFER_WEST_F_2_16</v>
      </c>
      <c r="C423" s="223" t="s">
        <v>21</v>
      </c>
      <c r="D423" s="223" t="s">
        <v>19</v>
      </c>
      <c r="E423" s="223" t="s">
        <v>7</v>
      </c>
      <c r="F423" s="224">
        <v>2</v>
      </c>
      <c r="G423" s="332">
        <v>16</v>
      </c>
      <c r="H423" s="195">
        <f>VLOOKUP(B423,'16'!$D$6:$K$119,8,0)</f>
        <v>14</v>
      </c>
    </row>
    <row r="424" spans="1:8" ht="15.75" hidden="1" thickTop="1" x14ac:dyDescent="0.25">
      <c r="A424" s="2">
        <v>43</v>
      </c>
      <c r="B424" s="2" t="str">
        <f t="shared" si="13"/>
        <v>TRANSFER_WEST_M_1_16</v>
      </c>
      <c r="C424" s="223" t="s">
        <v>21</v>
      </c>
      <c r="D424" s="223" t="s">
        <v>19</v>
      </c>
      <c r="E424" s="223" t="s">
        <v>14</v>
      </c>
      <c r="F424" s="224">
        <v>1</v>
      </c>
      <c r="G424" s="332">
        <v>16</v>
      </c>
      <c r="H424" s="195">
        <f>VLOOKUP(B424,'16'!$D$6:$K$119,8,0)</f>
        <v>16</v>
      </c>
    </row>
    <row r="425" spans="1:8" ht="15.75" hidden="1" thickTop="1" x14ac:dyDescent="0.25">
      <c r="A425" s="2">
        <v>43</v>
      </c>
      <c r="B425" s="2" t="str">
        <f t="shared" si="13"/>
        <v>PREPARE_EAST_UNP_1_16</v>
      </c>
      <c r="C425" s="223" t="s">
        <v>46</v>
      </c>
      <c r="D425" s="223" t="s">
        <v>18</v>
      </c>
      <c r="E425" s="223" t="s">
        <v>42</v>
      </c>
      <c r="F425" s="224">
        <v>1</v>
      </c>
      <c r="G425" s="332">
        <v>16</v>
      </c>
      <c r="H425" s="195">
        <f>VLOOKUP(B425,'16'!$D$6:$K$119,8,0)</f>
        <v>14</v>
      </c>
    </row>
    <row r="426" spans="1:8" ht="15.75" hidden="1" thickTop="1" x14ac:dyDescent="0.25">
      <c r="A426" s="2">
        <v>43</v>
      </c>
      <c r="B426" s="2" t="str">
        <f t="shared" si="13"/>
        <v>PREPARE_EAST_A_2_16</v>
      </c>
      <c r="C426" s="223" t="s">
        <v>46</v>
      </c>
      <c r="D426" s="223" t="s">
        <v>18</v>
      </c>
      <c r="E426" s="352" t="s">
        <v>2</v>
      </c>
      <c r="F426" s="224">
        <v>2</v>
      </c>
      <c r="G426" s="332">
        <v>16</v>
      </c>
      <c r="H426" s="195">
        <f>VLOOKUP(B426,'16'!$D$6:$K$119,8,0)</f>
        <v>15</v>
      </c>
    </row>
    <row r="427" spans="1:8" ht="15.75" hidden="1" thickTop="1" x14ac:dyDescent="0.25">
      <c r="A427" s="2">
        <v>43</v>
      </c>
      <c r="B427" s="2" t="str">
        <f t="shared" si="13"/>
        <v>PREPARE_EAST_C/U_1_16</v>
      </c>
      <c r="C427" s="223" t="s">
        <v>46</v>
      </c>
      <c r="D427" s="223" t="s">
        <v>18</v>
      </c>
      <c r="E427" s="352" t="s">
        <v>67</v>
      </c>
      <c r="F427" s="224">
        <v>1</v>
      </c>
      <c r="G427" s="332">
        <v>16</v>
      </c>
      <c r="H427" s="195">
        <f>VLOOKUP(B427,'16'!$D$6:$K$119,8,0)</f>
        <v>16</v>
      </c>
    </row>
    <row r="428" spans="1:8" ht="15.75" hidden="1" thickTop="1" x14ac:dyDescent="0.25">
      <c r="A428" s="2">
        <v>43</v>
      </c>
      <c r="B428" s="2" t="str">
        <f t="shared" si="13"/>
        <v>PREPARE_EAST_C_2_16</v>
      </c>
      <c r="C428" s="223" t="s">
        <v>46</v>
      </c>
      <c r="D428" s="223" t="s">
        <v>18</v>
      </c>
      <c r="E428" s="223" t="s">
        <v>4</v>
      </c>
      <c r="F428" s="224">
        <v>2</v>
      </c>
      <c r="G428" s="332">
        <v>16</v>
      </c>
      <c r="H428" s="195">
        <f>VLOOKUP(B428,'16'!$D$6:$K$119,8,0)</f>
        <v>17</v>
      </c>
    </row>
    <row r="429" spans="1:8" ht="15.75" hidden="1" thickTop="1" x14ac:dyDescent="0.25">
      <c r="A429" s="2">
        <v>43</v>
      </c>
      <c r="B429" s="2" t="str">
        <f t="shared" si="13"/>
        <v>PREPARE_EAST_I_1_16</v>
      </c>
      <c r="C429" s="223" t="s">
        <v>46</v>
      </c>
      <c r="D429" s="223" t="s">
        <v>18</v>
      </c>
      <c r="E429" s="223" t="s">
        <v>10</v>
      </c>
      <c r="F429" s="224">
        <v>1</v>
      </c>
      <c r="G429" s="332">
        <v>16</v>
      </c>
      <c r="H429" s="195">
        <f>VLOOKUP(B429,'16'!$D$6:$K$119,8,0)</f>
        <v>19</v>
      </c>
    </row>
    <row r="430" spans="1:8" ht="15.75" hidden="1" thickTop="1" x14ac:dyDescent="0.25">
      <c r="A430" s="2">
        <v>43</v>
      </c>
      <c r="B430" s="2" t="str">
        <f t="shared" si="13"/>
        <v>PREPARE_EAST_G_2_16</v>
      </c>
      <c r="C430" s="223" t="s">
        <v>46</v>
      </c>
      <c r="D430" s="223" t="s">
        <v>18</v>
      </c>
      <c r="E430" s="223" t="s">
        <v>8</v>
      </c>
      <c r="F430" s="224">
        <v>2</v>
      </c>
      <c r="G430" s="332">
        <v>16</v>
      </c>
      <c r="H430" s="195">
        <f>VLOOKUP(B430,'16'!$D$6:$K$119,8,0)</f>
        <v>21</v>
      </c>
    </row>
    <row r="431" spans="1:8" ht="15.75" hidden="1" thickTop="1" x14ac:dyDescent="0.25">
      <c r="A431" s="2">
        <v>43</v>
      </c>
      <c r="B431" s="2" t="str">
        <f t="shared" si="13"/>
        <v>PREPARE_EAST_B_1_16</v>
      </c>
      <c r="C431" s="223" t="s">
        <v>46</v>
      </c>
      <c r="D431" s="223" t="s">
        <v>18</v>
      </c>
      <c r="E431" s="223" t="s">
        <v>3</v>
      </c>
      <c r="F431" s="224">
        <v>1</v>
      </c>
      <c r="G431" s="332">
        <v>16</v>
      </c>
      <c r="H431" s="195">
        <f>VLOOKUP(B431,'16'!$D$6:$K$119,8,0)</f>
        <v>23</v>
      </c>
    </row>
    <row r="432" spans="1:8" ht="15.75" hidden="1" thickTop="1" x14ac:dyDescent="0.25">
      <c r="A432" s="2">
        <v>43</v>
      </c>
      <c r="B432" s="2" t="str">
        <f t="shared" si="13"/>
        <v>PREPARE_EAST_E_2_16</v>
      </c>
      <c r="C432" s="223" t="s">
        <v>46</v>
      </c>
      <c r="D432" s="223" t="s">
        <v>18</v>
      </c>
      <c r="E432" s="223" t="s">
        <v>6</v>
      </c>
      <c r="F432" s="224">
        <v>2</v>
      </c>
      <c r="G432" s="332">
        <v>16</v>
      </c>
      <c r="H432" s="195">
        <f>VLOOKUP(B432,'16'!$D$6:$K$119,8,0)</f>
        <v>25</v>
      </c>
    </row>
    <row r="433" spans="1:8" ht="15.75" hidden="1" thickTop="1" x14ac:dyDescent="0.25">
      <c r="A433" s="2">
        <v>43</v>
      </c>
      <c r="B433" s="2" t="str">
        <f t="shared" si="13"/>
        <v>PREPARE_EAST_D_1_16</v>
      </c>
      <c r="C433" s="223" t="s">
        <v>46</v>
      </c>
      <c r="D433" s="223" t="s">
        <v>18</v>
      </c>
      <c r="E433" s="223" t="s">
        <v>47</v>
      </c>
      <c r="F433" s="224">
        <v>1</v>
      </c>
      <c r="G433" s="332">
        <v>16</v>
      </c>
      <c r="H433" s="195">
        <f>VLOOKUP(B433,'16'!$D$6:$K$119,8,0)</f>
        <v>27</v>
      </c>
    </row>
    <row r="434" spans="1:8" ht="15.75" hidden="1" thickTop="1" x14ac:dyDescent="0.25">
      <c r="A434" s="2">
        <v>43</v>
      </c>
      <c r="B434" s="2" t="str">
        <f t="shared" si="13"/>
        <v>PREPARE_EAST_K_2_16</v>
      </c>
      <c r="C434" s="223" t="s">
        <v>46</v>
      </c>
      <c r="D434" s="223" t="s">
        <v>18</v>
      </c>
      <c r="E434" s="223" t="s">
        <v>12</v>
      </c>
      <c r="F434" s="224">
        <v>2</v>
      </c>
      <c r="G434" s="332">
        <v>16</v>
      </c>
      <c r="H434" s="195">
        <f>VLOOKUP(B434,'16'!$D$6:$K$119,8,0)</f>
        <v>29</v>
      </c>
    </row>
    <row r="435" spans="1:8" ht="15.75" hidden="1" thickTop="1" x14ac:dyDescent="0.25">
      <c r="A435" s="2">
        <v>43</v>
      </c>
      <c r="B435" s="2" t="str">
        <f t="shared" si="13"/>
        <v>PREPARE_WEST_H_1_16</v>
      </c>
      <c r="C435" s="223" t="s">
        <v>46</v>
      </c>
      <c r="D435" s="223" t="s">
        <v>19</v>
      </c>
      <c r="E435" s="223" t="s">
        <v>9</v>
      </c>
      <c r="F435" s="224">
        <v>1</v>
      </c>
      <c r="G435" s="332">
        <v>16</v>
      </c>
      <c r="H435" s="195">
        <f>VLOOKUP(B435,'16'!$D$6:$K$119,8,0)</f>
        <v>14</v>
      </c>
    </row>
    <row r="436" spans="1:8" ht="15.75" hidden="1" thickTop="1" x14ac:dyDescent="0.25">
      <c r="A436" s="2">
        <v>43</v>
      </c>
      <c r="B436" s="2" t="str">
        <f t="shared" si="13"/>
        <v>PREPARE_WEST_P_2_16</v>
      </c>
      <c r="C436" s="223" t="s">
        <v>46</v>
      </c>
      <c r="D436" s="223" t="s">
        <v>19</v>
      </c>
      <c r="E436" s="223" t="s">
        <v>41</v>
      </c>
      <c r="F436" s="224">
        <v>2</v>
      </c>
      <c r="G436" s="332">
        <v>16</v>
      </c>
      <c r="H436" s="195">
        <f>VLOOKUP(B436,'16'!$D$6:$K$119,8,0)</f>
        <v>16</v>
      </c>
    </row>
    <row r="437" spans="1:8" ht="15.75" hidden="1" thickTop="1" x14ac:dyDescent="0.25">
      <c r="A437" s="2">
        <v>43</v>
      </c>
      <c r="B437" s="2" t="str">
        <f t="shared" si="13"/>
        <v>PREPARE_WEST_O_1_16</v>
      </c>
      <c r="C437" s="223" t="s">
        <v>46</v>
      </c>
      <c r="D437" s="223" t="s">
        <v>19</v>
      </c>
      <c r="E437" s="223" t="s">
        <v>40</v>
      </c>
      <c r="F437" s="224">
        <v>1</v>
      </c>
      <c r="G437" s="332">
        <v>16</v>
      </c>
      <c r="H437" s="195">
        <f>VLOOKUP(B437,'16'!$D$6:$K$119,8,0)</f>
        <v>18</v>
      </c>
    </row>
    <row r="438" spans="1:8" ht="15.75" hidden="1" thickTop="1" x14ac:dyDescent="0.25">
      <c r="A438" s="2">
        <v>43</v>
      </c>
      <c r="B438" s="2" t="str">
        <f t="shared" si="13"/>
        <v>PREPARE_WEST_L_2_16</v>
      </c>
      <c r="C438" s="223" t="s">
        <v>46</v>
      </c>
      <c r="D438" s="223" t="s">
        <v>19</v>
      </c>
      <c r="E438" s="223" t="s">
        <v>13</v>
      </c>
      <c r="F438" s="224">
        <v>2</v>
      </c>
      <c r="G438" s="332">
        <v>16</v>
      </c>
      <c r="H438" s="195">
        <f>VLOOKUP(B438,'16'!$D$6:$K$119,8,0)</f>
        <v>20</v>
      </c>
    </row>
    <row r="439" spans="1:8" ht="15.75" hidden="1" thickTop="1" x14ac:dyDescent="0.25">
      <c r="A439" s="2">
        <v>43</v>
      </c>
      <c r="B439" s="2" t="str">
        <f t="shared" si="13"/>
        <v>PREPARE_WEST_N_1_16</v>
      </c>
      <c r="C439" s="223" t="s">
        <v>46</v>
      </c>
      <c r="D439" s="223" t="s">
        <v>19</v>
      </c>
      <c r="E439" s="223" t="s">
        <v>15</v>
      </c>
      <c r="F439" s="224">
        <v>1</v>
      </c>
      <c r="G439" s="332">
        <v>16</v>
      </c>
      <c r="H439" s="195">
        <f>VLOOKUP(B439,'16'!$D$6:$K$119,8,0)</f>
        <v>22</v>
      </c>
    </row>
    <row r="440" spans="1:8" ht="15.75" hidden="1" thickTop="1" x14ac:dyDescent="0.25">
      <c r="A440" s="2">
        <v>43</v>
      </c>
      <c r="B440" s="2" t="str">
        <f t="shared" si="13"/>
        <v>PREPARE_WEST_J_2_16</v>
      </c>
      <c r="C440" s="223" t="s">
        <v>46</v>
      </c>
      <c r="D440" s="223" t="s">
        <v>19</v>
      </c>
      <c r="E440" s="223" t="s">
        <v>11</v>
      </c>
      <c r="F440" s="224">
        <v>2</v>
      </c>
      <c r="G440" s="332">
        <v>16</v>
      </c>
      <c r="H440" s="195">
        <f>VLOOKUP(B440,'16'!$D$6:$K$119,8,0)</f>
        <v>24</v>
      </c>
    </row>
    <row r="441" spans="1:8" ht="15.75" hidden="1" thickTop="1" x14ac:dyDescent="0.25">
      <c r="A441" s="2">
        <v>43</v>
      </c>
      <c r="B441" s="2" t="str">
        <f t="shared" si="13"/>
        <v>PREPARE_WEST_Q_1_16</v>
      </c>
      <c r="C441" s="223" t="s">
        <v>46</v>
      </c>
      <c r="D441" s="223" t="s">
        <v>19</v>
      </c>
      <c r="E441" s="223" t="s">
        <v>59</v>
      </c>
      <c r="F441" s="224">
        <v>1</v>
      </c>
      <c r="G441" s="195">
        <v>16</v>
      </c>
      <c r="H441" s="195">
        <f>VLOOKUP(B441,'16'!$D$6:$K$119,8,0)</f>
        <v>26</v>
      </c>
    </row>
    <row r="442" spans="1:8" ht="15.75" hidden="1" thickTop="1" x14ac:dyDescent="0.25">
      <c r="A442" s="2">
        <v>43</v>
      </c>
      <c r="B442" s="2" t="str">
        <f t="shared" si="13"/>
        <v>PREPARE_WEST_F_2_16</v>
      </c>
      <c r="C442" s="223" t="s">
        <v>46</v>
      </c>
      <c r="D442" s="223" t="s">
        <v>19</v>
      </c>
      <c r="E442" s="223" t="s">
        <v>7</v>
      </c>
      <c r="F442" s="224">
        <v>2</v>
      </c>
      <c r="G442" s="332">
        <v>16</v>
      </c>
      <c r="H442" s="195">
        <f>VLOOKUP(B442,'16'!$D$6:$K$119,8,0)</f>
        <v>27</v>
      </c>
    </row>
    <row r="443" spans="1:8" ht="15.75" hidden="1" thickTop="1" x14ac:dyDescent="0.25">
      <c r="A443" s="2">
        <v>43</v>
      </c>
      <c r="B443" s="2" t="str">
        <f t="shared" si="13"/>
        <v>PREPARE_WEST_M_1_16</v>
      </c>
      <c r="C443" s="223" t="s">
        <v>46</v>
      </c>
      <c r="D443" s="223" t="s">
        <v>19</v>
      </c>
      <c r="E443" s="223" t="s">
        <v>14</v>
      </c>
      <c r="F443" s="224">
        <v>1</v>
      </c>
      <c r="G443" s="332">
        <v>16</v>
      </c>
      <c r="H443" s="195">
        <f>VLOOKUP(B443,'16'!$D$6:$K$119,8,0)</f>
        <v>28</v>
      </c>
    </row>
    <row r="444" spans="1:8" ht="15.75" hidden="1" thickTop="1" x14ac:dyDescent="0.25">
      <c r="A444" s="2">
        <v>43</v>
      </c>
      <c r="B444" s="2" t="str">
        <f t="shared" si="13"/>
        <v>SUPPLY_EAST_UNP_1_16</v>
      </c>
      <c r="C444" s="223" t="s">
        <v>0</v>
      </c>
      <c r="D444" s="223" t="s">
        <v>18</v>
      </c>
      <c r="E444" s="223" t="s">
        <v>42</v>
      </c>
      <c r="F444" s="224">
        <v>1</v>
      </c>
      <c r="G444" s="332">
        <v>16</v>
      </c>
      <c r="H444" s="195">
        <f>VLOOKUP(B444,'16'!$D$6:$K$119,8,0)</f>
        <v>0</v>
      </c>
    </row>
    <row r="445" spans="1:8" ht="15.75" hidden="1" thickTop="1" x14ac:dyDescent="0.25">
      <c r="A445" s="2">
        <v>43</v>
      </c>
      <c r="B445" s="2" t="str">
        <f t="shared" si="13"/>
        <v>SUPPLY_EAST_A_2_16</v>
      </c>
      <c r="C445" s="223" t="s">
        <v>0</v>
      </c>
      <c r="D445" s="223" t="s">
        <v>18</v>
      </c>
      <c r="E445" s="352" t="s">
        <v>2</v>
      </c>
      <c r="F445" s="224">
        <v>2</v>
      </c>
      <c r="G445" s="332">
        <v>16</v>
      </c>
      <c r="H445" s="195">
        <f>VLOOKUP(B445,'16'!$D$6:$K$119,8,0)</f>
        <v>1</v>
      </c>
    </row>
    <row r="446" spans="1:8" ht="15.75" hidden="1" thickTop="1" x14ac:dyDescent="0.25">
      <c r="A446" s="2">
        <v>43</v>
      </c>
      <c r="B446" s="2" t="str">
        <f t="shared" si="13"/>
        <v>SUPPLY_EAST_C/U_1_16</v>
      </c>
      <c r="C446" s="223" t="s">
        <v>0</v>
      </c>
      <c r="D446" s="223" t="s">
        <v>18</v>
      </c>
      <c r="E446" s="352" t="s">
        <v>67</v>
      </c>
      <c r="F446" s="224">
        <v>1</v>
      </c>
      <c r="G446" s="332">
        <v>16</v>
      </c>
      <c r="H446" s="195">
        <f>VLOOKUP(B446,'16'!$D$6:$K$119,8,0)</f>
        <v>2</v>
      </c>
    </row>
    <row r="447" spans="1:8" ht="15.75" hidden="1" thickTop="1" x14ac:dyDescent="0.25">
      <c r="A447" s="2">
        <v>43</v>
      </c>
      <c r="B447" s="2" t="str">
        <f t="shared" si="13"/>
        <v>SUPPLY_EAST_C_2_16</v>
      </c>
      <c r="C447" s="223" t="s">
        <v>0</v>
      </c>
      <c r="D447" s="223" t="s">
        <v>18</v>
      </c>
      <c r="E447" s="223" t="s">
        <v>4</v>
      </c>
      <c r="F447" s="224">
        <v>2</v>
      </c>
      <c r="G447" s="332">
        <v>16</v>
      </c>
      <c r="H447" s="195">
        <f>VLOOKUP(B447,'16'!$D$6:$K$119,8,0)</f>
        <v>3</v>
      </c>
    </row>
    <row r="448" spans="1:8" ht="15.75" hidden="1" thickTop="1" x14ac:dyDescent="0.25">
      <c r="A448" s="2">
        <v>43</v>
      </c>
      <c r="B448" s="2" t="str">
        <f t="shared" si="13"/>
        <v>SUPPLY_EAST_I_1_16</v>
      </c>
      <c r="C448" s="223" t="s">
        <v>0</v>
      </c>
      <c r="D448" s="223" t="s">
        <v>18</v>
      </c>
      <c r="E448" s="223" t="s">
        <v>10</v>
      </c>
      <c r="F448" s="224">
        <v>1</v>
      </c>
      <c r="G448" s="332">
        <v>16</v>
      </c>
      <c r="H448" s="195">
        <f>VLOOKUP(B448,'16'!$D$6:$K$119,8,0)</f>
        <v>4</v>
      </c>
    </row>
    <row r="449" spans="1:8" ht="15.75" hidden="1" thickTop="1" x14ac:dyDescent="0.25">
      <c r="A449" s="2">
        <v>43</v>
      </c>
      <c r="B449" s="2" t="str">
        <f t="shared" si="13"/>
        <v>SUPPLY_EAST_G_2_16</v>
      </c>
      <c r="C449" s="223" t="s">
        <v>0</v>
      </c>
      <c r="D449" s="223" t="s">
        <v>18</v>
      </c>
      <c r="E449" s="223" t="s">
        <v>8</v>
      </c>
      <c r="F449" s="224">
        <v>2</v>
      </c>
      <c r="G449" s="332">
        <v>16</v>
      </c>
      <c r="H449" s="195">
        <f>VLOOKUP(B449,'16'!$D$6:$K$119,8,0)</f>
        <v>6</v>
      </c>
    </row>
    <row r="450" spans="1:8" ht="15.75" hidden="1" thickTop="1" x14ac:dyDescent="0.25">
      <c r="A450" s="2">
        <v>43</v>
      </c>
      <c r="B450" s="2" t="str">
        <f t="shared" si="13"/>
        <v>SUPPLY_EAST_B_1_16</v>
      </c>
      <c r="C450" s="223" t="s">
        <v>0</v>
      </c>
      <c r="D450" s="223" t="s">
        <v>18</v>
      </c>
      <c r="E450" s="223" t="s">
        <v>3</v>
      </c>
      <c r="F450" s="224">
        <v>1</v>
      </c>
      <c r="G450" s="332">
        <v>16</v>
      </c>
      <c r="H450" s="195">
        <f>VLOOKUP(B450,'16'!$D$6:$K$119,8,0)</f>
        <v>8</v>
      </c>
    </row>
    <row r="451" spans="1:8" ht="15.75" hidden="1" thickTop="1" x14ac:dyDescent="0.25">
      <c r="A451" s="2">
        <v>43</v>
      </c>
      <c r="B451" s="2" t="str">
        <f t="shared" si="13"/>
        <v>SUPPLY_EAST_E_2_16</v>
      </c>
      <c r="C451" s="223" t="s">
        <v>0</v>
      </c>
      <c r="D451" s="223" t="s">
        <v>18</v>
      </c>
      <c r="E451" s="223" t="s">
        <v>6</v>
      </c>
      <c r="F451" s="224">
        <v>2</v>
      </c>
      <c r="G451" s="332">
        <v>16</v>
      </c>
      <c r="H451" s="195">
        <f>VLOOKUP(B451,'16'!$D$6:$K$119,8,0)</f>
        <v>10</v>
      </c>
    </row>
    <row r="452" spans="1:8" ht="15.75" hidden="1" thickTop="1" x14ac:dyDescent="0.25">
      <c r="A452" s="2">
        <v>43</v>
      </c>
      <c r="B452" s="2" t="str">
        <f t="shared" si="13"/>
        <v>SUPPLY_EAST_D_1_16</v>
      </c>
      <c r="C452" s="223" t="s">
        <v>0</v>
      </c>
      <c r="D452" s="223" t="s">
        <v>18</v>
      </c>
      <c r="E452" s="223" t="s">
        <v>47</v>
      </c>
      <c r="F452" s="224">
        <v>1</v>
      </c>
      <c r="G452" s="332">
        <v>16</v>
      </c>
      <c r="H452" s="195">
        <f>VLOOKUP(B452,'16'!$D$6:$K$119,8,0)</f>
        <v>12</v>
      </c>
    </row>
    <row r="453" spans="1:8" ht="15.75" hidden="1" thickTop="1" x14ac:dyDescent="0.25">
      <c r="A453" s="2">
        <v>43</v>
      </c>
      <c r="B453" s="2" t="str">
        <f t="shared" si="13"/>
        <v>SUPPLY_EAST_K_2_16</v>
      </c>
      <c r="C453" s="223" t="s">
        <v>0</v>
      </c>
      <c r="D453" s="223" t="s">
        <v>18</v>
      </c>
      <c r="E453" s="223" t="s">
        <v>12</v>
      </c>
      <c r="F453" s="224">
        <v>2</v>
      </c>
      <c r="G453" s="332">
        <v>16</v>
      </c>
      <c r="H453" s="195">
        <f>VLOOKUP(B453,'16'!$D$6:$K$119,8,0)</f>
        <v>14</v>
      </c>
    </row>
    <row r="454" spans="1:8" ht="15.75" hidden="1" thickTop="1" x14ac:dyDescent="0.25">
      <c r="A454" s="2">
        <v>43</v>
      </c>
      <c r="B454" s="2" t="str">
        <f t="shared" si="13"/>
        <v>SUPPLY_WEST_H_1_16</v>
      </c>
      <c r="C454" s="223" t="s">
        <v>0</v>
      </c>
      <c r="D454" s="223" t="s">
        <v>19</v>
      </c>
      <c r="E454" s="223" t="s">
        <v>9</v>
      </c>
      <c r="F454" s="224">
        <v>1</v>
      </c>
      <c r="G454" s="332">
        <v>16</v>
      </c>
      <c r="H454" s="195">
        <f>VLOOKUP(B454,'16'!$D$6:$K$119,8,0)</f>
        <v>0</v>
      </c>
    </row>
    <row r="455" spans="1:8" ht="15.75" hidden="1" thickTop="1" x14ac:dyDescent="0.25">
      <c r="A455" s="2">
        <v>43</v>
      </c>
      <c r="B455" s="2" t="str">
        <f t="shared" si="13"/>
        <v>SUPPLY_WEST_P_2_16</v>
      </c>
      <c r="C455" s="223" t="s">
        <v>0</v>
      </c>
      <c r="D455" s="223" t="s">
        <v>19</v>
      </c>
      <c r="E455" s="223" t="s">
        <v>41</v>
      </c>
      <c r="F455" s="224">
        <v>2</v>
      </c>
      <c r="G455" s="332">
        <v>16</v>
      </c>
      <c r="H455" s="195">
        <f>VLOOKUP(B455,'16'!$D$6:$K$119,8,0)</f>
        <v>2</v>
      </c>
    </row>
    <row r="456" spans="1:8" ht="15.75" hidden="1" thickTop="1" x14ac:dyDescent="0.25">
      <c r="A456" s="2">
        <v>43</v>
      </c>
      <c r="B456" s="2" t="str">
        <f t="shared" si="13"/>
        <v>SUPPLY_WEST_O_1_16</v>
      </c>
      <c r="C456" s="223" t="s">
        <v>0</v>
      </c>
      <c r="D456" s="223" t="s">
        <v>19</v>
      </c>
      <c r="E456" s="223" t="s">
        <v>40</v>
      </c>
      <c r="F456" s="224">
        <v>1</v>
      </c>
      <c r="G456" s="332">
        <v>16</v>
      </c>
      <c r="H456" s="195">
        <f>VLOOKUP(B456,'16'!$D$6:$K$119,8,0)</f>
        <v>4</v>
      </c>
    </row>
    <row r="457" spans="1:8" ht="15.75" hidden="1" thickTop="1" x14ac:dyDescent="0.25">
      <c r="A457" s="2">
        <v>43</v>
      </c>
      <c r="B457" s="2" t="str">
        <f t="shared" si="13"/>
        <v>SUPPLY_WEST_L_2_16</v>
      </c>
      <c r="C457" s="223" t="s">
        <v>0</v>
      </c>
      <c r="D457" s="223" t="s">
        <v>19</v>
      </c>
      <c r="E457" s="223" t="s">
        <v>13</v>
      </c>
      <c r="F457" s="224">
        <v>2</v>
      </c>
      <c r="G457" s="332">
        <v>16</v>
      </c>
      <c r="H457" s="195">
        <f>VLOOKUP(B457,'16'!$D$6:$K$119,8,0)</f>
        <v>6</v>
      </c>
    </row>
    <row r="458" spans="1:8" ht="15.75" hidden="1" thickTop="1" x14ac:dyDescent="0.25">
      <c r="A458" s="2">
        <v>43</v>
      </c>
      <c r="B458" s="2" t="str">
        <f t="shared" si="13"/>
        <v>SUPPLY_WEST_N_1_16</v>
      </c>
      <c r="C458" s="223" t="s">
        <v>0</v>
      </c>
      <c r="D458" s="223" t="s">
        <v>19</v>
      </c>
      <c r="E458" s="223" t="s">
        <v>15</v>
      </c>
      <c r="F458" s="224">
        <v>1</v>
      </c>
      <c r="G458" s="332">
        <v>16</v>
      </c>
      <c r="H458" s="195">
        <f>VLOOKUP(B458,'16'!$D$6:$K$119,8,0)</f>
        <v>8</v>
      </c>
    </row>
    <row r="459" spans="1:8" ht="15.75" hidden="1" thickTop="1" x14ac:dyDescent="0.25">
      <c r="A459" s="2">
        <v>43</v>
      </c>
      <c r="B459" s="2" t="str">
        <f t="shared" si="13"/>
        <v>SUPPLY_WEST_J_2_16</v>
      </c>
      <c r="C459" s="223" t="s">
        <v>0</v>
      </c>
      <c r="D459" s="223" t="s">
        <v>19</v>
      </c>
      <c r="E459" s="223" t="s">
        <v>11</v>
      </c>
      <c r="F459" s="224">
        <v>2</v>
      </c>
      <c r="G459" s="332">
        <v>16</v>
      </c>
      <c r="H459" s="195">
        <f>VLOOKUP(B459,'16'!$D$6:$K$119,8,0)</f>
        <v>9</v>
      </c>
    </row>
    <row r="460" spans="1:8" ht="15.75" hidden="1" thickTop="1" x14ac:dyDescent="0.25">
      <c r="A460" s="2">
        <v>43</v>
      </c>
      <c r="B460" s="2" t="str">
        <f t="shared" si="13"/>
        <v>SUPPLY_WEST_Q_1_16</v>
      </c>
      <c r="C460" s="223" t="s">
        <v>0</v>
      </c>
      <c r="D460" s="223" t="s">
        <v>19</v>
      </c>
      <c r="E460" s="223" t="s">
        <v>59</v>
      </c>
      <c r="F460" s="224">
        <v>1</v>
      </c>
      <c r="G460" s="195">
        <v>16</v>
      </c>
      <c r="H460" s="195">
        <f>VLOOKUP(B460,'16'!$D$6:$K$119,8,0)</f>
        <v>11</v>
      </c>
    </row>
    <row r="461" spans="1:8" ht="15.75" hidden="1" thickTop="1" x14ac:dyDescent="0.25">
      <c r="A461" s="2">
        <v>43</v>
      </c>
      <c r="B461" s="2" t="str">
        <f t="shared" si="13"/>
        <v>SUPPLY_WEST_F_2_16</v>
      </c>
      <c r="C461" s="223" t="s">
        <v>0</v>
      </c>
      <c r="D461" s="223" t="s">
        <v>19</v>
      </c>
      <c r="E461" s="223" t="s">
        <v>7</v>
      </c>
      <c r="F461" s="224">
        <v>2</v>
      </c>
      <c r="G461" s="332">
        <v>16</v>
      </c>
      <c r="H461" s="195">
        <f>VLOOKUP(B461,'16'!$D$6:$K$119,8,0)</f>
        <v>12</v>
      </c>
    </row>
    <row r="462" spans="1:8" ht="15.75" hidden="1" thickTop="1" x14ac:dyDescent="0.25">
      <c r="A462" s="2">
        <v>43</v>
      </c>
      <c r="B462" s="2" t="str">
        <f t="shared" si="13"/>
        <v>SUPPLY_WEST_M_1_16</v>
      </c>
      <c r="C462" s="223" t="s">
        <v>0</v>
      </c>
      <c r="D462" s="223" t="s">
        <v>19</v>
      </c>
      <c r="E462" s="223" t="s">
        <v>14</v>
      </c>
      <c r="F462" s="224">
        <v>1</v>
      </c>
      <c r="G462" s="332">
        <v>16</v>
      </c>
      <c r="H462" s="195">
        <f>VLOOKUP(B462,'16'!$D$6:$K$119,8,0)</f>
        <v>14</v>
      </c>
    </row>
    <row r="463" spans="1:8" ht="15.75" hidden="1" thickTop="1" x14ac:dyDescent="0.25">
      <c r="A463" s="2">
        <v>43</v>
      </c>
      <c r="B463" s="2" t="str">
        <f t="shared" si="13"/>
        <v>EMPTY_EAST_UNP_1_16</v>
      </c>
      <c r="C463" s="223" t="s">
        <v>32</v>
      </c>
      <c r="D463" s="223" t="s">
        <v>18</v>
      </c>
      <c r="E463" s="223" t="s">
        <v>42</v>
      </c>
      <c r="F463" s="224">
        <v>1</v>
      </c>
      <c r="G463" s="332">
        <v>16</v>
      </c>
      <c r="H463" s="195">
        <f>VLOOKUP(B463,'16'!$D$6:$K$119,8,0)</f>
        <v>12</v>
      </c>
    </row>
    <row r="464" spans="1:8" ht="15.75" hidden="1" thickTop="1" x14ac:dyDescent="0.25">
      <c r="A464" s="2">
        <v>43</v>
      </c>
      <c r="B464" s="2" t="str">
        <f t="shared" si="13"/>
        <v>EMPTY_EAST_A_2_16</v>
      </c>
      <c r="C464" s="223" t="s">
        <v>32</v>
      </c>
      <c r="D464" s="223" t="s">
        <v>18</v>
      </c>
      <c r="E464" s="352" t="s">
        <v>2</v>
      </c>
      <c r="F464" s="224">
        <v>2</v>
      </c>
      <c r="G464" s="332">
        <v>16</v>
      </c>
      <c r="H464" s="195">
        <f>VLOOKUP(B464,'16'!$D$6:$K$119,8,0)</f>
        <v>13</v>
      </c>
    </row>
    <row r="465" spans="1:8" ht="15.75" hidden="1" thickTop="1" x14ac:dyDescent="0.25">
      <c r="A465" s="2">
        <v>43</v>
      </c>
      <c r="B465" s="2" t="str">
        <f t="shared" si="13"/>
        <v>EMPTY_EAST_C/U_1_16</v>
      </c>
      <c r="C465" s="223" t="s">
        <v>32</v>
      </c>
      <c r="D465" s="223" t="s">
        <v>18</v>
      </c>
      <c r="E465" s="352" t="s">
        <v>67</v>
      </c>
      <c r="F465" s="224">
        <v>1</v>
      </c>
      <c r="G465" s="332">
        <v>16</v>
      </c>
      <c r="H465" s="195">
        <f>VLOOKUP(B465,'16'!$D$6:$K$119,8,0)</f>
        <v>14</v>
      </c>
    </row>
    <row r="466" spans="1:8" ht="15.75" hidden="1" thickTop="1" x14ac:dyDescent="0.25">
      <c r="A466" s="2">
        <v>43</v>
      </c>
      <c r="B466" s="2" t="str">
        <f t="shared" si="13"/>
        <v>EMPTY_EAST_C_2_16</v>
      </c>
      <c r="C466" s="223" t="s">
        <v>32</v>
      </c>
      <c r="D466" s="223" t="s">
        <v>18</v>
      </c>
      <c r="E466" s="223" t="s">
        <v>4</v>
      </c>
      <c r="F466" s="224">
        <v>2</v>
      </c>
      <c r="G466" s="332">
        <v>16</v>
      </c>
      <c r="H466" s="195">
        <f>VLOOKUP(B466,'16'!$D$6:$K$119,8,0)</f>
        <v>15</v>
      </c>
    </row>
    <row r="467" spans="1:8" ht="15.75" hidden="1" thickTop="1" x14ac:dyDescent="0.25">
      <c r="A467" s="2">
        <v>43</v>
      </c>
      <c r="B467" s="2" t="str">
        <f t="shared" si="13"/>
        <v>EMPTY_EAST_I_1_16</v>
      </c>
      <c r="C467" s="223" t="s">
        <v>32</v>
      </c>
      <c r="D467" s="223" t="s">
        <v>18</v>
      </c>
      <c r="E467" s="223" t="s">
        <v>10</v>
      </c>
      <c r="F467" s="224">
        <v>1</v>
      </c>
      <c r="G467" s="332">
        <v>16</v>
      </c>
      <c r="H467" s="195">
        <f>VLOOKUP(B467,'16'!$D$6:$K$119,8,0)</f>
        <v>17</v>
      </c>
    </row>
    <row r="468" spans="1:8" ht="15.75" hidden="1" thickTop="1" x14ac:dyDescent="0.25">
      <c r="A468" s="2">
        <v>43</v>
      </c>
      <c r="B468" s="2" t="str">
        <f t="shared" si="13"/>
        <v>EMPTY_EAST_G_2_16</v>
      </c>
      <c r="C468" s="223" t="s">
        <v>32</v>
      </c>
      <c r="D468" s="223" t="s">
        <v>18</v>
      </c>
      <c r="E468" s="223" t="s">
        <v>8</v>
      </c>
      <c r="F468" s="224">
        <v>2</v>
      </c>
      <c r="G468" s="332">
        <v>16</v>
      </c>
      <c r="H468" s="195">
        <f>VLOOKUP(B468,'16'!$D$6:$K$119,8,0)</f>
        <v>19</v>
      </c>
    </row>
    <row r="469" spans="1:8" ht="15.75" hidden="1" thickTop="1" x14ac:dyDescent="0.25">
      <c r="A469" s="2">
        <v>43</v>
      </c>
      <c r="B469" s="2" t="str">
        <f t="shared" si="13"/>
        <v>EMPTY_EAST_B_1_16</v>
      </c>
      <c r="C469" s="223" t="s">
        <v>32</v>
      </c>
      <c r="D469" s="223" t="s">
        <v>18</v>
      </c>
      <c r="E469" s="223" t="s">
        <v>3</v>
      </c>
      <c r="F469" s="224">
        <v>1</v>
      </c>
      <c r="G469" s="332">
        <v>16</v>
      </c>
      <c r="H469" s="195">
        <f>VLOOKUP(B469,'16'!$D$6:$K$119,8,0)</f>
        <v>21</v>
      </c>
    </row>
    <row r="470" spans="1:8" ht="15.75" hidden="1" thickTop="1" x14ac:dyDescent="0.25">
      <c r="A470" s="2">
        <v>43</v>
      </c>
      <c r="B470" s="2" t="str">
        <f t="shared" si="13"/>
        <v>EMPTY_EAST_E_2_16</v>
      </c>
      <c r="C470" s="223" t="s">
        <v>32</v>
      </c>
      <c r="D470" s="223" t="s">
        <v>18</v>
      </c>
      <c r="E470" s="223" t="s">
        <v>6</v>
      </c>
      <c r="F470" s="224">
        <v>2</v>
      </c>
      <c r="G470" s="332">
        <v>16</v>
      </c>
      <c r="H470" s="195">
        <f>VLOOKUP(B470,'16'!$D$6:$K$119,8,0)</f>
        <v>23</v>
      </c>
    </row>
    <row r="471" spans="1:8" ht="15.75" hidden="1" thickTop="1" x14ac:dyDescent="0.25">
      <c r="A471" s="2">
        <v>43</v>
      </c>
      <c r="B471" s="2" t="str">
        <f t="shared" si="13"/>
        <v>EMPTY_EAST_D_1_16</v>
      </c>
      <c r="C471" s="223" t="s">
        <v>32</v>
      </c>
      <c r="D471" s="223" t="s">
        <v>18</v>
      </c>
      <c r="E471" s="223" t="s">
        <v>47</v>
      </c>
      <c r="F471" s="224">
        <v>1</v>
      </c>
      <c r="G471" s="332">
        <v>16</v>
      </c>
      <c r="H471" s="195">
        <f>VLOOKUP(B471,'16'!$D$6:$K$119,8,0)</f>
        <v>25</v>
      </c>
    </row>
    <row r="472" spans="1:8" ht="15.75" hidden="1" thickTop="1" x14ac:dyDescent="0.25">
      <c r="A472" s="2">
        <v>43</v>
      </c>
      <c r="B472" s="2" t="str">
        <f t="shared" si="13"/>
        <v>EMPTY_EAST_K_2_16</v>
      </c>
      <c r="C472" s="223" t="s">
        <v>32</v>
      </c>
      <c r="D472" s="223" t="s">
        <v>18</v>
      </c>
      <c r="E472" s="223" t="s">
        <v>12</v>
      </c>
      <c r="F472" s="224">
        <v>2</v>
      </c>
      <c r="G472" s="332">
        <v>16</v>
      </c>
      <c r="H472" s="195">
        <f>VLOOKUP(B472,'16'!$D$6:$K$119,8,0)</f>
        <v>27</v>
      </c>
    </row>
    <row r="473" spans="1:8" ht="15.75" hidden="1" thickTop="1" x14ac:dyDescent="0.25">
      <c r="A473" s="2">
        <v>43</v>
      </c>
      <c r="B473" s="2" t="str">
        <f t="shared" si="13"/>
        <v>EMPTY_WEST_H_1_16</v>
      </c>
      <c r="C473" s="223" t="s">
        <v>32</v>
      </c>
      <c r="D473" s="223" t="s">
        <v>19</v>
      </c>
      <c r="E473" s="223" t="s">
        <v>9</v>
      </c>
      <c r="F473" s="224">
        <v>1</v>
      </c>
      <c r="G473" s="332">
        <v>16</v>
      </c>
      <c r="H473" s="195">
        <f>VLOOKUP(B473,'16'!$D$6:$K$119,8,0)</f>
        <v>12</v>
      </c>
    </row>
    <row r="474" spans="1:8" ht="15.75" hidden="1" thickTop="1" x14ac:dyDescent="0.25">
      <c r="A474" s="2">
        <v>43</v>
      </c>
      <c r="B474" s="2" t="str">
        <f t="shared" si="13"/>
        <v>EMPTY_WEST_P_2_16</v>
      </c>
      <c r="C474" s="223" t="s">
        <v>32</v>
      </c>
      <c r="D474" s="223" t="s">
        <v>19</v>
      </c>
      <c r="E474" s="223" t="s">
        <v>41</v>
      </c>
      <c r="F474" s="224">
        <v>2</v>
      </c>
      <c r="G474" s="332">
        <v>16</v>
      </c>
      <c r="H474" s="195">
        <f>VLOOKUP(B474,'16'!$D$6:$K$119,8,0)</f>
        <v>14</v>
      </c>
    </row>
    <row r="475" spans="1:8" ht="15.75" hidden="1" thickTop="1" x14ac:dyDescent="0.25">
      <c r="A475" s="2">
        <v>43</v>
      </c>
      <c r="B475" s="2" t="str">
        <f t="shared" si="13"/>
        <v>EMPTY_WEST_O_1_16</v>
      </c>
      <c r="C475" s="223" t="s">
        <v>32</v>
      </c>
      <c r="D475" s="223" t="s">
        <v>19</v>
      </c>
      <c r="E475" s="223" t="s">
        <v>40</v>
      </c>
      <c r="F475" s="224">
        <v>1</v>
      </c>
      <c r="G475" s="332">
        <v>16</v>
      </c>
      <c r="H475" s="195">
        <f>VLOOKUP(B475,'16'!$D$6:$K$119,8,0)</f>
        <v>16</v>
      </c>
    </row>
    <row r="476" spans="1:8" ht="15.75" hidden="1" thickTop="1" x14ac:dyDescent="0.25">
      <c r="A476" s="2">
        <v>43</v>
      </c>
      <c r="B476" s="2" t="str">
        <f t="shared" si="13"/>
        <v>EMPTY_WEST_L_2_16</v>
      </c>
      <c r="C476" s="223" t="s">
        <v>32</v>
      </c>
      <c r="D476" s="223" t="s">
        <v>19</v>
      </c>
      <c r="E476" s="223" t="s">
        <v>13</v>
      </c>
      <c r="F476" s="224">
        <v>2</v>
      </c>
      <c r="G476" s="332">
        <v>16</v>
      </c>
      <c r="H476" s="195">
        <f>VLOOKUP(B476,'16'!$D$6:$K$119,8,0)</f>
        <v>18</v>
      </c>
    </row>
    <row r="477" spans="1:8" ht="15.75" hidden="1" thickTop="1" x14ac:dyDescent="0.25">
      <c r="A477" s="2">
        <v>43</v>
      </c>
      <c r="B477" s="2" t="str">
        <f t="shared" si="13"/>
        <v>EMPTY_WEST_N_1_16</v>
      </c>
      <c r="C477" s="223" t="s">
        <v>32</v>
      </c>
      <c r="D477" s="223" t="s">
        <v>19</v>
      </c>
      <c r="E477" s="223" t="s">
        <v>15</v>
      </c>
      <c r="F477" s="224">
        <v>1</v>
      </c>
      <c r="G477" s="332">
        <v>16</v>
      </c>
      <c r="H477" s="195">
        <f>VLOOKUP(B477,'16'!$D$6:$K$119,8,0)</f>
        <v>20</v>
      </c>
    </row>
    <row r="478" spans="1:8" ht="15.75" hidden="1" thickTop="1" x14ac:dyDescent="0.25">
      <c r="A478" s="2">
        <v>43</v>
      </c>
      <c r="B478" s="2" t="str">
        <f t="shared" ref="B478:B541" si="14">C478&amp;"_"&amp;D478&amp;"_"&amp;E478&amp;"_"&amp;F478&amp;"_"&amp;G478</f>
        <v>EMPTY_WEST_J_2_16</v>
      </c>
      <c r="C478" s="223" t="s">
        <v>32</v>
      </c>
      <c r="D478" s="223" t="s">
        <v>19</v>
      </c>
      <c r="E478" s="223" t="s">
        <v>11</v>
      </c>
      <c r="F478" s="224">
        <v>2</v>
      </c>
      <c r="G478" s="332">
        <v>16</v>
      </c>
      <c r="H478" s="195">
        <f>VLOOKUP(B478,'16'!$D$6:$K$119,8,0)</f>
        <v>22</v>
      </c>
    </row>
    <row r="479" spans="1:8" ht="15.75" hidden="1" thickTop="1" x14ac:dyDescent="0.25">
      <c r="A479" s="2">
        <v>43</v>
      </c>
      <c r="B479" s="2" t="str">
        <f t="shared" si="14"/>
        <v>EMPTY_WEST_Q_1_16</v>
      </c>
      <c r="C479" s="223" t="s">
        <v>32</v>
      </c>
      <c r="D479" s="223" t="s">
        <v>19</v>
      </c>
      <c r="E479" s="223" t="s">
        <v>59</v>
      </c>
      <c r="F479" s="224">
        <v>1</v>
      </c>
      <c r="G479" s="195">
        <v>16</v>
      </c>
      <c r="H479" s="195">
        <f>VLOOKUP(B479,'16'!$D$6:$K$119,8,0)</f>
        <v>24</v>
      </c>
    </row>
    <row r="480" spans="1:8" ht="15.75" hidden="1" thickTop="1" x14ac:dyDescent="0.25">
      <c r="A480" s="2">
        <v>43</v>
      </c>
      <c r="B480" s="2" t="str">
        <f t="shared" si="14"/>
        <v>EMPTY_WEST_F_2_16</v>
      </c>
      <c r="C480" s="223" t="s">
        <v>32</v>
      </c>
      <c r="D480" s="223" t="s">
        <v>19</v>
      </c>
      <c r="E480" s="223" t="s">
        <v>7</v>
      </c>
      <c r="F480" s="224">
        <v>2</v>
      </c>
      <c r="G480" s="332">
        <v>16</v>
      </c>
      <c r="H480" s="195">
        <f>VLOOKUP(B480,'16'!$D$6:$K$119,8,0)</f>
        <v>25</v>
      </c>
    </row>
    <row r="481" spans="1:8" ht="15.75" hidden="1" thickTop="1" x14ac:dyDescent="0.25">
      <c r="A481" s="2">
        <v>43</v>
      </c>
      <c r="B481" s="2" t="str">
        <f t="shared" si="14"/>
        <v>EMPTY_WEST_M_1_16</v>
      </c>
      <c r="C481" s="223" t="s">
        <v>32</v>
      </c>
      <c r="D481" s="223" t="s">
        <v>19</v>
      </c>
      <c r="E481" s="223" t="s">
        <v>14</v>
      </c>
      <c r="F481" s="224">
        <v>1</v>
      </c>
      <c r="G481" s="332">
        <v>16</v>
      </c>
      <c r="H481" s="195">
        <f>VLOOKUP(B481,'16'!$D$6:$K$119,8,0)</f>
        <v>26</v>
      </c>
    </row>
    <row r="482" spans="1:8" ht="15.75" hidden="1" thickTop="1" x14ac:dyDescent="0.25">
      <c r="A482" s="2">
        <v>43</v>
      </c>
      <c r="B482" s="2" t="str">
        <f t="shared" si="14"/>
        <v>SORTING_EAST_UNP_1_17</v>
      </c>
      <c r="C482" s="223" t="s">
        <v>45</v>
      </c>
      <c r="D482" s="223" t="s">
        <v>18</v>
      </c>
      <c r="E482" s="223" t="s">
        <v>42</v>
      </c>
      <c r="F482" s="224">
        <v>1</v>
      </c>
      <c r="G482" s="332">
        <v>17</v>
      </c>
      <c r="H482" s="195">
        <f>VLOOKUP(B482,'17'!$D$7:$K$120,8,0)</f>
        <v>0</v>
      </c>
    </row>
    <row r="483" spans="1:8" ht="15.75" hidden="1" thickTop="1" x14ac:dyDescent="0.25">
      <c r="A483" s="2">
        <v>43</v>
      </c>
      <c r="B483" s="2" t="str">
        <f t="shared" si="14"/>
        <v>SORTING_EAST_A_2_17</v>
      </c>
      <c r="C483" s="223" t="s">
        <v>45</v>
      </c>
      <c r="D483" s="223" t="s">
        <v>18</v>
      </c>
      <c r="E483" s="352" t="s">
        <v>2</v>
      </c>
      <c r="F483" s="224">
        <v>2</v>
      </c>
      <c r="G483" s="332">
        <v>17</v>
      </c>
      <c r="H483" s="195">
        <f>VLOOKUP(B483,'17'!$D$7:$K$120,8,0)</f>
        <v>1</v>
      </c>
    </row>
    <row r="484" spans="1:8" ht="15.75" hidden="1" thickTop="1" x14ac:dyDescent="0.25">
      <c r="A484" s="2">
        <v>43</v>
      </c>
      <c r="B484" s="2" t="str">
        <f t="shared" si="14"/>
        <v>SORTING_EAST_C/U_1_17</v>
      </c>
      <c r="C484" s="223" t="s">
        <v>45</v>
      </c>
      <c r="D484" s="223" t="s">
        <v>18</v>
      </c>
      <c r="E484" s="352" t="s">
        <v>67</v>
      </c>
      <c r="F484" s="224">
        <v>1</v>
      </c>
      <c r="G484" s="332">
        <v>17</v>
      </c>
      <c r="H484" s="195">
        <f>VLOOKUP(B484,'17'!$D$7:$K$120,8,0)</f>
        <v>2</v>
      </c>
    </row>
    <row r="485" spans="1:8" ht="15.75" hidden="1" thickTop="1" x14ac:dyDescent="0.25">
      <c r="A485" s="2">
        <v>43</v>
      </c>
      <c r="B485" s="2" t="str">
        <f t="shared" si="14"/>
        <v>SORTING_EAST_C_2_17</v>
      </c>
      <c r="C485" s="223" t="s">
        <v>45</v>
      </c>
      <c r="D485" s="223" t="s">
        <v>18</v>
      </c>
      <c r="E485" s="223" t="s">
        <v>4</v>
      </c>
      <c r="F485" s="224">
        <v>2</v>
      </c>
      <c r="G485" s="332">
        <v>17</v>
      </c>
      <c r="H485" s="195">
        <f>VLOOKUP(B485,'17'!$D$7:$K$120,8,0)</f>
        <v>3</v>
      </c>
    </row>
    <row r="486" spans="1:8" ht="15.75" hidden="1" thickTop="1" x14ac:dyDescent="0.25">
      <c r="A486" s="2">
        <v>43</v>
      </c>
      <c r="B486" s="2" t="str">
        <f t="shared" si="14"/>
        <v>SORTING_EAST_I_1_17</v>
      </c>
      <c r="C486" s="223" t="s">
        <v>45</v>
      </c>
      <c r="D486" s="223" t="s">
        <v>18</v>
      </c>
      <c r="E486" s="223" t="s">
        <v>10</v>
      </c>
      <c r="F486" s="224">
        <v>1</v>
      </c>
      <c r="G486" s="332">
        <v>17</v>
      </c>
      <c r="H486" s="195">
        <f>VLOOKUP(B486,'17'!$D$7:$K$120,8,0)</f>
        <v>5</v>
      </c>
    </row>
    <row r="487" spans="1:8" ht="15.75" hidden="1" thickTop="1" x14ac:dyDescent="0.25">
      <c r="A487" s="2">
        <v>43</v>
      </c>
      <c r="B487" s="2" t="str">
        <f t="shared" si="14"/>
        <v>SORTING_EAST_G_2_17</v>
      </c>
      <c r="C487" s="223" t="s">
        <v>45</v>
      </c>
      <c r="D487" s="223" t="s">
        <v>18</v>
      </c>
      <c r="E487" s="223" t="s">
        <v>8</v>
      </c>
      <c r="F487" s="224">
        <v>2</v>
      </c>
      <c r="G487" s="332">
        <v>17</v>
      </c>
      <c r="H487" s="195">
        <f>VLOOKUP(B487,'17'!$D$7:$K$120,8,0)</f>
        <v>7</v>
      </c>
    </row>
    <row r="488" spans="1:8" ht="15.75" hidden="1" thickTop="1" x14ac:dyDescent="0.25">
      <c r="A488" s="2">
        <v>43</v>
      </c>
      <c r="B488" s="2" t="str">
        <f t="shared" si="14"/>
        <v>SORTING_EAST_B_1_17</v>
      </c>
      <c r="C488" s="223" t="s">
        <v>45</v>
      </c>
      <c r="D488" s="223" t="s">
        <v>18</v>
      </c>
      <c r="E488" s="223" t="s">
        <v>3</v>
      </c>
      <c r="F488" s="224">
        <v>1</v>
      </c>
      <c r="G488" s="332">
        <v>17</v>
      </c>
      <c r="H488" s="195">
        <f>VLOOKUP(B488,'17'!$D$7:$K$120,8,0)</f>
        <v>9</v>
      </c>
    </row>
    <row r="489" spans="1:8" ht="15.75" hidden="1" thickTop="1" x14ac:dyDescent="0.25">
      <c r="A489" s="2">
        <v>43</v>
      </c>
      <c r="B489" s="2" t="str">
        <f t="shared" si="14"/>
        <v>SORTING_EAST_E_2_17</v>
      </c>
      <c r="C489" s="223" t="s">
        <v>45</v>
      </c>
      <c r="D489" s="223" t="s">
        <v>18</v>
      </c>
      <c r="E489" s="223" t="s">
        <v>6</v>
      </c>
      <c r="F489" s="224">
        <v>2</v>
      </c>
      <c r="G489" s="332">
        <v>17</v>
      </c>
      <c r="H489" s="195">
        <f>VLOOKUP(B489,'17'!$D$7:$K$120,8,0)</f>
        <v>11</v>
      </c>
    </row>
    <row r="490" spans="1:8" ht="15.75" hidden="1" thickTop="1" x14ac:dyDescent="0.25">
      <c r="A490" s="2">
        <v>43</v>
      </c>
      <c r="B490" s="2" t="str">
        <f t="shared" si="14"/>
        <v>SORTING_EAST_D_1_17</v>
      </c>
      <c r="C490" s="223" t="s">
        <v>45</v>
      </c>
      <c r="D490" s="223" t="s">
        <v>18</v>
      </c>
      <c r="E490" s="223" t="s">
        <v>47</v>
      </c>
      <c r="F490" s="224">
        <v>1</v>
      </c>
      <c r="G490" s="332">
        <v>17</v>
      </c>
      <c r="H490" s="195">
        <f>VLOOKUP(B490,'17'!$D$7:$K$120,8,0)</f>
        <v>13</v>
      </c>
    </row>
    <row r="491" spans="1:8" ht="15.75" hidden="1" thickTop="1" x14ac:dyDescent="0.25">
      <c r="A491" s="2">
        <v>43</v>
      </c>
      <c r="B491" s="2" t="str">
        <f t="shared" si="14"/>
        <v>SORTING_EAST_K_2_17</v>
      </c>
      <c r="C491" s="223" t="s">
        <v>45</v>
      </c>
      <c r="D491" s="223" t="s">
        <v>18</v>
      </c>
      <c r="E491" s="223" t="s">
        <v>12</v>
      </c>
      <c r="F491" s="224">
        <v>2</v>
      </c>
      <c r="G491" s="332">
        <v>17</v>
      </c>
      <c r="H491" s="195">
        <f>VLOOKUP(B491,'17'!$D$7:$K$120,8,0)</f>
        <v>15</v>
      </c>
    </row>
    <row r="492" spans="1:8" ht="15.75" hidden="1" thickTop="1" x14ac:dyDescent="0.25">
      <c r="A492" s="2">
        <v>43</v>
      </c>
      <c r="B492" s="2" t="str">
        <f t="shared" si="14"/>
        <v>SORTING_WEST_H_1_17</v>
      </c>
      <c r="C492" s="223" t="s">
        <v>45</v>
      </c>
      <c r="D492" s="223" t="s">
        <v>19</v>
      </c>
      <c r="E492" s="223" t="s">
        <v>9</v>
      </c>
      <c r="F492" s="224">
        <v>1</v>
      </c>
      <c r="G492" s="332">
        <v>17</v>
      </c>
      <c r="H492" s="195">
        <f>VLOOKUP(B492,'17'!$D$7:$K$120,8,0)</f>
        <v>0</v>
      </c>
    </row>
    <row r="493" spans="1:8" ht="15.75" hidden="1" thickTop="1" x14ac:dyDescent="0.25">
      <c r="A493" s="2">
        <v>43</v>
      </c>
      <c r="B493" s="2" t="str">
        <f t="shared" si="14"/>
        <v>SORTING_WEST_P_2_17</v>
      </c>
      <c r="C493" s="223" t="s">
        <v>45</v>
      </c>
      <c r="D493" s="223" t="s">
        <v>19</v>
      </c>
      <c r="E493" s="223" t="s">
        <v>41</v>
      </c>
      <c r="F493" s="224">
        <v>2</v>
      </c>
      <c r="G493" s="332">
        <v>17</v>
      </c>
      <c r="H493" s="195">
        <f>VLOOKUP(B493,'17'!$D$7:$K$120,8,0)</f>
        <v>2</v>
      </c>
    </row>
    <row r="494" spans="1:8" ht="15.75" hidden="1" thickTop="1" x14ac:dyDescent="0.25">
      <c r="A494" s="2">
        <v>43</v>
      </c>
      <c r="B494" s="2" t="str">
        <f t="shared" si="14"/>
        <v>SORTING_WEST_O_1_17</v>
      </c>
      <c r="C494" s="223" t="s">
        <v>45</v>
      </c>
      <c r="D494" s="223" t="s">
        <v>19</v>
      </c>
      <c r="E494" s="223" t="s">
        <v>40</v>
      </c>
      <c r="F494" s="224">
        <v>1</v>
      </c>
      <c r="G494" s="332">
        <v>17</v>
      </c>
      <c r="H494" s="195">
        <f>VLOOKUP(B494,'17'!$D$7:$K$120,8,0)</f>
        <v>4</v>
      </c>
    </row>
    <row r="495" spans="1:8" ht="15.75" hidden="1" thickTop="1" x14ac:dyDescent="0.25">
      <c r="A495" s="2">
        <v>43</v>
      </c>
      <c r="B495" s="2" t="str">
        <f t="shared" si="14"/>
        <v>SORTING_WEST_L_2_17</v>
      </c>
      <c r="C495" s="223" t="s">
        <v>45</v>
      </c>
      <c r="D495" s="223" t="s">
        <v>19</v>
      </c>
      <c r="E495" s="223" t="s">
        <v>13</v>
      </c>
      <c r="F495" s="224">
        <v>2</v>
      </c>
      <c r="G495" s="332">
        <v>17</v>
      </c>
      <c r="H495" s="195">
        <f>VLOOKUP(B495,'17'!$D$7:$K$120,8,0)</f>
        <v>6</v>
      </c>
    </row>
    <row r="496" spans="1:8" ht="15.75" hidden="1" thickTop="1" x14ac:dyDescent="0.25">
      <c r="A496" s="2">
        <v>43</v>
      </c>
      <c r="B496" s="2" t="str">
        <f t="shared" si="14"/>
        <v>SORTING_WEST_N_1_17</v>
      </c>
      <c r="C496" s="223" t="s">
        <v>45</v>
      </c>
      <c r="D496" s="223" t="s">
        <v>19</v>
      </c>
      <c r="E496" s="223" t="s">
        <v>15</v>
      </c>
      <c r="F496" s="224">
        <v>1</v>
      </c>
      <c r="G496" s="332">
        <v>17</v>
      </c>
      <c r="H496" s="195">
        <f>VLOOKUP(B496,'17'!$D$7:$K$120,8,0)</f>
        <v>8</v>
      </c>
    </row>
    <row r="497" spans="1:8" ht="15.75" hidden="1" thickTop="1" x14ac:dyDescent="0.25">
      <c r="A497" s="2">
        <v>43</v>
      </c>
      <c r="B497" s="2" t="str">
        <f t="shared" si="14"/>
        <v>SORTING_WEST_J_2_17</v>
      </c>
      <c r="C497" s="223" t="s">
        <v>45</v>
      </c>
      <c r="D497" s="223" t="s">
        <v>19</v>
      </c>
      <c r="E497" s="223" t="s">
        <v>11</v>
      </c>
      <c r="F497" s="224">
        <v>2</v>
      </c>
      <c r="G497" s="332">
        <v>17</v>
      </c>
      <c r="H497" s="195">
        <f>VLOOKUP(B497,'17'!$D$7:$K$120,8,0)</f>
        <v>10</v>
      </c>
    </row>
    <row r="498" spans="1:8" ht="15.75" hidden="1" thickTop="1" x14ac:dyDescent="0.25">
      <c r="A498" s="2">
        <v>43</v>
      </c>
      <c r="B498" s="2" t="str">
        <f t="shared" si="14"/>
        <v>SORTING_WEST_Q_1_17</v>
      </c>
      <c r="C498" s="223" t="s">
        <v>45</v>
      </c>
      <c r="D498" s="223" t="s">
        <v>19</v>
      </c>
      <c r="E498" s="223" t="s">
        <v>59</v>
      </c>
      <c r="F498" s="224">
        <v>1</v>
      </c>
      <c r="G498" s="195">
        <v>17</v>
      </c>
      <c r="H498" s="195">
        <f>VLOOKUP(B498,'17'!$D$7:$K$120,8,0)</f>
        <v>12</v>
      </c>
    </row>
    <row r="499" spans="1:8" ht="15.75" hidden="1" thickTop="1" x14ac:dyDescent="0.25">
      <c r="A499" s="2">
        <v>43</v>
      </c>
      <c r="B499" s="2" t="str">
        <f t="shared" si="14"/>
        <v>SORTING_WEST_F_2_17</v>
      </c>
      <c r="C499" s="223" t="s">
        <v>45</v>
      </c>
      <c r="D499" s="223" t="s">
        <v>19</v>
      </c>
      <c r="E499" s="223" t="s">
        <v>7</v>
      </c>
      <c r="F499" s="224">
        <v>2</v>
      </c>
      <c r="G499" s="332">
        <v>17</v>
      </c>
      <c r="H499" s="195">
        <f>VLOOKUP(B499,'17'!$D$7:$K$120,8,0)</f>
        <v>13</v>
      </c>
    </row>
    <row r="500" spans="1:8" ht="15.75" hidden="1" thickTop="1" x14ac:dyDescent="0.25">
      <c r="A500" s="2">
        <v>43</v>
      </c>
      <c r="B500" s="2" t="str">
        <f t="shared" si="14"/>
        <v>SORTING_WEST_M_1_17</v>
      </c>
      <c r="C500" s="223" t="s">
        <v>45</v>
      </c>
      <c r="D500" s="223" t="s">
        <v>19</v>
      </c>
      <c r="E500" s="223" t="s">
        <v>14</v>
      </c>
      <c r="F500" s="224">
        <v>1</v>
      </c>
      <c r="G500" s="332">
        <v>17</v>
      </c>
      <c r="H500" s="195">
        <f>VLOOKUP(B500,'17'!$D$7:$K$120,8,0)</f>
        <v>15</v>
      </c>
    </row>
    <row r="501" spans="1:8" ht="15.75" hidden="1" thickTop="1" x14ac:dyDescent="0.25">
      <c r="A501" s="2">
        <v>43</v>
      </c>
      <c r="B501" s="2" t="str">
        <f t="shared" si="14"/>
        <v>TRANSFER_EAST_UNP_1_17</v>
      </c>
      <c r="C501" s="223" t="s">
        <v>21</v>
      </c>
      <c r="D501" s="223" t="s">
        <v>18</v>
      </c>
      <c r="E501" s="223" t="s">
        <v>42</v>
      </c>
      <c r="F501" s="224">
        <v>1</v>
      </c>
      <c r="G501" s="332">
        <v>17</v>
      </c>
      <c r="H501" s="195">
        <f>VLOOKUP(B501,'17'!$D$7:$K$120,8,0)</f>
        <v>1</v>
      </c>
    </row>
    <row r="502" spans="1:8" ht="15.75" hidden="1" thickTop="1" x14ac:dyDescent="0.25">
      <c r="A502" s="2">
        <v>43</v>
      </c>
      <c r="B502" s="2" t="str">
        <f t="shared" si="14"/>
        <v>TRANSFER_EAST_A_2_17</v>
      </c>
      <c r="C502" s="223" t="s">
        <v>21</v>
      </c>
      <c r="D502" s="223" t="s">
        <v>18</v>
      </c>
      <c r="E502" s="352" t="s">
        <v>2</v>
      </c>
      <c r="F502" s="224">
        <v>2</v>
      </c>
      <c r="G502" s="332">
        <v>17</v>
      </c>
      <c r="H502" s="195">
        <f>VLOOKUP(B502,'17'!$D$7:$K$120,8,0)</f>
        <v>2</v>
      </c>
    </row>
    <row r="503" spans="1:8" ht="15.75" hidden="1" thickTop="1" x14ac:dyDescent="0.25">
      <c r="A503" s="2">
        <v>43</v>
      </c>
      <c r="B503" s="2" t="str">
        <f t="shared" si="14"/>
        <v>TRANSFER_EAST_C/U_1_17</v>
      </c>
      <c r="C503" s="223" t="s">
        <v>21</v>
      </c>
      <c r="D503" s="223" t="s">
        <v>18</v>
      </c>
      <c r="E503" s="352" t="s">
        <v>67</v>
      </c>
      <c r="F503" s="224">
        <v>1</v>
      </c>
      <c r="G503" s="332">
        <v>17</v>
      </c>
      <c r="H503" s="195">
        <f>VLOOKUP(B503,'17'!$D$7:$K$120,8,0)</f>
        <v>3</v>
      </c>
    </row>
    <row r="504" spans="1:8" ht="15.75" hidden="1" thickTop="1" x14ac:dyDescent="0.25">
      <c r="A504" s="2">
        <v>43</v>
      </c>
      <c r="B504" s="2" t="str">
        <f t="shared" si="14"/>
        <v>TRANSFER_EAST_C_2_17</v>
      </c>
      <c r="C504" s="223" t="s">
        <v>21</v>
      </c>
      <c r="D504" s="223" t="s">
        <v>18</v>
      </c>
      <c r="E504" s="223" t="s">
        <v>4</v>
      </c>
      <c r="F504" s="224">
        <v>2</v>
      </c>
      <c r="G504" s="332">
        <v>17</v>
      </c>
      <c r="H504" s="195">
        <f>VLOOKUP(B504,'17'!$D$7:$K$120,8,0)</f>
        <v>5</v>
      </c>
    </row>
    <row r="505" spans="1:8" ht="15.75" hidden="1" thickTop="1" x14ac:dyDescent="0.25">
      <c r="A505" s="2">
        <v>43</v>
      </c>
      <c r="B505" s="2" t="str">
        <f t="shared" si="14"/>
        <v>TRANSFER_EAST_I_1_17</v>
      </c>
      <c r="C505" s="223" t="s">
        <v>21</v>
      </c>
      <c r="D505" s="223" t="s">
        <v>18</v>
      </c>
      <c r="E505" s="223" t="s">
        <v>10</v>
      </c>
      <c r="F505" s="224">
        <v>1</v>
      </c>
      <c r="G505" s="332">
        <v>17</v>
      </c>
      <c r="H505" s="195">
        <f>VLOOKUP(B505,'17'!$D$7:$K$120,8,0)</f>
        <v>7</v>
      </c>
    </row>
    <row r="506" spans="1:8" ht="15.75" hidden="1" thickTop="1" x14ac:dyDescent="0.25">
      <c r="A506" s="2">
        <v>43</v>
      </c>
      <c r="B506" s="2" t="str">
        <f t="shared" si="14"/>
        <v>TRANSFER_EAST_G_2_17</v>
      </c>
      <c r="C506" s="223" t="s">
        <v>21</v>
      </c>
      <c r="D506" s="223" t="s">
        <v>18</v>
      </c>
      <c r="E506" s="223" t="s">
        <v>8</v>
      </c>
      <c r="F506" s="224">
        <v>2</v>
      </c>
      <c r="G506" s="332">
        <v>17</v>
      </c>
      <c r="H506" s="195">
        <f>VLOOKUP(B506,'17'!$D$7:$K$120,8,0)</f>
        <v>9</v>
      </c>
    </row>
    <row r="507" spans="1:8" ht="15.75" hidden="1" thickTop="1" x14ac:dyDescent="0.25">
      <c r="A507" s="2">
        <v>43</v>
      </c>
      <c r="B507" s="2" t="str">
        <f t="shared" si="14"/>
        <v>TRANSFER_EAST_B_1_17</v>
      </c>
      <c r="C507" s="223" t="s">
        <v>21</v>
      </c>
      <c r="D507" s="223" t="s">
        <v>18</v>
      </c>
      <c r="E507" s="223" t="s">
        <v>3</v>
      </c>
      <c r="F507" s="224">
        <v>1</v>
      </c>
      <c r="G507" s="332">
        <v>17</v>
      </c>
      <c r="H507" s="195">
        <f>VLOOKUP(B507,'17'!$D$7:$K$120,8,0)</f>
        <v>11</v>
      </c>
    </row>
    <row r="508" spans="1:8" ht="15.75" hidden="1" thickTop="1" x14ac:dyDescent="0.25">
      <c r="A508" s="2">
        <v>43</v>
      </c>
      <c r="B508" s="2" t="str">
        <f t="shared" si="14"/>
        <v>TRANSFER_EAST_E_2_17</v>
      </c>
      <c r="C508" s="223" t="s">
        <v>21</v>
      </c>
      <c r="D508" s="223" t="s">
        <v>18</v>
      </c>
      <c r="E508" s="223" t="s">
        <v>6</v>
      </c>
      <c r="F508" s="224">
        <v>2</v>
      </c>
      <c r="G508" s="332">
        <v>17</v>
      </c>
      <c r="H508" s="195">
        <f>VLOOKUP(B508,'17'!$D$7:$K$120,8,0)</f>
        <v>13</v>
      </c>
    </row>
    <row r="509" spans="1:8" ht="15.75" hidden="1" thickTop="1" x14ac:dyDescent="0.25">
      <c r="A509" s="2">
        <v>43</v>
      </c>
      <c r="B509" s="2" t="str">
        <f t="shared" si="14"/>
        <v>TRANSFER_EAST_D_1_17</v>
      </c>
      <c r="C509" s="223" t="s">
        <v>21</v>
      </c>
      <c r="D509" s="223" t="s">
        <v>18</v>
      </c>
      <c r="E509" s="223" t="s">
        <v>47</v>
      </c>
      <c r="F509" s="224">
        <v>1</v>
      </c>
      <c r="G509" s="332">
        <v>17</v>
      </c>
      <c r="H509" s="195">
        <f>VLOOKUP(B509,'17'!$D$7:$K$120,8,0)</f>
        <v>15</v>
      </c>
    </row>
    <row r="510" spans="1:8" ht="15.75" hidden="1" thickTop="1" x14ac:dyDescent="0.25">
      <c r="A510" s="2">
        <v>43</v>
      </c>
      <c r="B510" s="2" t="str">
        <f t="shared" si="14"/>
        <v>TRANSFER_EAST_K_2_17</v>
      </c>
      <c r="C510" s="223" t="s">
        <v>21</v>
      </c>
      <c r="D510" s="223" t="s">
        <v>18</v>
      </c>
      <c r="E510" s="223" t="s">
        <v>12</v>
      </c>
      <c r="F510" s="224">
        <v>2</v>
      </c>
      <c r="G510" s="332">
        <v>17</v>
      </c>
      <c r="H510" s="195">
        <f>VLOOKUP(B510,'17'!$D$7:$K$120,8,0)</f>
        <v>17</v>
      </c>
    </row>
    <row r="511" spans="1:8" ht="15.75" hidden="1" thickTop="1" x14ac:dyDescent="0.25">
      <c r="A511" s="2">
        <v>43</v>
      </c>
      <c r="B511" s="2" t="str">
        <f t="shared" si="14"/>
        <v>TRANSFER_WEST_H_1_17</v>
      </c>
      <c r="C511" s="223" t="s">
        <v>21</v>
      </c>
      <c r="D511" s="223" t="s">
        <v>19</v>
      </c>
      <c r="E511" s="223" t="s">
        <v>9</v>
      </c>
      <c r="F511" s="224">
        <v>1</v>
      </c>
      <c r="G511" s="332">
        <v>17</v>
      </c>
      <c r="H511" s="195">
        <f>VLOOKUP(B511,'17'!$D$7:$K$120,8,0)</f>
        <v>2</v>
      </c>
    </row>
    <row r="512" spans="1:8" ht="15.75" hidden="1" thickTop="1" x14ac:dyDescent="0.25">
      <c r="A512" s="2">
        <v>43</v>
      </c>
      <c r="B512" s="2" t="str">
        <f t="shared" si="14"/>
        <v>TRANSFER_WEST_P_2_17</v>
      </c>
      <c r="C512" s="223" t="s">
        <v>21</v>
      </c>
      <c r="D512" s="223" t="s">
        <v>19</v>
      </c>
      <c r="E512" s="223" t="s">
        <v>41</v>
      </c>
      <c r="F512" s="224">
        <v>2</v>
      </c>
      <c r="G512" s="332">
        <v>17</v>
      </c>
      <c r="H512" s="195">
        <f>VLOOKUP(B512,'17'!$D$7:$K$120,8,0)</f>
        <v>4</v>
      </c>
    </row>
    <row r="513" spans="1:8" ht="15.75" hidden="1" thickTop="1" x14ac:dyDescent="0.25">
      <c r="A513" s="2">
        <v>43</v>
      </c>
      <c r="B513" s="2" t="str">
        <f t="shared" si="14"/>
        <v>TRANSFER_WEST_O_1_17</v>
      </c>
      <c r="C513" s="223" t="s">
        <v>21</v>
      </c>
      <c r="D513" s="223" t="s">
        <v>19</v>
      </c>
      <c r="E513" s="223" t="s">
        <v>40</v>
      </c>
      <c r="F513" s="224">
        <v>1</v>
      </c>
      <c r="G513" s="332">
        <v>17</v>
      </c>
      <c r="H513" s="195">
        <f>VLOOKUP(B513,'17'!$D$7:$K$120,8,0)</f>
        <v>6</v>
      </c>
    </row>
    <row r="514" spans="1:8" ht="15.75" hidden="1" thickTop="1" x14ac:dyDescent="0.25">
      <c r="A514" s="2">
        <v>43</v>
      </c>
      <c r="B514" s="2" t="str">
        <f t="shared" si="14"/>
        <v>TRANSFER_WEST_L_2_17</v>
      </c>
      <c r="C514" s="223" t="s">
        <v>21</v>
      </c>
      <c r="D514" s="223" t="s">
        <v>19</v>
      </c>
      <c r="E514" s="223" t="s">
        <v>13</v>
      </c>
      <c r="F514" s="224">
        <v>2</v>
      </c>
      <c r="G514" s="332">
        <v>17</v>
      </c>
      <c r="H514" s="195">
        <f>VLOOKUP(B514,'17'!$D$7:$K$120,8,0)</f>
        <v>8</v>
      </c>
    </row>
    <row r="515" spans="1:8" ht="15.75" hidden="1" thickTop="1" x14ac:dyDescent="0.25">
      <c r="A515" s="2">
        <v>43</v>
      </c>
      <c r="B515" s="2" t="str">
        <f t="shared" si="14"/>
        <v>TRANSFER_WEST_N_1_17</v>
      </c>
      <c r="C515" s="223" t="s">
        <v>21</v>
      </c>
      <c r="D515" s="223" t="s">
        <v>19</v>
      </c>
      <c r="E515" s="223" t="s">
        <v>15</v>
      </c>
      <c r="F515" s="224">
        <v>1</v>
      </c>
      <c r="G515" s="332">
        <v>17</v>
      </c>
      <c r="H515" s="195">
        <f>VLOOKUP(B515,'17'!$D$7:$K$120,8,0)</f>
        <v>10</v>
      </c>
    </row>
    <row r="516" spans="1:8" ht="15.75" hidden="1" thickTop="1" x14ac:dyDescent="0.25">
      <c r="A516" s="2">
        <v>43</v>
      </c>
      <c r="B516" s="2" t="str">
        <f t="shared" si="14"/>
        <v>TRANSFER_WEST_J_2_17</v>
      </c>
      <c r="C516" s="223" t="s">
        <v>21</v>
      </c>
      <c r="D516" s="223" t="s">
        <v>19</v>
      </c>
      <c r="E516" s="223" t="s">
        <v>11</v>
      </c>
      <c r="F516" s="224">
        <v>2</v>
      </c>
      <c r="G516" s="332">
        <v>17</v>
      </c>
      <c r="H516" s="195">
        <f>VLOOKUP(B516,'17'!$D$7:$K$120,8,0)</f>
        <v>12</v>
      </c>
    </row>
    <row r="517" spans="1:8" ht="15.75" hidden="1" thickTop="1" x14ac:dyDescent="0.25">
      <c r="A517" s="2">
        <v>43</v>
      </c>
      <c r="B517" s="2" t="str">
        <f t="shared" si="14"/>
        <v>TRANSFER_WEST_Q_1_17</v>
      </c>
      <c r="C517" s="223" t="s">
        <v>21</v>
      </c>
      <c r="D517" s="223" t="s">
        <v>19</v>
      </c>
      <c r="E517" s="223" t="s">
        <v>59</v>
      </c>
      <c r="F517" s="224">
        <v>1</v>
      </c>
      <c r="G517" s="195">
        <v>17</v>
      </c>
      <c r="H517" s="195">
        <f>VLOOKUP(B517,'17'!$D$7:$K$120,8,0)</f>
        <v>13</v>
      </c>
    </row>
    <row r="518" spans="1:8" ht="15.75" hidden="1" thickTop="1" x14ac:dyDescent="0.25">
      <c r="A518" s="2">
        <v>43</v>
      </c>
      <c r="B518" s="2" t="str">
        <f t="shared" si="14"/>
        <v>TRANSFER_WEST_F_2_17</v>
      </c>
      <c r="C518" s="223" t="s">
        <v>21</v>
      </c>
      <c r="D518" s="223" t="s">
        <v>19</v>
      </c>
      <c r="E518" s="223" t="s">
        <v>7</v>
      </c>
      <c r="F518" s="224">
        <v>2</v>
      </c>
      <c r="G518" s="332">
        <v>17</v>
      </c>
      <c r="H518" s="195">
        <f>VLOOKUP(B518,'17'!$D$7:$K$120,8,0)</f>
        <v>15</v>
      </c>
    </row>
    <row r="519" spans="1:8" ht="15.75" hidden="1" thickTop="1" x14ac:dyDescent="0.25">
      <c r="A519" s="2">
        <v>43</v>
      </c>
      <c r="B519" s="2" t="str">
        <f t="shared" si="14"/>
        <v>TRANSFER_WEST_M_1_17</v>
      </c>
      <c r="C519" s="223" t="s">
        <v>21</v>
      </c>
      <c r="D519" s="223" t="s">
        <v>19</v>
      </c>
      <c r="E519" s="223" t="s">
        <v>14</v>
      </c>
      <c r="F519" s="224">
        <v>1</v>
      </c>
      <c r="G519" s="332">
        <v>17</v>
      </c>
      <c r="H519" s="195">
        <f>VLOOKUP(B519,'17'!$D$7:$K$120,8,0)</f>
        <v>17</v>
      </c>
    </row>
    <row r="520" spans="1:8" ht="15.75" hidden="1" thickTop="1" x14ac:dyDescent="0.25">
      <c r="A520" s="2">
        <v>43</v>
      </c>
      <c r="B520" s="2" t="str">
        <f t="shared" si="14"/>
        <v>PREPARE_EAST_UNP_1_17</v>
      </c>
      <c r="C520" s="223" t="s">
        <v>46</v>
      </c>
      <c r="D520" s="223" t="s">
        <v>18</v>
      </c>
      <c r="E520" s="223" t="s">
        <v>42</v>
      </c>
      <c r="F520" s="224">
        <v>1</v>
      </c>
      <c r="G520" s="332">
        <v>17</v>
      </c>
      <c r="H520" s="195">
        <f>VLOOKUP(B520,'17'!$D$7:$K$120,8,0)</f>
        <v>15</v>
      </c>
    </row>
    <row r="521" spans="1:8" ht="15.75" hidden="1" thickTop="1" x14ac:dyDescent="0.25">
      <c r="A521" s="2">
        <v>43</v>
      </c>
      <c r="B521" s="2" t="str">
        <f t="shared" si="14"/>
        <v>PREPARE_EAST_A_2_17</v>
      </c>
      <c r="C521" s="223" t="s">
        <v>46</v>
      </c>
      <c r="D521" s="223" t="s">
        <v>18</v>
      </c>
      <c r="E521" s="352" t="s">
        <v>2</v>
      </c>
      <c r="F521" s="224">
        <v>2</v>
      </c>
      <c r="G521" s="332">
        <v>17</v>
      </c>
      <c r="H521" s="195">
        <f>VLOOKUP(B521,'17'!$D$7:$K$120,8,0)</f>
        <v>16</v>
      </c>
    </row>
    <row r="522" spans="1:8" ht="15.75" hidden="1" thickTop="1" x14ac:dyDescent="0.25">
      <c r="A522" s="2">
        <v>43</v>
      </c>
      <c r="B522" s="2" t="str">
        <f t="shared" si="14"/>
        <v>PREPARE_EAST_C/U_1_17</v>
      </c>
      <c r="C522" s="223" t="s">
        <v>46</v>
      </c>
      <c r="D522" s="223" t="s">
        <v>18</v>
      </c>
      <c r="E522" s="352" t="s">
        <v>67</v>
      </c>
      <c r="F522" s="224">
        <v>1</v>
      </c>
      <c r="G522" s="332">
        <v>17</v>
      </c>
      <c r="H522" s="195">
        <f>VLOOKUP(B522,'17'!$D$7:$K$120,8,0)</f>
        <v>16</v>
      </c>
    </row>
    <row r="523" spans="1:8" ht="15.75" hidden="1" thickTop="1" x14ac:dyDescent="0.25">
      <c r="A523" s="2">
        <v>43</v>
      </c>
      <c r="B523" s="2" t="str">
        <f t="shared" si="14"/>
        <v>PREPARE_EAST_C_2_17</v>
      </c>
      <c r="C523" s="223" t="s">
        <v>46</v>
      </c>
      <c r="D523" s="223" t="s">
        <v>18</v>
      </c>
      <c r="E523" s="223" t="s">
        <v>4</v>
      </c>
      <c r="F523" s="224">
        <v>2</v>
      </c>
      <c r="G523" s="332">
        <v>17</v>
      </c>
      <c r="H523" s="195">
        <f>VLOOKUP(B523,'17'!$D$7:$K$120,8,0)</f>
        <v>18</v>
      </c>
    </row>
    <row r="524" spans="1:8" ht="15.75" hidden="1" thickTop="1" x14ac:dyDescent="0.25">
      <c r="A524" s="2">
        <v>43</v>
      </c>
      <c r="B524" s="2" t="str">
        <f t="shared" si="14"/>
        <v>PREPARE_EAST_I_1_17</v>
      </c>
      <c r="C524" s="223" t="s">
        <v>46</v>
      </c>
      <c r="D524" s="223" t="s">
        <v>18</v>
      </c>
      <c r="E524" s="223" t="s">
        <v>10</v>
      </c>
      <c r="F524" s="224">
        <v>1</v>
      </c>
      <c r="G524" s="332">
        <v>17</v>
      </c>
      <c r="H524" s="195">
        <f>VLOOKUP(B524,'17'!$D$7:$K$120,8,0)</f>
        <v>20</v>
      </c>
    </row>
    <row r="525" spans="1:8" ht="15.75" hidden="1" thickTop="1" x14ac:dyDescent="0.25">
      <c r="A525" s="2">
        <v>43</v>
      </c>
      <c r="B525" s="2" t="str">
        <f t="shared" si="14"/>
        <v>PREPARE_EAST_G_2_17</v>
      </c>
      <c r="C525" s="223" t="s">
        <v>46</v>
      </c>
      <c r="D525" s="223" t="s">
        <v>18</v>
      </c>
      <c r="E525" s="223" t="s">
        <v>8</v>
      </c>
      <c r="F525" s="224">
        <v>2</v>
      </c>
      <c r="G525" s="332">
        <v>17</v>
      </c>
      <c r="H525" s="195">
        <f>VLOOKUP(B525,'17'!$D$7:$K$120,8,0)</f>
        <v>22</v>
      </c>
    </row>
    <row r="526" spans="1:8" ht="15.75" hidden="1" thickTop="1" x14ac:dyDescent="0.25">
      <c r="A526" s="2">
        <v>43</v>
      </c>
      <c r="B526" s="2" t="str">
        <f t="shared" si="14"/>
        <v>PREPARE_EAST_B_1_17</v>
      </c>
      <c r="C526" s="223" t="s">
        <v>46</v>
      </c>
      <c r="D526" s="223" t="s">
        <v>18</v>
      </c>
      <c r="E526" s="223" t="s">
        <v>3</v>
      </c>
      <c r="F526" s="224">
        <v>1</v>
      </c>
      <c r="G526" s="332">
        <v>17</v>
      </c>
      <c r="H526" s="195">
        <f>VLOOKUP(B526,'17'!$D$7:$K$120,8,0)</f>
        <v>24</v>
      </c>
    </row>
    <row r="527" spans="1:8" ht="15.75" hidden="1" thickTop="1" x14ac:dyDescent="0.25">
      <c r="A527" s="2">
        <v>43</v>
      </c>
      <c r="B527" s="2" t="str">
        <f t="shared" si="14"/>
        <v>PREPARE_EAST_E_2_17</v>
      </c>
      <c r="C527" s="223" t="s">
        <v>46</v>
      </c>
      <c r="D527" s="223" t="s">
        <v>18</v>
      </c>
      <c r="E527" s="223" t="s">
        <v>6</v>
      </c>
      <c r="F527" s="224">
        <v>2</v>
      </c>
      <c r="G527" s="332">
        <v>17</v>
      </c>
      <c r="H527" s="195">
        <f>VLOOKUP(B527,'17'!$D$7:$K$120,8,0)</f>
        <v>26</v>
      </c>
    </row>
    <row r="528" spans="1:8" ht="15.75" hidden="1" thickTop="1" x14ac:dyDescent="0.25">
      <c r="A528" s="2">
        <v>43</v>
      </c>
      <c r="B528" s="2" t="str">
        <f t="shared" si="14"/>
        <v>PREPARE_EAST_D_1_17</v>
      </c>
      <c r="C528" s="223" t="s">
        <v>46</v>
      </c>
      <c r="D528" s="223" t="s">
        <v>18</v>
      </c>
      <c r="E528" s="223" t="s">
        <v>47</v>
      </c>
      <c r="F528" s="224">
        <v>1</v>
      </c>
      <c r="G528" s="332">
        <v>17</v>
      </c>
      <c r="H528" s="195">
        <f>VLOOKUP(B528,'17'!$D$7:$K$120,8,0)</f>
        <v>28</v>
      </c>
    </row>
    <row r="529" spans="1:8" ht="15.75" hidden="1" thickTop="1" x14ac:dyDescent="0.25">
      <c r="A529" s="2">
        <v>43</v>
      </c>
      <c r="B529" s="2" t="str">
        <f t="shared" si="14"/>
        <v>PREPARE_EAST_K_2_17</v>
      </c>
      <c r="C529" s="223" t="s">
        <v>46</v>
      </c>
      <c r="D529" s="223" t="s">
        <v>18</v>
      </c>
      <c r="E529" s="223" t="s">
        <v>12</v>
      </c>
      <c r="F529" s="224">
        <v>2</v>
      </c>
      <c r="G529" s="332">
        <v>17</v>
      </c>
      <c r="H529" s="195">
        <f>VLOOKUP(B529,'17'!$D$7:$K$120,8,0)</f>
        <v>30</v>
      </c>
    </row>
    <row r="530" spans="1:8" ht="15.75" hidden="1" thickTop="1" x14ac:dyDescent="0.25">
      <c r="A530" s="2">
        <v>43</v>
      </c>
      <c r="B530" s="2" t="str">
        <f t="shared" si="14"/>
        <v>PREPARE_WEST_H_1_17</v>
      </c>
      <c r="C530" s="223" t="s">
        <v>46</v>
      </c>
      <c r="D530" s="223" t="s">
        <v>19</v>
      </c>
      <c r="E530" s="223" t="s">
        <v>9</v>
      </c>
      <c r="F530" s="224">
        <v>1</v>
      </c>
      <c r="G530" s="332">
        <v>17</v>
      </c>
      <c r="H530" s="195">
        <f>VLOOKUP(B530,'17'!$D$7:$K$120,8,0)</f>
        <v>15</v>
      </c>
    </row>
    <row r="531" spans="1:8" ht="15.75" hidden="1" thickTop="1" x14ac:dyDescent="0.25">
      <c r="A531" s="2">
        <v>43</v>
      </c>
      <c r="B531" s="2" t="str">
        <f t="shared" si="14"/>
        <v>PREPARE_WEST_P_2_17</v>
      </c>
      <c r="C531" s="223" t="s">
        <v>46</v>
      </c>
      <c r="D531" s="223" t="s">
        <v>19</v>
      </c>
      <c r="E531" s="223" t="s">
        <v>41</v>
      </c>
      <c r="F531" s="224">
        <v>2</v>
      </c>
      <c r="G531" s="332">
        <v>17</v>
      </c>
      <c r="H531" s="195">
        <f>VLOOKUP(B531,'17'!$D$7:$K$120,8,0)</f>
        <v>17</v>
      </c>
    </row>
    <row r="532" spans="1:8" ht="15.75" hidden="1" thickTop="1" x14ac:dyDescent="0.25">
      <c r="A532" s="2">
        <v>43</v>
      </c>
      <c r="B532" s="2" t="str">
        <f t="shared" si="14"/>
        <v>PREPARE_WEST_O_1_17</v>
      </c>
      <c r="C532" s="223" t="s">
        <v>46</v>
      </c>
      <c r="D532" s="223" t="s">
        <v>19</v>
      </c>
      <c r="E532" s="223" t="s">
        <v>40</v>
      </c>
      <c r="F532" s="224">
        <v>1</v>
      </c>
      <c r="G532" s="332">
        <v>17</v>
      </c>
      <c r="H532" s="195">
        <f>VLOOKUP(B532,'17'!$D$7:$K$120,8,0)</f>
        <v>19</v>
      </c>
    </row>
    <row r="533" spans="1:8" ht="15.75" hidden="1" thickTop="1" x14ac:dyDescent="0.25">
      <c r="A533" s="2">
        <v>43</v>
      </c>
      <c r="B533" s="2" t="str">
        <f t="shared" si="14"/>
        <v>PREPARE_WEST_L_2_17</v>
      </c>
      <c r="C533" s="223" t="s">
        <v>46</v>
      </c>
      <c r="D533" s="223" t="s">
        <v>19</v>
      </c>
      <c r="E533" s="223" t="s">
        <v>13</v>
      </c>
      <c r="F533" s="224">
        <v>2</v>
      </c>
      <c r="G533" s="332">
        <v>17</v>
      </c>
      <c r="H533" s="195">
        <f>VLOOKUP(B533,'17'!$D$7:$K$120,8,0)</f>
        <v>21</v>
      </c>
    </row>
    <row r="534" spans="1:8" ht="15.75" hidden="1" thickTop="1" x14ac:dyDescent="0.25">
      <c r="A534" s="2">
        <v>43</v>
      </c>
      <c r="B534" s="2" t="str">
        <f t="shared" si="14"/>
        <v>PREPARE_WEST_N_1_17</v>
      </c>
      <c r="C534" s="223" t="s">
        <v>46</v>
      </c>
      <c r="D534" s="223" t="s">
        <v>19</v>
      </c>
      <c r="E534" s="223" t="s">
        <v>15</v>
      </c>
      <c r="F534" s="224">
        <v>1</v>
      </c>
      <c r="G534" s="332">
        <v>17</v>
      </c>
      <c r="H534" s="195">
        <f>VLOOKUP(B534,'17'!$D$7:$K$120,8,0)</f>
        <v>23</v>
      </c>
    </row>
    <row r="535" spans="1:8" ht="15.75" hidden="1" thickTop="1" x14ac:dyDescent="0.25">
      <c r="A535" s="2">
        <v>43</v>
      </c>
      <c r="B535" s="2" t="str">
        <f t="shared" si="14"/>
        <v>PREPARE_WEST_J_2_17</v>
      </c>
      <c r="C535" s="223" t="s">
        <v>46</v>
      </c>
      <c r="D535" s="223" t="s">
        <v>19</v>
      </c>
      <c r="E535" s="223" t="s">
        <v>11</v>
      </c>
      <c r="F535" s="224">
        <v>2</v>
      </c>
      <c r="G535" s="332">
        <v>17</v>
      </c>
      <c r="H535" s="195">
        <f>VLOOKUP(B535,'17'!$D$7:$K$120,8,0)</f>
        <v>25</v>
      </c>
    </row>
    <row r="536" spans="1:8" ht="15.75" hidden="1" thickTop="1" x14ac:dyDescent="0.25">
      <c r="A536" s="2">
        <v>43</v>
      </c>
      <c r="B536" s="2" t="str">
        <f t="shared" si="14"/>
        <v>PREPARE_WEST_Q_1_17</v>
      </c>
      <c r="C536" s="223" t="s">
        <v>46</v>
      </c>
      <c r="D536" s="223" t="s">
        <v>19</v>
      </c>
      <c r="E536" s="223" t="s">
        <v>59</v>
      </c>
      <c r="F536" s="224">
        <v>1</v>
      </c>
      <c r="G536" s="195">
        <v>17</v>
      </c>
      <c r="H536" s="195">
        <f>VLOOKUP(B536,'17'!$D$7:$K$120,8,0)</f>
        <v>27</v>
      </c>
    </row>
    <row r="537" spans="1:8" ht="15.75" hidden="1" thickTop="1" x14ac:dyDescent="0.25">
      <c r="A537" s="2">
        <v>43</v>
      </c>
      <c r="B537" s="2" t="str">
        <f t="shared" si="14"/>
        <v>PREPARE_WEST_F_2_17</v>
      </c>
      <c r="C537" s="223" t="s">
        <v>46</v>
      </c>
      <c r="D537" s="223" t="s">
        <v>19</v>
      </c>
      <c r="E537" s="223" t="s">
        <v>7</v>
      </c>
      <c r="F537" s="224">
        <v>2</v>
      </c>
      <c r="G537" s="332">
        <v>17</v>
      </c>
      <c r="H537" s="195">
        <f>VLOOKUP(B537,'17'!$D$7:$K$120,8,0)</f>
        <v>29</v>
      </c>
    </row>
    <row r="538" spans="1:8" ht="15.75" hidden="1" thickTop="1" x14ac:dyDescent="0.25">
      <c r="A538" s="2">
        <v>43</v>
      </c>
      <c r="B538" s="2" t="str">
        <f t="shared" si="14"/>
        <v>PREPARE_WEST_M_1_17</v>
      </c>
      <c r="C538" s="223" t="s">
        <v>46</v>
      </c>
      <c r="D538" s="223" t="s">
        <v>19</v>
      </c>
      <c r="E538" s="223" t="s">
        <v>14</v>
      </c>
      <c r="F538" s="224">
        <v>1</v>
      </c>
      <c r="G538" s="332">
        <v>17</v>
      </c>
      <c r="H538" s="195">
        <f>VLOOKUP(B538,'17'!$D$7:$K$120,8,0)</f>
        <v>30</v>
      </c>
    </row>
    <row r="539" spans="1:8" ht="15.75" hidden="1" thickTop="1" x14ac:dyDescent="0.25">
      <c r="A539" s="2">
        <v>43</v>
      </c>
      <c r="B539" s="2" t="str">
        <f t="shared" si="14"/>
        <v>SUPPLY_EAST_UNP_1_17</v>
      </c>
      <c r="C539" s="223" t="s">
        <v>0</v>
      </c>
      <c r="D539" s="223" t="s">
        <v>18</v>
      </c>
      <c r="E539" s="223" t="s">
        <v>42</v>
      </c>
      <c r="F539" s="224">
        <v>1</v>
      </c>
      <c r="G539" s="332">
        <v>17</v>
      </c>
      <c r="H539" s="195">
        <f>VLOOKUP(B539,'17'!$D$7:$K$120,8,0)</f>
        <v>0</v>
      </c>
    </row>
    <row r="540" spans="1:8" ht="15.75" hidden="1" thickTop="1" x14ac:dyDescent="0.25">
      <c r="A540" s="2">
        <v>43</v>
      </c>
      <c r="B540" s="2" t="str">
        <f t="shared" si="14"/>
        <v>SUPPLY_EAST_A_2_17</v>
      </c>
      <c r="C540" s="223" t="s">
        <v>0</v>
      </c>
      <c r="D540" s="223" t="s">
        <v>18</v>
      </c>
      <c r="E540" s="352" t="s">
        <v>2</v>
      </c>
      <c r="F540" s="224">
        <v>2</v>
      </c>
      <c r="G540" s="332">
        <v>17</v>
      </c>
      <c r="H540" s="195">
        <f>VLOOKUP(B540,'17'!$D$7:$K$120,8,0)</f>
        <v>1</v>
      </c>
    </row>
    <row r="541" spans="1:8" ht="15.75" hidden="1" thickTop="1" x14ac:dyDescent="0.25">
      <c r="A541" s="2">
        <v>43</v>
      </c>
      <c r="B541" s="2" t="str">
        <f t="shared" si="14"/>
        <v>SUPPLY_EAST_C/U_1_17</v>
      </c>
      <c r="C541" s="223" t="s">
        <v>0</v>
      </c>
      <c r="D541" s="223" t="s">
        <v>18</v>
      </c>
      <c r="E541" s="352" t="s">
        <v>67</v>
      </c>
      <c r="F541" s="224">
        <v>1</v>
      </c>
      <c r="G541" s="332">
        <v>17</v>
      </c>
      <c r="H541" s="195">
        <f>VLOOKUP(B541,'17'!$D$7:$K$120,8,0)</f>
        <v>2</v>
      </c>
    </row>
    <row r="542" spans="1:8" ht="15.75" hidden="1" thickTop="1" x14ac:dyDescent="0.25">
      <c r="A542" s="2">
        <v>43</v>
      </c>
      <c r="B542" s="2" t="str">
        <f t="shared" ref="B542:B605" si="15">C542&amp;"_"&amp;D542&amp;"_"&amp;E542&amp;"_"&amp;F542&amp;"_"&amp;G542</f>
        <v>SUPPLY_EAST_C_2_17</v>
      </c>
      <c r="C542" s="223" t="s">
        <v>0</v>
      </c>
      <c r="D542" s="223" t="s">
        <v>18</v>
      </c>
      <c r="E542" s="223" t="s">
        <v>4</v>
      </c>
      <c r="F542" s="224">
        <v>2</v>
      </c>
      <c r="G542" s="332">
        <v>17</v>
      </c>
      <c r="H542" s="195">
        <f>VLOOKUP(B542,'17'!$D$7:$K$120,8,0)</f>
        <v>3</v>
      </c>
    </row>
    <row r="543" spans="1:8" ht="15.75" hidden="1" thickTop="1" x14ac:dyDescent="0.25">
      <c r="A543" s="2">
        <v>43</v>
      </c>
      <c r="B543" s="2" t="str">
        <f t="shared" si="15"/>
        <v>SUPPLY_EAST_I_1_17</v>
      </c>
      <c r="C543" s="223" t="s">
        <v>0</v>
      </c>
      <c r="D543" s="223" t="s">
        <v>18</v>
      </c>
      <c r="E543" s="223" t="s">
        <v>10</v>
      </c>
      <c r="F543" s="224">
        <v>1</v>
      </c>
      <c r="G543" s="332">
        <v>17</v>
      </c>
      <c r="H543" s="195">
        <f>VLOOKUP(B543,'17'!$D$7:$K$120,8,0)</f>
        <v>5</v>
      </c>
    </row>
    <row r="544" spans="1:8" ht="15.75" hidden="1" thickTop="1" x14ac:dyDescent="0.25">
      <c r="A544" s="2">
        <v>43</v>
      </c>
      <c r="B544" s="2" t="str">
        <f t="shared" si="15"/>
        <v>SUPPLY_EAST_G_2_17</v>
      </c>
      <c r="C544" s="223" t="s">
        <v>0</v>
      </c>
      <c r="D544" s="223" t="s">
        <v>18</v>
      </c>
      <c r="E544" s="223" t="s">
        <v>8</v>
      </c>
      <c r="F544" s="224">
        <v>2</v>
      </c>
      <c r="G544" s="332">
        <v>17</v>
      </c>
      <c r="H544" s="195">
        <f>VLOOKUP(B544,'17'!$D$7:$K$120,8,0)</f>
        <v>6</v>
      </c>
    </row>
    <row r="545" spans="1:8" ht="15.75" hidden="1" thickTop="1" x14ac:dyDescent="0.25">
      <c r="A545" s="2">
        <v>43</v>
      </c>
      <c r="B545" s="2" t="str">
        <f t="shared" si="15"/>
        <v>SUPPLY_EAST_B_1_17</v>
      </c>
      <c r="C545" s="223" t="s">
        <v>0</v>
      </c>
      <c r="D545" s="223" t="s">
        <v>18</v>
      </c>
      <c r="E545" s="223" t="s">
        <v>3</v>
      </c>
      <c r="F545" s="224">
        <v>1</v>
      </c>
      <c r="G545" s="332">
        <v>17</v>
      </c>
      <c r="H545" s="195">
        <f>VLOOKUP(B545,'17'!$D$7:$K$120,8,0)</f>
        <v>9</v>
      </c>
    </row>
    <row r="546" spans="1:8" ht="15.75" hidden="1" thickTop="1" x14ac:dyDescent="0.25">
      <c r="A546" s="2">
        <v>43</v>
      </c>
      <c r="B546" s="2" t="str">
        <f t="shared" si="15"/>
        <v>SUPPLY_EAST_E_2_17</v>
      </c>
      <c r="C546" s="223" t="s">
        <v>0</v>
      </c>
      <c r="D546" s="223" t="s">
        <v>18</v>
      </c>
      <c r="E546" s="223" t="s">
        <v>6</v>
      </c>
      <c r="F546" s="224">
        <v>2</v>
      </c>
      <c r="G546" s="332">
        <v>17</v>
      </c>
      <c r="H546" s="195">
        <f>VLOOKUP(B546,'17'!$D$7:$K$120,8,0)</f>
        <v>11</v>
      </c>
    </row>
    <row r="547" spans="1:8" ht="15.75" hidden="1" thickTop="1" x14ac:dyDescent="0.25">
      <c r="A547" s="2">
        <v>43</v>
      </c>
      <c r="B547" s="2" t="str">
        <f t="shared" si="15"/>
        <v>SUPPLY_EAST_D_1_17</v>
      </c>
      <c r="C547" s="223" t="s">
        <v>0</v>
      </c>
      <c r="D547" s="223" t="s">
        <v>18</v>
      </c>
      <c r="E547" s="223" t="s">
        <v>47</v>
      </c>
      <c r="F547" s="224">
        <v>1</v>
      </c>
      <c r="G547" s="332">
        <v>17</v>
      </c>
      <c r="H547" s="195">
        <f>VLOOKUP(B547,'17'!$D$7:$K$120,8,0)</f>
        <v>13</v>
      </c>
    </row>
    <row r="548" spans="1:8" ht="15.75" hidden="1" thickTop="1" x14ac:dyDescent="0.25">
      <c r="A548" s="2">
        <v>43</v>
      </c>
      <c r="B548" s="2" t="str">
        <f t="shared" si="15"/>
        <v>SUPPLY_EAST_K_2_17</v>
      </c>
      <c r="C548" s="223" t="s">
        <v>0</v>
      </c>
      <c r="D548" s="223" t="s">
        <v>18</v>
      </c>
      <c r="E548" s="223" t="s">
        <v>12</v>
      </c>
      <c r="F548" s="224">
        <v>2</v>
      </c>
      <c r="G548" s="332">
        <v>17</v>
      </c>
      <c r="H548" s="195">
        <f>VLOOKUP(B548,'17'!$D$7:$K$120,8,0)</f>
        <v>15</v>
      </c>
    </row>
    <row r="549" spans="1:8" ht="15.75" hidden="1" thickTop="1" x14ac:dyDescent="0.25">
      <c r="A549" s="2">
        <v>43</v>
      </c>
      <c r="B549" s="2" t="str">
        <f t="shared" si="15"/>
        <v>SUPPLY_WEST_H_1_17</v>
      </c>
      <c r="C549" s="223" t="s">
        <v>0</v>
      </c>
      <c r="D549" s="223" t="s">
        <v>19</v>
      </c>
      <c r="E549" s="223" t="s">
        <v>9</v>
      </c>
      <c r="F549" s="224">
        <v>1</v>
      </c>
      <c r="G549" s="332">
        <v>17</v>
      </c>
      <c r="H549" s="195">
        <f>VLOOKUP(B549,'17'!$D$7:$K$120,8,0)</f>
        <v>0</v>
      </c>
    </row>
    <row r="550" spans="1:8" ht="15.75" hidden="1" thickTop="1" x14ac:dyDescent="0.25">
      <c r="A550" s="2">
        <v>43</v>
      </c>
      <c r="B550" s="2" t="str">
        <f t="shared" si="15"/>
        <v>SUPPLY_WEST_P_2_17</v>
      </c>
      <c r="C550" s="223" t="s">
        <v>0</v>
      </c>
      <c r="D550" s="223" t="s">
        <v>19</v>
      </c>
      <c r="E550" s="223" t="s">
        <v>41</v>
      </c>
      <c r="F550" s="224">
        <v>2</v>
      </c>
      <c r="G550" s="332">
        <v>17</v>
      </c>
      <c r="H550" s="195">
        <f>VLOOKUP(B550,'17'!$D$7:$K$120,8,0)</f>
        <v>2</v>
      </c>
    </row>
    <row r="551" spans="1:8" ht="15.75" hidden="1" thickTop="1" x14ac:dyDescent="0.25">
      <c r="A551" s="2">
        <v>43</v>
      </c>
      <c r="B551" s="2" t="str">
        <f t="shared" si="15"/>
        <v>SUPPLY_WEST_O_1_17</v>
      </c>
      <c r="C551" s="223" t="s">
        <v>0</v>
      </c>
      <c r="D551" s="223" t="s">
        <v>19</v>
      </c>
      <c r="E551" s="223" t="s">
        <v>40</v>
      </c>
      <c r="F551" s="224">
        <v>1</v>
      </c>
      <c r="G551" s="332">
        <v>17</v>
      </c>
      <c r="H551" s="195">
        <f>VLOOKUP(B551,'17'!$D$7:$K$120,8,0)</f>
        <v>4</v>
      </c>
    </row>
    <row r="552" spans="1:8" ht="15.75" hidden="1" thickTop="1" x14ac:dyDescent="0.25">
      <c r="A552" s="2">
        <v>43</v>
      </c>
      <c r="B552" s="2" t="str">
        <f t="shared" si="15"/>
        <v>SUPPLY_WEST_L_2_17</v>
      </c>
      <c r="C552" s="223" t="s">
        <v>0</v>
      </c>
      <c r="D552" s="223" t="s">
        <v>19</v>
      </c>
      <c r="E552" s="223" t="s">
        <v>13</v>
      </c>
      <c r="F552" s="224">
        <v>2</v>
      </c>
      <c r="G552" s="332">
        <v>17</v>
      </c>
      <c r="H552" s="195">
        <f>VLOOKUP(B552,'17'!$D$7:$K$120,8,0)</f>
        <v>6</v>
      </c>
    </row>
    <row r="553" spans="1:8" ht="15.75" hidden="1" thickTop="1" x14ac:dyDescent="0.25">
      <c r="A553" s="2">
        <v>43</v>
      </c>
      <c r="B553" s="2" t="str">
        <f t="shared" si="15"/>
        <v>SUPPLY_WEST_N_1_17</v>
      </c>
      <c r="C553" s="223" t="s">
        <v>0</v>
      </c>
      <c r="D553" s="223" t="s">
        <v>19</v>
      </c>
      <c r="E553" s="223" t="s">
        <v>15</v>
      </c>
      <c r="F553" s="224">
        <v>1</v>
      </c>
      <c r="G553" s="332">
        <v>17</v>
      </c>
      <c r="H553" s="195">
        <f>VLOOKUP(B553,'17'!$D$7:$K$120,8,0)</f>
        <v>9</v>
      </c>
    </row>
    <row r="554" spans="1:8" ht="15.75" hidden="1" thickTop="1" x14ac:dyDescent="0.25">
      <c r="A554" s="2">
        <v>43</v>
      </c>
      <c r="B554" s="2" t="str">
        <f t="shared" si="15"/>
        <v>SUPPLY_WEST_J_2_17</v>
      </c>
      <c r="C554" s="223" t="s">
        <v>0</v>
      </c>
      <c r="D554" s="223" t="s">
        <v>19</v>
      </c>
      <c r="E554" s="223" t="s">
        <v>11</v>
      </c>
      <c r="F554" s="224">
        <v>2</v>
      </c>
      <c r="G554" s="332">
        <v>17</v>
      </c>
      <c r="H554" s="195">
        <f>VLOOKUP(B554,'17'!$D$7:$K$120,8,0)</f>
        <v>10</v>
      </c>
    </row>
    <row r="555" spans="1:8" ht="15.75" hidden="1" thickTop="1" x14ac:dyDescent="0.25">
      <c r="A555" s="2">
        <v>43</v>
      </c>
      <c r="B555" s="2" t="str">
        <f t="shared" si="15"/>
        <v>SUPPLY_WEST_Q_1_17</v>
      </c>
      <c r="C555" s="223" t="s">
        <v>0</v>
      </c>
      <c r="D555" s="223" t="s">
        <v>19</v>
      </c>
      <c r="E555" s="223" t="s">
        <v>59</v>
      </c>
      <c r="F555" s="224">
        <v>1</v>
      </c>
      <c r="G555" s="195">
        <v>17</v>
      </c>
      <c r="H555" s="195">
        <f>VLOOKUP(B555,'17'!$D$7:$K$120,8,0)</f>
        <v>12</v>
      </c>
    </row>
    <row r="556" spans="1:8" ht="15.75" hidden="1" thickTop="1" x14ac:dyDescent="0.25">
      <c r="A556" s="2">
        <v>43</v>
      </c>
      <c r="B556" s="2" t="str">
        <f t="shared" si="15"/>
        <v>SUPPLY_WEST_F_2_17</v>
      </c>
      <c r="C556" s="223" t="s">
        <v>0</v>
      </c>
      <c r="D556" s="223" t="s">
        <v>19</v>
      </c>
      <c r="E556" s="223" t="s">
        <v>7</v>
      </c>
      <c r="F556" s="224">
        <v>2</v>
      </c>
      <c r="G556" s="332">
        <v>17</v>
      </c>
      <c r="H556" s="195">
        <f>VLOOKUP(B556,'17'!$D$7:$K$120,8,0)</f>
        <v>13</v>
      </c>
    </row>
    <row r="557" spans="1:8" ht="15.75" hidden="1" thickTop="1" x14ac:dyDescent="0.25">
      <c r="A557" s="2">
        <v>43</v>
      </c>
      <c r="B557" s="2" t="str">
        <f t="shared" si="15"/>
        <v>SUPPLY_WEST_M_1_17</v>
      </c>
      <c r="C557" s="223" t="s">
        <v>0</v>
      </c>
      <c r="D557" s="223" t="s">
        <v>19</v>
      </c>
      <c r="E557" s="223" t="s">
        <v>14</v>
      </c>
      <c r="F557" s="224">
        <v>1</v>
      </c>
      <c r="G557" s="332">
        <v>17</v>
      </c>
      <c r="H557" s="195">
        <f>VLOOKUP(B557,'17'!$D$7:$K$120,8,0)</f>
        <v>15</v>
      </c>
    </row>
    <row r="558" spans="1:8" ht="15.75" hidden="1" thickTop="1" x14ac:dyDescent="0.25">
      <c r="A558" s="2">
        <v>43</v>
      </c>
      <c r="B558" s="2" t="str">
        <f t="shared" si="15"/>
        <v>EMPTY_EAST_UNP_1_17</v>
      </c>
      <c r="C558" s="223" t="s">
        <v>32</v>
      </c>
      <c r="D558" s="223" t="s">
        <v>18</v>
      </c>
      <c r="E558" s="223" t="s">
        <v>42</v>
      </c>
      <c r="F558" s="224">
        <v>1</v>
      </c>
      <c r="G558" s="332">
        <v>17</v>
      </c>
      <c r="H558" s="195">
        <f>VLOOKUP(B558,'17'!$D$7:$K$120,8,0)</f>
        <v>13</v>
      </c>
    </row>
    <row r="559" spans="1:8" ht="15.75" hidden="1" thickTop="1" x14ac:dyDescent="0.25">
      <c r="A559" s="2">
        <v>43</v>
      </c>
      <c r="B559" s="2" t="str">
        <f t="shared" si="15"/>
        <v>EMPTY_EAST_A_2_17</v>
      </c>
      <c r="C559" s="223" t="s">
        <v>32</v>
      </c>
      <c r="D559" s="223" t="s">
        <v>18</v>
      </c>
      <c r="E559" s="352" t="s">
        <v>2</v>
      </c>
      <c r="F559" s="224">
        <v>2</v>
      </c>
      <c r="G559" s="332">
        <v>17</v>
      </c>
      <c r="H559" s="195">
        <f>VLOOKUP(B559,'17'!$D$7:$K$120,8,0)</f>
        <v>14</v>
      </c>
    </row>
    <row r="560" spans="1:8" ht="15.75" hidden="1" thickTop="1" x14ac:dyDescent="0.25">
      <c r="A560" s="2">
        <v>43</v>
      </c>
      <c r="B560" s="2" t="str">
        <f t="shared" si="15"/>
        <v>EMPTY_EAST_C/U_1_17</v>
      </c>
      <c r="C560" s="223" t="s">
        <v>32</v>
      </c>
      <c r="D560" s="223" t="s">
        <v>18</v>
      </c>
      <c r="E560" s="352" t="s">
        <v>67</v>
      </c>
      <c r="F560" s="224">
        <v>1</v>
      </c>
      <c r="G560" s="332">
        <v>17</v>
      </c>
      <c r="H560" s="195">
        <f>VLOOKUP(B560,'17'!$D$7:$K$120,8,0)</f>
        <v>15</v>
      </c>
    </row>
    <row r="561" spans="1:8" ht="15.75" hidden="1" thickTop="1" x14ac:dyDescent="0.25">
      <c r="A561" s="2">
        <v>43</v>
      </c>
      <c r="B561" s="2" t="str">
        <f t="shared" si="15"/>
        <v>EMPTY_EAST_C_2_17</v>
      </c>
      <c r="C561" s="223" t="s">
        <v>32</v>
      </c>
      <c r="D561" s="223" t="s">
        <v>18</v>
      </c>
      <c r="E561" s="223" t="s">
        <v>4</v>
      </c>
      <c r="F561" s="224">
        <v>2</v>
      </c>
      <c r="G561" s="332">
        <v>17</v>
      </c>
      <c r="H561" s="195">
        <f>VLOOKUP(B561,'17'!$D$7:$K$120,8,0)</f>
        <v>16</v>
      </c>
    </row>
    <row r="562" spans="1:8" ht="15.75" hidden="1" thickTop="1" x14ac:dyDescent="0.25">
      <c r="A562" s="2">
        <v>43</v>
      </c>
      <c r="B562" s="2" t="str">
        <f t="shared" si="15"/>
        <v>EMPTY_EAST_I_1_17</v>
      </c>
      <c r="C562" s="223" t="s">
        <v>32</v>
      </c>
      <c r="D562" s="223" t="s">
        <v>18</v>
      </c>
      <c r="E562" s="223" t="s">
        <v>10</v>
      </c>
      <c r="F562" s="224">
        <v>1</v>
      </c>
      <c r="G562" s="332">
        <v>17</v>
      </c>
      <c r="H562" s="195">
        <f>VLOOKUP(B562,'17'!$D$7:$K$120,8,0)</f>
        <v>18</v>
      </c>
    </row>
    <row r="563" spans="1:8" ht="15.75" hidden="1" thickTop="1" x14ac:dyDescent="0.25">
      <c r="A563" s="2">
        <v>43</v>
      </c>
      <c r="B563" s="2" t="str">
        <f t="shared" si="15"/>
        <v>EMPTY_EAST_G_2_17</v>
      </c>
      <c r="C563" s="223" t="s">
        <v>32</v>
      </c>
      <c r="D563" s="223" t="s">
        <v>18</v>
      </c>
      <c r="E563" s="223" t="s">
        <v>8</v>
      </c>
      <c r="F563" s="224">
        <v>2</v>
      </c>
      <c r="G563" s="332">
        <v>17</v>
      </c>
      <c r="H563" s="195">
        <f>VLOOKUP(B563,'17'!$D$7:$K$120,8,0)</f>
        <v>20</v>
      </c>
    </row>
    <row r="564" spans="1:8" ht="15.75" hidden="1" thickTop="1" x14ac:dyDescent="0.25">
      <c r="A564" s="2">
        <v>43</v>
      </c>
      <c r="B564" s="2" t="str">
        <f t="shared" si="15"/>
        <v>EMPTY_EAST_B_1_17</v>
      </c>
      <c r="C564" s="223" t="s">
        <v>32</v>
      </c>
      <c r="D564" s="223" t="s">
        <v>18</v>
      </c>
      <c r="E564" s="223" t="s">
        <v>3</v>
      </c>
      <c r="F564" s="224">
        <v>1</v>
      </c>
      <c r="G564" s="332">
        <v>17</v>
      </c>
      <c r="H564" s="195">
        <f>VLOOKUP(B564,'17'!$D$7:$K$120,8,0)</f>
        <v>22</v>
      </c>
    </row>
    <row r="565" spans="1:8" ht="15.75" hidden="1" thickTop="1" x14ac:dyDescent="0.25">
      <c r="A565" s="2">
        <v>43</v>
      </c>
      <c r="B565" s="2" t="str">
        <f t="shared" si="15"/>
        <v>EMPTY_EAST_E_2_17</v>
      </c>
      <c r="C565" s="223" t="s">
        <v>32</v>
      </c>
      <c r="D565" s="223" t="s">
        <v>18</v>
      </c>
      <c r="E565" s="223" t="s">
        <v>6</v>
      </c>
      <c r="F565" s="224">
        <v>2</v>
      </c>
      <c r="G565" s="332">
        <v>17</v>
      </c>
      <c r="H565" s="195">
        <f>VLOOKUP(B565,'17'!$D$7:$K$120,8,0)</f>
        <v>24</v>
      </c>
    </row>
    <row r="566" spans="1:8" ht="15.75" hidden="1" thickTop="1" x14ac:dyDescent="0.25">
      <c r="A566" s="2">
        <v>43</v>
      </c>
      <c r="B566" s="2" t="str">
        <f t="shared" si="15"/>
        <v>EMPTY_EAST_D_1_17</v>
      </c>
      <c r="C566" s="223" t="s">
        <v>32</v>
      </c>
      <c r="D566" s="223" t="s">
        <v>18</v>
      </c>
      <c r="E566" s="223" t="s">
        <v>47</v>
      </c>
      <c r="F566" s="224">
        <v>1</v>
      </c>
      <c r="G566" s="2">
        <v>17</v>
      </c>
      <c r="H566" s="195">
        <f>VLOOKUP(B566,'17'!$D$7:$K$120,8,0)</f>
        <v>26</v>
      </c>
    </row>
    <row r="567" spans="1:8" ht="15.75" hidden="1" thickTop="1" x14ac:dyDescent="0.25">
      <c r="A567" s="2">
        <v>43</v>
      </c>
      <c r="B567" s="2" t="str">
        <f t="shared" si="15"/>
        <v>EMPTY_EAST_K_2_17</v>
      </c>
      <c r="C567" s="223" t="s">
        <v>32</v>
      </c>
      <c r="D567" s="223" t="s">
        <v>18</v>
      </c>
      <c r="E567" s="223" t="s">
        <v>12</v>
      </c>
      <c r="F567" s="224">
        <v>2</v>
      </c>
      <c r="G567" s="2">
        <v>17</v>
      </c>
      <c r="H567" s="195">
        <f>VLOOKUP(B567,'17'!$D$7:$K$120,8,0)</f>
        <v>28</v>
      </c>
    </row>
    <row r="568" spans="1:8" ht="15.75" hidden="1" thickTop="1" x14ac:dyDescent="0.25">
      <c r="A568" s="2">
        <v>43</v>
      </c>
      <c r="B568" s="2" t="str">
        <f t="shared" si="15"/>
        <v>EMPTY_WEST_H_1_17</v>
      </c>
      <c r="C568" s="223" t="s">
        <v>32</v>
      </c>
      <c r="D568" s="223" t="s">
        <v>19</v>
      </c>
      <c r="E568" s="223" t="s">
        <v>9</v>
      </c>
      <c r="F568" s="224">
        <v>1</v>
      </c>
      <c r="G568" s="2">
        <v>17</v>
      </c>
      <c r="H568" s="195">
        <f>VLOOKUP(B568,'17'!$D$7:$K$120,8,0)</f>
        <v>13</v>
      </c>
    </row>
    <row r="569" spans="1:8" ht="15.75" hidden="1" thickTop="1" x14ac:dyDescent="0.25">
      <c r="A569" s="2">
        <v>43</v>
      </c>
      <c r="B569" s="2" t="str">
        <f t="shared" si="15"/>
        <v>EMPTY_WEST_P_2_17</v>
      </c>
      <c r="C569" s="223" t="s">
        <v>32</v>
      </c>
      <c r="D569" s="223" t="s">
        <v>19</v>
      </c>
      <c r="E569" s="223" t="s">
        <v>41</v>
      </c>
      <c r="F569" s="224">
        <v>2</v>
      </c>
      <c r="G569" s="2">
        <v>17</v>
      </c>
      <c r="H569" s="195">
        <f>VLOOKUP(B569,'17'!$D$7:$K$120,8,0)</f>
        <v>15</v>
      </c>
    </row>
    <row r="570" spans="1:8" ht="15.75" hidden="1" thickTop="1" x14ac:dyDescent="0.25">
      <c r="A570" s="2">
        <v>43</v>
      </c>
      <c r="B570" s="2" t="str">
        <f t="shared" si="15"/>
        <v>EMPTY_WEST_O_1_17</v>
      </c>
      <c r="C570" s="223" t="s">
        <v>32</v>
      </c>
      <c r="D570" s="223" t="s">
        <v>19</v>
      </c>
      <c r="E570" s="223" t="s">
        <v>40</v>
      </c>
      <c r="F570" s="224">
        <v>1</v>
      </c>
      <c r="G570" s="2">
        <v>17</v>
      </c>
      <c r="H570" s="195">
        <f>VLOOKUP(B570,'17'!$D$7:$K$120,8,0)</f>
        <v>17</v>
      </c>
    </row>
    <row r="571" spans="1:8" ht="15.75" hidden="1" thickTop="1" x14ac:dyDescent="0.25">
      <c r="A571" s="2">
        <v>43</v>
      </c>
      <c r="B571" s="2" t="str">
        <f t="shared" si="15"/>
        <v>EMPTY_WEST_L_2_17</v>
      </c>
      <c r="C571" s="223" t="s">
        <v>32</v>
      </c>
      <c r="D571" s="223" t="s">
        <v>19</v>
      </c>
      <c r="E571" s="223" t="s">
        <v>13</v>
      </c>
      <c r="F571" s="224">
        <v>2</v>
      </c>
      <c r="G571" s="2">
        <v>17</v>
      </c>
      <c r="H571" s="195">
        <f>VLOOKUP(B571,'17'!$D$7:$K$120,8,0)</f>
        <v>19</v>
      </c>
    </row>
    <row r="572" spans="1:8" ht="15.75" hidden="1" thickTop="1" x14ac:dyDescent="0.25">
      <c r="A572" s="2">
        <v>43</v>
      </c>
      <c r="B572" s="2" t="str">
        <f t="shared" si="15"/>
        <v>EMPTY_WEST_N_1_17</v>
      </c>
      <c r="C572" s="223" t="s">
        <v>32</v>
      </c>
      <c r="D572" s="223" t="s">
        <v>19</v>
      </c>
      <c r="E572" s="223" t="s">
        <v>15</v>
      </c>
      <c r="F572" s="224">
        <v>1</v>
      </c>
      <c r="G572" s="2">
        <v>17</v>
      </c>
      <c r="H572" s="195">
        <f>VLOOKUP(B572,'17'!$D$7:$K$120,8,0)</f>
        <v>21</v>
      </c>
    </row>
    <row r="573" spans="1:8" ht="15.75" hidden="1" thickTop="1" x14ac:dyDescent="0.25">
      <c r="A573" s="2">
        <v>43</v>
      </c>
      <c r="B573" s="2" t="str">
        <f t="shared" si="15"/>
        <v>EMPTY_WEST_J_2_17</v>
      </c>
      <c r="C573" s="223" t="s">
        <v>32</v>
      </c>
      <c r="D573" s="223" t="s">
        <v>19</v>
      </c>
      <c r="E573" s="223" t="s">
        <v>11</v>
      </c>
      <c r="F573" s="224">
        <v>2</v>
      </c>
      <c r="G573" s="2">
        <v>17</v>
      </c>
      <c r="H573" s="195">
        <f>VLOOKUP(B573,'17'!$D$7:$K$120,8,0)</f>
        <v>23</v>
      </c>
    </row>
    <row r="574" spans="1:8" ht="15.75" hidden="1" thickTop="1" x14ac:dyDescent="0.25">
      <c r="A574" s="2">
        <v>43</v>
      </c>
      <c r="B574" s="2" t="str">
        <f t="shared" si="15"/>
        <v>EMPTY_WEST_Q_1_17</v>
      </c>
      <c r="C574" s="223" t="s">
        <v>32</v>
      </c>
      <c r="D574" s="223" t="s">
        <v>19</v>
      </c>
      <c r="E574" s="223" t="s">
        <v>59</v>
      </c>
      <c r="F574" s="224">
        <v>1</v>
      </c>
      <c r="G574" s="195">
        <v>17</v>
      </c>
      <c r="H574" s="195">
        <f>VLOOKUP(B574,'17'!$D$7:$K$120,8,0)</f>
        <v>25</v>
      </c>
    </row>
    <row r="575" spans="1:8" ht="15.75" hidden="1" thickTop="1" x14ac:dyDescent="0.25">
      <c r="A575" s="2">
        <v>43</v>
      </c>
      <c r="B575" s="2" t="str">
        <f t="shared" si="15"/>
        <v>EMPTY_WEST_F_2_17</v>
      </c>
      <c r="C575" s="223" t="s">
        <v>32</v>
      </c>
      <c r="D575" s="223" t="s">
        <v>19</v>
      </c>
      <c r="E575" s="223" t="s">
        <v>7</v>
      </c>
      <c r="F575" s="224">
        <v>2</v>
      </c>
      <c r="G575" s="2">
        <v>17</v>
      </c>
      <c r="H575" s="195">
        <f>VLOOKUP(B575,'17'!$D$7:$K$120,8,0)</f>
        <v>27</v>
      </c>
    </row>
    <row r="576" spans="1:8" ht="15.75" hidden="1" thickTop="1" x14ac:dyDescent="0.25">
      <c r="A576" s="2">
        <v>43</v>
      </c>
      <c r="B576" s="2" t="str">
        <f t="shared" si="15"/>
        <v>EMPTY_WEST_M_1_17</v>
      </c>
      <c r="C576" s="223" t="s">
        <v>32</v>
      </c>
      <c r="D576" s="223" t="s">
        <v>19</v>
      </c>
      <c r="E576" s="223" t="s">
        <v>14</v>
      </c>
      <c r="F576" s="224">
        <v>1</v>
      </c>
      <c r="G576" s="2">
        <v>17</v>
      </c>
      <c r="H576" s="195">
        <f>VLOOKUP(B576,'17'!$D$7:$K$120,8,0)</f>
        <v>29</v>
      </c>
    </row>
    <row r="577" spans="1:8" ht="15.75" hidden="1" thickTop="1" x14ac:dyDescent="0.25">
      <c r="A577" s="2">
        <v>43</v>
      </c>
      <c r="B577" s="2" t="str">
        <f t="shared" si="15"/>
        <v>SORTING_EAST_UNP_1_18</v>
      </c>
      <c r="C577" s="223" t="s">
        <v>45</v>
      </c>
      <c r="D577" s="223" t="s">
        <v>18</v>
      </c>
      <c r="E577" s="223" t="s">
        <v>42</v>
      </c>
      <c r="F577" s="224">
        <v>1</v>
      </c>
      <c r="G577" s="2">
        <v>18</v>
      </c>
      <c r="H577" s="195">
        <f>VLOOKUP(B577,'18'!$D$7:$K$120,8,0)</f>
        <v>0</v>
      </c>
    </row>
    <row r="578" spans="1:8" ht="15.75" hidden="1" thickTop="1" x14ac:dyDescent="0.25">
      <c r="A578" s="2">
        <v>43</v>
      </c>
      <c r="B578" s="2" t="str">
        <f t="shared" si="15"/>
        <v>SORTING_EAST_A_2_18</v>
      </c>
      <c r="C578" s="223" t="s">
        <v>45</v>
      </c>
      <c r="D578" s="223" t="s">
        <v>18</v>
      </c>
      <c r="E578" s="352" t="s">
        <v>2</v>
      </c>
      <c r="F578" s="224">
        <v>2</v>
      </c>
      <c r="G578" s="2">
        <v>18</v>
      </c>
      <c r="H578" s="195">
        <f>VLOOKUP(B578,'18'!$D$7:$K$120,8,0)</f>
        <v>2</v>
      </c>
    </row>
    <row r="579" spans="1:8" ht="15.75" hidden="1" thickTop="1" x14ac:dyDescent="0.25">
      <c r="A579" s="2">
        <v>43</v>
      </c>
      <c r="B579" s="2" t="str">
        <f t="shared" si="15"/>
        <v>SORTING_EAST_C/U_1_18</v>
      </c>
      <c r="C579" s="223" t="s">
        <v>45</v>
      </c>
      <c r="D579" s="223" t="s">
        <v>18</v>
      </c>
      <c r="E579" s="352" t="s">
        <v>67</v>
      </c>
      <c r="F579" s="224">
        <v>1</v>
      </c>
      <c r="G579" s="2">
        <v>18</v>
      </c>
      <c r="H579" s="195">
        <f>VLOOKUP(B579,'18'!$D$7:$K$120,8,0)</f>
        <v>3</v>
      </c>
    </row>
    <row r="580" spans="1:8" ht="15.75" hidden="1" thickTop="1" x14ac:dyDescent="0.25">
      <c r="A580" s="2">
        <v>43</v>
      </c>
      <c r="B580" s="2" t="str">
        <f t="shared" si="15"/>
        <v>SORTING_EAST_C_2_18</v>
      </c>
      <c r="C580" s="223" t="s">
        <v>45</v>
      </c>
      <c r="D580" s="223" t="s">
        <v>18</v>
      </c>
      <c r="E580" s="223" t="s">
        <v>4</v>
      </c>
      <c r="F580" s="224">
        <v>2</v>
      </c>
      <c r="G580" s="2">
        <v>18</v>
      </c>
      <c r="H580" s="195">
        <f>VLOOKUP(B580,'18'!$D$7:$K$120,8,0)</f>
        <v>4</v>
      </c>
    </row>
    <row r="581" spans="1:8" ht="15.75" hidden="1" thickTop="1" x14ac:dyDescent="0.25">
      <c r="A581" s="2">
        <v>43</v>
      </c>
      <c r="B581" s="2" t="str">
        <f t="shared" si="15"/>
        <v>SORTING_EAST_I_1_18</v>
      </c>
      <c r="C581" s="223" t="s">
        <v>45</v>
      </c>
      <c r="D581" s="223" t="s">
        <v>18</v>
      </c>
      <c r="E581" s="223" t="s">
        <v>10</v>
      </c>
      <c r="F581" s="224">
        <v>1</v>
      </c>
      <c r="G581" s="2">
        <v>18</v>
      </c>
      <c r="H581" s="195">
        <f>VLOOKUP(B581,'18'!$D$7:$K$120,8,0)</f>
        <v>6</v>
      </c>
    </row>
    <row r="582" spans="1:8" ht="15.75" hidden="1" thickTop="1" x14ac:dyDescent="0.25">
      <c r="A582" s="2">
        <v>43</v>
      </c>
      <c r="B582" s="2" t="str">
        <f t="shared" si="15"/>
        <v>SORTING_EAST_G_2_18</v>
      </c>
      <c r="C582" s="223" t="s">
        <v>45</v>
      </c>
      <c r="D582" s="223" t="s">
        <v>18</v>
      </c>
      <c r="E582" s="223" t="s">
        <v>8</v>
      </c>
      <c r="F582" s="224">
        <v>2</v>
      </c>
      <c r="G582" s="2">
        <v>18</v>
      </c>
      <c r="H582" s="195">
        <f>VLOOKUP(B582,'18'!$D$7:$K$120,8,0)</f>
        <v>8</v>
      </c>
    </row>
    <row r="583" spans="1:8" ht="15.75" hidden="1" thickTop="1" x14ac:dyDescent="0.25">
      <c r="A583" s="2">
        <v>43</v>
      </c>
      <c r="B583" s="2" t="str">
        <f t="shared" si="15"/>
        <v>SORTING_EAST_B_1_18</v>
      </c>
      <c r="C583" s="223" t="s">
        <v>45</v>
      </c>
      <c r="D583" s="223" t="s">
        <v>18</v>
      </c>
      <c r="E583" s="223" t="s">
        <v>3</v>
      </c>
      <c r="F583" s="224">
        <v>1</v>
      </c>
      <c r="G583" s="2">
        <v>18</v>
      </c>
      <c r="H583" s="195">
        <f>VLOOKUP(B583,'18'!$D$7:$K$120,8,0)</f>
        <v>10</v>
      </c>
    </row>
    <row r="584" spans="1:8" ht="15.75" hidden="1" thickTop="1" x14ac:dyDescent="0.25">
      <c r="A584" s="2">
        <v>43</v>
      </c>
      <c r="B584" s="2" t="str">
        <f t="shared" si="15"/>
        <v>SORTING_EAST_E_2_18</v>
      </c>
      <c r="C584" s="223" t="s">
        <v>45</v>
      </c>
      <c r="D584" s="223" t="s">
        <v>18</v>
      </c>
      <c r="E584" s="223" t="s">
        <v>6</v>
      </c>
      <c r="F584" s="224">
        <v>2</v>
      </c>
      <c r="G584" s="2">
        <v>18</v>
      </c>
      <c r="H584" s="195">
        <f>VLOOKUP(B584,'18'!$D$7:$K$120,8,0)</f>
        <v>12</v>
      </c>
    </row>
    <row r="585" spans="1:8" ht="15.75" hidden="1" thickTop="1" x14ac:dyDescent="0.25">
      <c r="A585" s="2">
        <v>43</v>
      </c>
      <c r="B585" s="2" t="str">
        <f t="shared" si="15"/>
        <v>SORTING_EAST_D_1_18</v>
      </c>
      <c r="C585" s="223" t="s">
        <v>45</v>
      </c>
      <c r="D585" s="223" t="s">
        <v>18</v>
      </c>
      <c r="E585" s="223" t="s">
        <v>47</v>
      </c>
      <c r="F585" s="224">
        <v>1</v>
      </c>
      <c r="G585" s="2">
        <v>18</v>
      </c>
      <c r="H585" s="195">
        <f>VLOOKUP(B585,'18'!$D$7:$K$120,8,0)</f>
        <v>14</v>
      </c>
    </row>
    <row r="586" spans="1:8" ht="15.75" hidden="1" thickTop="1" x14ac:dyDescent="0.25">
      <c r="A586" s="2">
        <v>43</v>
      </c>
      <c r="B586" s="2" t="str">
        <f t="shared" si="15"/>
        <v>SORTING_EAST_K_2_18</v>
      </c>
      <c r="C586" s="223" t="s">
        <v>45</v>
      </c>
      <c r="D586" s="223" t="s">
        <v>18</v>
      </c>
      <c r="E586" s="223" t="s">
        <v>12</v>
      </c>
      <c r="F586" s="224">
        <v>2</v>
      </c>
      <c r="G586" s="2">
        <v>18</v>
      </c>
      <c r="H586" s="195">
        <f>VLOOKUP(B586,'18'!$D$7:$K$120,8,0)</f>
        <v>16</v>
      </c>
    </row>
    <row r="587" spans="1:8" ht="15.75" hidden="1" thickTop="1" x14ac:dyDescent="0.25">
      <c r="A587" s="2">
        <v>43</v>
      </c>
      <c r="B587" s="2" t="str">
        <f t="shared" si="15"/>
        <v>SORTING_WEST_H_1_18</v>
      </c>
      <c r="C587" s="223" t="s">
        <v>45</v>
      </c>
      <c r="D587" s="223" t="s">
        <v>19</v>
      </c>
      <c r="E587" s="223" t="s">
        <v>9</v>
      </c>
      <c r="F587" s="224">
        <v>1</v>
      </c>
      <c r="G587" s="2">
        <v>18</v>
      </c>
      <c r="H587" s="195">
        <f>VLOOKUP(B587,'18'!$D$7:$K$120,8,0)</f>
        <v>0</v>
      </c>
    </row>
    <row r="588" spans="1:8" ht="15.75" hidden="1" thickTop="1" x14ac:dyDescent="0.25">
      <c r="A588" s="2">
        <v>43</v>
      </c>
      <c r="B588" s="2" t="str">
        <f t="shared" si="15"/>
        <v>SORTING_WEST_P_2_18</v>
      </c>
      <c r="C588" s="223" t="s">
        <v>45</v>
      </c>
      <c r="D588" s="223" t="s">
        <v>19</v>
      </c>
      <c r="E588" s="223" t="s">
        <v>41</v>
      </c>
      <c r="F588" s="224">
        <v>2</v>
      </c>
      <c r="G588" s="2">
        <v>18</v>
      </c>
      <c r="H588" s="195">
        <f>VLOOKUP(B588,'18'!$D$7:$K$120,8,0)</f>
        <v>2</v>
      </c>
    </row>
    <row r="589" spans="1:8" ht="15.75" hidden="1" thickTop="1" x14ac:dyDescent="0.25">
      <c r="A589" s="2">
        <v>43</v>
      </c>
      <c r="B589" s="2" t="str">
        <f t="shared" si="15"/>
        <v>SORTING_WEST_O_1_18</v>
      </c>
      <c r="C589" s="223" t="s">
        <v>45</v>
      </c>
      <c r="D589" s="223" t="s">
        <v>19</v>
      </c>
      <c r="E589" s="223" t="s">
        <v>40</v>
      </c>
      <c r="F589" s="224">
        <v>1</v>
      </c>
      <c r="G589" s="2">
        <v>18</v>
      </c>
      <c r="H589" s="195">
        <f>VLOOKUP(B589,'18'!$D$7:$K$120,8,0)</f>
        <v>4</v>
      </c>
    </row>
    <row r="590" spans="1:8" ht="15.75" hidden="1" thickTop="1" x14ac:dyDescent="0.25">
      <c r="A590" s="2">
        <v>43</v>
      </c>
      <c r="B590" s="2" t="str">
        <f t="shared" si="15"/>
        <v>SORTING_WEST_L_2_18</v>
      </c>
      <c r="C590" s="223" t="s">
        <v>45</v>
      </c>
      <c r="D590" s="223" t="s">
        <v>19</v>
      </c>
      <c r="E590" s="223" t="s">
        <v>13</v>
      </c>
      <c r="F590" s="224">
        <v>2</v>
      </c>
      <c r="G590" s="2">
        <v>18</v>
      </c>
      <c r="H590" s="195">
        <f>VLOOKUP(B590,'18'!$D$7:$K$120,8,0)</f>
        <v>6</v>
      </c>
    </row>
    <row r="591" spans="1:8" ht="15.75" hidden="1" thickTop="1" x14ac:dyDescent="0.25">
      <c r="A591" s="2">
        <v>43</v>
      </c>
      <c r="B591" s="2" t="str">
        <f t="shared" si="15"/>
        <v>SORTING_WEST_N_1_18</v>
      </c>
      <c r="C591" s="223" t="s">
        <v>45</v>
      </c>
      <c r="D591" s="223" t="s">
        <v>19</v>
      </c>
      <c r="E591" s="223" t="s">
        <v>15</v>
      </c>
      <c r="F591" s="224">
        <v>1</v>
      </c>
      <c r="G591" s="2">
        <v>18</v>
      </c>
      <c r="H591" s="195">
        <f>VLOOKUP(B591,'18'!$D$7:$K$120,8,0)</f>
        <v>8</v>
      </c>
    </row>
    <row r="592" spans="1:8" ht="15.75" hidden="1" thickTop="1" x14ac:dyDescent="0.25">
      <c r="A592" s="2">
        <v>43</v>
      </c>
      <c r="B592" s="2" t="str">
        <f t="shared" si="15"/>
        <v>SORTING_WEST_J_2_18</v>
      </c>
      <c r="C592" s="223" t="s">
        <v>45</v>
      </c>
      <c r="D592" s="223" t="s">
        <v>19</v>
      </c>
      <c r="E592" s="223" t="s">
        <v>11</v>
      </c>
      <c r="F592" s="224">
        <v>2</v>
      </c>
      <c r="G592" s="2">
        <v>18</v>
      </c>
      <c r="H592" s="195">
        <f>VLOOKUP(B592,'18'!$D$7:$K$120,8,0)</f>
        <v>10</v>
      </c>
    </row>
    <row r="593" spans="1:8" ht="15.75" hidden="1" thickTop="1" x14ac:dyDescent="0.25">
      <c r="A593" s="2">
        <v>43</v>
      </c>
      <c r="B593" s="2" t="str">
        <f t="shared" si="15"/>
        <v>SORTING_WEST_Q_1_18</v>
      </c>
      <c r="C593" s="223" t="s">
        <v>45</v>
      </c>
      <c r="D593" s="223" t="s">
        <v>19</v>
      </c>
      <c r="E593" s="223" t="s">
        <v>59</v>
      </c>
      <c r="F593" s="224">
        <v>1</v>
      </c>
      <c r="G593" s="195">
        <v>18</v>
      </c>
      <c r="H593" s="195">
        <f>VLOOKUP(B593,'18'!$D$7:$K$120,8,0)</f>
        <v>12</v>
      </c>
    </row>
    <row r="594" spans="1:8" ht="15.75" hidden="1" thickTop="1" x14ac:dyDescent="0.25">
      <c r="A594" s="2">
        <v>43</v>
      </c>
      <c r="B594" s="2" t="str">
        <f t="shared" si="15"/>
        <v>SORTING_WEST_F_2_18</v>
      </c>
      <c r="C594" s="223" t="s">
        <v>45</v>
      </c>
      <c r="D594" s="223" t="s">
        <v>19</v>
      </c>
      <c r="E594" s="223" t="s">
        <v>7</v>
      </c>
      <c r="F594" s="224">
        <v>2</v>
      </c>
      <c r="G594" s="2">
        <v>18</v>
      </c>
      <c r="H594" s="195">
        <f>VLOOKUP(B594,'18'!$D$7:$K$120,8,0)</f>
        <v>14</v>
      </c>
    </row>
    <row r="595" spans="1:8" ht="15.75" hidden="1" thickTop="1" x14ac:dyDescent="0.25">
      <c r="A595" s="2">
        <v>43</v>
      </c>
      <c r="B595" s="2" t="str">
        <f t="shared" si="15"/>
        <v>SORTING_WEST_M_1_18</v>
      </c>
      <c r="C595" s="223" t="s">
        <v>45</v>
      </c>
      <c r="D595" s="223" t="s">
        <v>19</v>
      </c>
      <c r="E595" s="223" t="s">
        <v>14</v>
      </c>
      <c r="F595" s="224">
        <v>1</v>
      </c>
      <c r="G595" s="2">
        <v>18</v>
      </c>
      <c r="H595" s="195">
        <f>VLOOKUP(B595,'18'!$D$7:$K$120,8,0)</f>
        <v>16</v>
      </c>
    </row>
    <row r="596" spans="1:8" ht="15.75" hidden="1" thickTop="1" x14ac:dyDescent="0.25">
      <c r="A596" s="2">
        <v>43</v>
      </c>
      <c r="B596" s="2" t="str">
        <f t="shared" si="15"/>
        <v>TRANSFER_EAST_UNP_1_18</v>
      </c>
      <c r="C596" s="223" t="s">
        <v>21</v>
      </c>
      <c r="D596" s="223" t="s">
        <v>18</v>
      </c>
      <c r="E596" s="223" t="s">
        <v>42</v>
      </c>
      <c r="F596" s="224">
        <v>1</v>
      </c>
      <c r="G596" s="2">
        <v>18</v>
      </c>
      <c r="H596" s="195">
        <f>VLOOKUP(B596,'18'!$D$7:$K$120,8,0)</f>
        <v>2</v>
      </c>
    </row>
    <row r="597" spans="1:8" ht="15.75" hidden="1" thickTop="1" x14ac:dyDescent="0.25">
      <c r="A597" s="2">
        <v>43</v>
      </c>
      <c r="B597" s="2" t="str">
        <f t="shared" si="15"/>
        <v>TRANSFER_EAST_A_2_18</v>
      </c>
      <c r="C597" s="223" t="s">
        <v>21</v>
      </c>
      <c r="D597" s="223" t="s">
        <v>18</v>
      </c>
      <c r="E597" s="352" t="s">
        <v>2</v>
      </c>
      <c r="F597" s="224">
        <v>2</v>
      </c>
      <c r="G597" s="2">
        <v>18</v>
      </c>
      <c r="H597" s="195">
        <f>VLOOKUP(B597,'18'!$D$7:$K$120,8,0)</f>
        <v>3</v>
      </c>
    </row>
    <row r="598" spans="1:8" ht="15.75" hidden="1" thickTop="1" x14ac:dyDescent="0.25">
      <c r="A598" s="2">
        <v>43</v>
      </c>
      <c r="B598" s="2" t="str">
        <f t="shared" si="15"/>
        <v>TRANSFER_EAST_C/U_1_18</v>
      </c>
      <c r="C598" s="223" t="s">
        <v>21</v>
      </c>
      <c r="D598" s="223" t="s">
        <v>18</v>
      </c>
      <c r="E598" s="352" t="s">
        <v>67</v>
      </c>
      <c r="F598" s="224">
        <v>1</v>
      </c>
      <c r="G598" s="2">
        <v>18</v>
      </c>
      <c r="H598" s="195">
        <f>VLOOKUP(B598,'18'!$D$7:$K$120,8,0)</f>
        <v>4</v>
      </c>
    </row>
    <row r="599" spans="1:8" ht="15.75" hidden="1" thickTop="1" x14ac:dyDescent="0.25">
      <c r="A599" s="2">
        <v>43</v>
      </c>
      <c r="B599" s="2" t="str">
        <f t="shared" si="15"/>
        <v>TRANSFER_EAST_C_2_18</v>
      </c>
      <c r="C599" s="223" t="s">
        <v>21</v>
      </c>
      <c r="D599" s="223" t="s">
        <v>18</v>
      </c>
      <c r="E599" s="223" t="s">
        <v>4</v>
      </c>
      <c r="F599" s="224">
        <v>2</v>
      </c>
      <c r="G599" s="2">
        <v>18</v>
      </c>
      <c r="H599" s="195">
        <f>VLOOKUP(B599,'18'!$D$7:$K$120,8,0)</f>
        <v>6</v>
      </c>
    </row>
    <row r="600" spans="1:8" ht="15.75" hidden="1" thickTop="1" x14ac:dyDescent="0.25">
      <c r="A600" s="2">
        <v>43</v>
      </c>
      <c r="B600" s="2" t="str">
        <f t="shared" si="15"/>
        <v>TRANSFER_EAST_I_1_18</v>
      </c>
      <c r="C600" s="223" t="s">
        <v>21</v>
      </c>
      <c r="D600" s="223" t="s">
        <v>18</v>
      </c>
      <c r="E600" s="223" t="s">
        <v>10</v>
      </c>
      <c r="F600" s="224">
        <v>1</v>
      </c>
      <c r="G600" s="2">
        <v>18</v>
      </c>
      <c r="H600" s="195">
        <f>VLOOKUP(B600,'18'!$D$7:$K$120,8,0)</f>
        <v>8</v>
      </c>
    </row>
    <row r="601" spans="1:8" ht="15.75" hidden="1" thickTop="1" x14ac:dyDescent="0.25">
      <c r="A601" s="2">
        <v>43</v>
      </c>
      <c r="B601" s="2" t="str">
        <f t="shared" si="15"/>
        <v>TRANSFER_EAST_G_2_18</v>
      </c>
      <c r="C601" s="223" t="s">
        <v>21</v>
      </c>
      <c r="D601" s="223" t="s">
        <v>18</v>
      </c>
      <c r="E601" s="223" t="s">
        <v>8</v>
      </c>
      <c r="F601" s="224">
        <v>2</v>
      </c>
      <c r="G601" s="2">
        <v>18</v>
      </c>
      <c r="H601" s="195">
        <f>VLOOKUP(B601,'18'!$D$7:$K$120,8,0)</f>
        <v>10</v>
      </c>
    </row>
    <row r="602" spans="1:8" ht="15.75" hidden="1" thickTop="1" x14ac:dyDescent="0.25">
      <c r="A602" s="2">
        <v>43</v>
      </c>
      <c r="B602" s="2" t="str">
        <f t="shared" si="15"/>
        <v>TRANSFER_EAST_B_1_18</v>
      </c>
      <c r="C602" s="223" t="s">
        <v>21</v>
      </c>
      <c r="D602" s="223" t="s">
        <v>18</v>
      </c>
      <c r="E602" s="223" t="s">
        <v>3</v>
      </c>
      <c r="F602" s="224">
        <v>1</v>
      </c>
      <c r="G602" s="2">
        <v>18</v>
      </c>
      <c r="H602" s="195">
        <f>VLOOKUP(B602,'18'!$D$7:$K$120,8,0)</f>
        <v>12</v>
      </c>
    </row>
    <row r="603" spans="1:8" ht="15.75" hidden="1" thickTop="1" x14ac:dyDescent="0.25">
      <c r="A603" s="2">
        <v>43</v>
      </c>
      <c r="B603" s="2" t="str">
        <f t="shared" si="15"/>
        <v>TRANSFER_EAST_E_2_18</v>
      </c>
      <c r="C603" s="223" t="s">
        <v>21</v>
      </c>
      <c r="D603" s="223" t="s">
        <v>18</v>
      </c>
      <c r="E603" s="223" t="s">
        <v>6</v>
      </c>
      <c r="F603" s="224">
        <v>2</v>
      </c>
      <c r="G603" s="2">
        <v>18</v>
      </c>
      <c r="H603" s="195">
        <f>VLOOKUP(B603,'18'!$D$7:$K$120,8,0)</f>
        <v>14</v>
      </c>
    </row>
    <row r="604" spans="1:8" ht="15.75" hidden="1" thickTop="1" x14ac:dyDescent="0.25">
      <c r="A604" s="2">
        <v>43</v>
      </c>
      <c r="B604" s="2" t="str">
        <f t="shared" si="15"/>
        <v>TRANSFER_EAST_D_1_18</v>
      </c>
      <c r="C604" s="223" t="s">
        <v>21</v>
      </c>
      <c r="D604" s="223" t="s">
        <v>18</v>
      </c>
      <c r="E604" s="223" t="s">
        <v>47</v>
      </c>
      <c r="F604" s="224">
        <v>1</v>
      </c>
      <c r="G604" s="2">
        <v>18</v>
      </c>
      <c r="H604" s="195">
        <f>VLOOKUP(B604,'18'!$D$7:$K$120,8,0)</f>
        <v>16</v>
      </c>
    </row>
    <row r="605" spans="1:8" ht="15.75" hidden="1" thickTop="1" x14ac:dyDescent="0.25">
      <c r="A605" s="2">
        <v>43</v>
      </c>
      <c r="B605" s="2" t="str">
        <f t="shared" si="15"/>
        <v>TRANSFER_EAST_K_2_18</v>
      </c>
      <c r="C605" s="223" t="s">
        <v>21</v>
      </c>
      <c r="D605" s="223" t="s">
        <v>18</v>
      </c>
      <c r="E605" s="223" t="s">
        <v>12</v>
      </c>
      <c r="F605" s="224">
        <v>2</v>
      </c>
      <c r="G605" s="2">
        <v>18</v>
      </c>
      <c r="H605" s="195">
        <f>VLOOKUP(B605,'18'!$D$7:$K$120,8,0)</f>
        <v>18</v>
      </c>
    </row>
    <row r="606" spans="1:8" ht="15.75" hidden="1" thickTop="1" x14ac:dyDescent="0.25">
      <c r="A606" s="2">
        <v>43</v>
      </c>
      <c r="B606" s="2" t="str">
        <f t="shared" ref="B606:B671" si="16">C606&amp;"_"&amp;D606&amp;"_"&amp;E606&amp;"_"&amp;F606&amp;"_"&amp;G606</f>
        <v>TRANSFER_WEST_H_1_18</v>
      </c>
      <c r="C606" s="223" t="s">
        <v>21</v>
      </c>
      <c r="D606" s="223" t="s">
        <v>19</v>
      </c>
      <c r="E606" s="223" t="s">
        <v>9</v>
      </c>
      <c r="F606" s="224">
        <v>1</v>
      </c>
      <c r="G606" s="2">
        <v>18</v>
      </c>
      <c r="H606" s="195">
        <f>VLOOKUP(B606,'18'!$D$7:$K$120,8,0)</f>
        <v>2</v>
      </c>
    </row>
    <row r="607" spans="1:8" ht="15.75" hidden="1" thickTop="1" x14ac:dyDescent="0.25">
      <c r="A607" s="2">
        <v>43</v>
      </c>
      <c r="B607" s="2" t="str">
        <f t="shared" si="16"/>
        <v>TRANSFER_WEST_P_2_18</v>
      </c>
      <c r="C607" s="223" t="s">
        <v>21</v>
      </c>
      <c r="D607" s="223" t="s">
        <v>19</v>
      </c>
      <c r="E607" s="223" t="s">
        <v>41</v>
      </c>
      <c r="F607" s="224">
        <v>2</v>
      </c>
      <c r="G607" s="2">
        <v>18</v>
      </c>
      <c r="H607" s="195">
        <f>VLOOKUP(B607,'18'!$D$7:$K$120,8,0)</f>
        <v>4</v>
      </c>
    </row>
    <row r="608" spans="1:8" ht="15.75" hidden="1" thickTop="1" x14ac:dyDescent="0.25">
      <c r="A608" s="2">
        <v>43</v>
      </c>
      <c r="B608" s="2" t="str">
        <f t="shared" si="16"/>
        <v>TRANSFER_WEST_O_1_18</v>
      </c>
      <c r="C608" s="223" t="s">
        <v>21</v>
      </c>
      <c r="D608" s="223" t="s">
        <v>19</v>
      </c>
      <c r="E608" s="223" t="s">
        <v>40</v>
      </c>
      <c r="F608" s="224">
        <v>1</v>
      </c>
      <c r="G608" s="2">
        <v>18</v>
      </c>
      <c r="H608" s="195">
        <f>VLOOKUP(B608,'18'!$D$7:$K$120,8,0)</f>
        <v>6</v>
      </c>
    </row>
    <row r="609" spans="1:8" ht="15.75" hidden="1" thickTop="1" x14ac:dyDescent="0.25">
      <c r="A609" s="2">
        <v>43</v>
      </c>
      <c r="B609" s="2" t="str">
        <f t="shared" si="16"/>
        <v>TRANSFER_WEST_L_2_18</v>
      </c>
      <c r="C609" s="223" t="s">
        <v>21</v>
      </c>
      <c r="D609" s="223" t="s">
        <v>19</v>
      </c>
      <c r="E609" s="223" t="s">
        <v>13</v>
      </c>
      <c r="F609" s="224">
        <v>2</v>
      </c>
      <c r="G609" s="2">
        <v>18</v>
      </c>
      <c r="H609" s="195">
        <f>VLOOKUP(B609,'18'!$D$7:$K$120,8,0)</f>
        <v>8</v>
      </c>
    </row>
    <row r="610" spans="1:8" ht="15.75" hidden="1" thickTop="1" x14ac:dyDescent="0.25">
      <c r="A610" s="2">
        <v>43</v>
      </c>
      <c r="B610" s="2" t="str">
        <f t="shared" si="16"/>
        <v>TRANSFER_WEST_N_1_18</v>
      </c>
      <c r="C610" s="223" t="s">
        <v>21</v>
      </c>
      <c r="D610" s="223" t="s">
        <v>19</v>
      </c>
      <c r="E610" s="223" t="s">
        <v>15</v>
      </c>
      <c r="F610" s="224">
        <v>1</v>
      </c>
      <c r="G610" s="2">
        <v>18</v>
      </c>
      <c r="H610" s="195">
        <f>VLOOKUP(B610,'18'!$D$7:$K$120,8,0)</f>
        <v>10</v>
      </c>
    </row>
    <row r="611" spans="1:8" ht="15.75" hidden="1" thickTop="1" x14ac:dyDescent="0.25">
      <c r="A611" s="2">
        <v>43</v>
      </c>
      <c r="B611" s="2" t="str">
        <f t="shared" si="16"/>
        <v>TRANSFER_WEST_J_2_18</v>
      </c>
      <c r="C611" s="223" t="s">
        <v>21</v>
      </c>
      <c r="D611" s="223" t="s">
        <v>19</v>
      </c>
      <c r="E611" s="223" t="s">
        <v>11</v>
      </c>
      <c r="F611" s="224">
        <v>2</v>
      </c>
      <c r="G611" s="2">
        <v>18</v>
      </c>
      <c r="H611" s="195">
        <f>VLOOKUP(B611,'18'!$D$7:$K$120,8,0)</f>
        <v>12</v>
      </c>
    </row>
    <row r="612" spans="1:8" ht="15.75" hidden="1" thickTop="1" x14ac:dyDescent="0.25">
      <c r="A612" s="2">
        <v>43</v>
      </c>
      <c r="B612" s="2" t="str">
        <f t="shared" si="16"/>
        <v>TRANSFER_WEST_Q_1_18</v>
      </c>
      <c r="C612" s="223" t="s">
        <v>21</v>
      </c>
      <c r="D612" s="223" t="s">
        <v>19</v>
      </c>
      <c r="E612" s="223" t="s">
        <v>59</v>
      </c>
      <c r="F612" s="224">
        <v>1</v>
      </c>
      <c r="G612" s="195">
        <v>18</v>
      </c>
      <c r="H612" s="195">
        <f>VLOOKUP(B612,'18'!$D$7:$K$120,8,0)</f>
        <v>14</v>
      </c>
    </row>
    <row r="613" spans="1:8" ht="15.75" hidden="1" thickTop="1" x14ac:dyDescent="0.25">
      <c r="A613" s="2">
        <v>43</v>
      </c>
      <c r="B613" s="2" t="str">
        <f t="shared" si="16"/>
        <v>TRANSFER_WEST_F_2_18</v>
      </c>
      <c r="C613" s="223" t="s">
        <v>21</v>
      </c>
      <c r="D613" s="223" t="s">
        <v>19</v>
      </c>
      <c r="E613" s="223" t="s">
        <v>7</v>
      </c>
      <c r="F613" s="224">
        <v>2</v>
      </c>
      <c r="G613" s="2">
        <v>18</v>
      </c>
      <c r="H613" s="195">
        <f>VLOOKUP(B613,'18'!$D$7:$K$120,8,0)</f>
        <v>16</v>
      </c>
    </row>
    <row r="614" spans="1:8" ht="15.75" hidden="1" thickTop="1" x14ac:dyDescent="0.25">
      <c r="A614" s="2">
        <v>43</v>
      </c>
      <c r="B614" s="2" t="str">
        <f t="shared" si="16"/>
        <v>TRANSFER_WEST_M_1_18</v>
      </c>
      <c r="C614" s="223" t="s">
        <v>21</v>
      </c>
      <c r="D614" s="223" t="s">
        <v>19</v>
      </c>
      <c r="E614" s="223" t="s">
        <v>14</v>
      </c>
      <c r="F614" s="224">
        <v>1</v>
      </c>
      <c r="G614" s="2">
        <v>18</v>
      </c>
      <c r="H614" s="195">
        <f>VLOOKUP(B614,'18'!$D$7:$K$120,8,0)</f>
        <v>18</v>
      </c>
    </row>
    <row r="615" spans="1:8" ht="15.75" hidden="1" thickTop="1" x14ac:dyDescent="0.25">
      <c r="A615" s="2">
        <v>43</v>
      </c>
      <c r="B615" s="2" t="str">
        <f t="shared" si="16"/>
        <v>PREPARE_EAST_UNP_1_18</v>
      </c>
      <c r="C615" s="223" t="s">
        <v>46</v>
      </c>
      <c r="D615" s="223" t="s">
        <v>18</v>
      </c>
      <c r="E615" s="223" t="s">
        <v>42</v>
      </c>
      <c r="F615" s="224">
        <v>1</v>
      </c>
      <c r="G615" s="2">
        <v>18</v>
      </c>
      <c r="H615" s="195">
        <f>VLOOKUP(B615,'18'!$D$7:$K$120,8,0)</f>
        <v>16</v>
      </c>
    </row>
    <row r="616" spans="1:8" ht="15.75" hidden="1" thickTop="1" x14ac:dyDescent="0.25">
      <c r="A616" s="2">
        <v>43</v>
      </c>
      <c r="B616" s="2" t="str">
        <f t="shared" si="16"/>
        <v>PREPARE_EAST_A_2_18</v>
      </c>
      <c r="C616" s="223" t="s">
        <v>46</v>
      </c>
      <c r="D616" s="223" t="s">
        <v>18</v>
      </c>
      <c r="E616" s="352" t="s">
        <v>2</v>
      </c>
      <c r="F616" s="224">
        <v>2</v>
      </c>
      <c r="G616" s="2">
        <v>18</v>
      </c>
      <c r="H616" s="195">
        <f>VLOOKUP(B616,'18'!$D$7:$K$120,8,0)</f>
        <v>18</v>
      </c>
    </row>
    <row r="617" spans="1:8" ht="15.75" hidden="1" thickTop="1" x14ac:dyDescent="0.25">
      <c r="A617" s="2">
        <v>43</v>
      </c>
      <c r="B617" s="2" t="str">
        <f t="shared" si="16"/>
        <v>PREPARE_EAST_C/U_1_18</v>
      </c>
      <c r="C617" s="223" t="s">
        <v>46</v>
      </c>
      <c r="D617" s="223" t="s">
        <v>18</v>
      </c>
      <c r="E617" s="352" t="s">
        <v>67</v>
      </c>
      <c r="F617" s="224">
        <v>1</v>
      </c>
      <c r="G617" s="2">
        <v>18</v>
      </c>
      <c r="H617" s="195">
        <f>VLOOKUP(B617,'18'!$D$7:$K$120,8,0)</f>
        <v>18</v>
      </c>
    </row>
    <row r="618" spans="1:8" ht="15.75" hidden="1" thickTop="1" x14ac:dyDescent="0.25">
      <c r="A618" s="2">
        <v>43</v>
      </c>
      <c r="B618" s="2" t="str">
        <f t="shared" si="16"/>
        <v>PREPARE_EAST_C_2_18</v>
      </c>
      <c r="C618" s="223" t="s">
        <v>46</v>
      </c>
      <c r="D618" s="223" t="s">
        <v>18</v>
      </c>
      <c r="E618" s="223" t="s">
        <v>4</v>
      </c>
      <c r="F618" s="224">
        <v>2</v>
      </c>
      <c r="G618" s="2">
        <v>18</v>
      </c>
      <c r="H618" s="195">
        <f>VLOOKUP(B618,'18'!$D$7:$K$120,8,0)</f>
        <v>20</v>
      </c>
    </row>
    <row r="619" spans="1:8" ht="15.75" hidden="1" thickTop="1" x14ac:dyDescent="0.25">
      <c r="A619" s="2">
        <v>43</v>
      </c>
      <c r="B619" s="2" t="str">
        <f t="shared" si="16"/>
        <v>PREPARE_EAST_I_1_18</v>
      </c>
      <c r="C619" s="223" t="s">
        <v>46</v>
      </c>
      <c r="D619" s="223" t="s">
        <v>18</v>
      </c>
      <c r="E619" s="223" t="s">
        <v>10</v>
      </c>
      <c r="F619" s="224">
        <v>1</v>
      </c>
      <c r="G619" s="2">
        <v>18</v>
      </c>
      <c r="H619" s="195">
        <f>VLOOKUP(B619,'18'!$D$7:$K$120,8,0)</f>
        <v>22</v>
      </c>
    </row>
    <row r="620" spans="1:8" ht="15.75" hidden="1" thickTop="1" x14ac:dyDescent="0.25">
      <c r="A620" s="2">
        <v>43</v>
      </c>
      <c r="B620" s="2" t="str">
        <f t="shared" si="16"/>
        <v>PREPARE_EAST_G_2_18</v>
      </c>
      <c r="C620" s="223" t="s">
        <v>46</v>
      </c>
      <c r="D620" s="223" t="s">
        <v>18</v>
      </c>
      <c r="E620" s="223" t="s">
        <v>8</v>
      </c>
      <c r="F620" s="224">
        <v>2</v>
      </c>
      <c r="G620" s="2">
        <v>18</v>
      </c>
      <c r="H620" s="195">
        <f>VLOOKUP(B620,'18'!$D$7:$K$120,8,0)</f>
        <v>24</v>
      </c>
    </row>
    <row r="621" spans="1:8" ht="15.75" hidden="1" thickTop="1" x14ac:dyDescent="0.25">
      <c r="A621" s="2">
        <v>43</v>
      </c>
      <c r="B621" s="2" t="str">
        <f t="shared" si="16"/>
        <v>PREPARE_EAST_B_1_18</v>
      </c>
      <c r="C621" s="223" t="s">
        <v>46</v>
      </c>
      <c r="D621" s="223" t="s">
        <v>18</v>
      </c>
      <c r="E621" s="223" t="s">
        <v>3</v>
      </c>
      <c r="F621" s="224">
        <v>1</v>
      </c>
      <c r="G621" s="2">
        <v>18</v>
      </c>
      <c r="H621" s="195">
        <f>VLOOKUP(B621,'18'!$D$7:$K$120,8,0)</f>
        <v>26</v>
      </c>
    </row>
    <row r="622" spans="1:8" ht="15.75" hidden="1" thickTop="1" x14ac:dyDescent="0.25">
      <c r="A622" s="2">
        <v>43</v>
      </c>
      <c r="B622" s="2" t="str">
        <f t="shared" si="16"/>
        <v>PREPARE_EAST_E_2_18</v>
      </c>
      <c r="C622" s="223" t="s">
        <v>46</v>
      </c>
      <c r="D622" s="223" t="s">
        <v>18</v>
      </c>
      <c r="E622" s="223" t="s">
        <v>6</v>
      </c>
      <c r="F622" s="224">
        <v>2</v>
      </c>
      <c r="G622" s="2">
        <v>18</v>
      </c>
      <c r="H622" s="195">
        <f>VLOOKUP(B622,'18'!$D$7:$K$120,8,0)</f>
        <v>28</v>
      </c>
    </row>
    <row r="623" spans="1:8" ht="15.75" hidden="1" thickTop="1" x14ac:dyDescent="0.25">
      <c r="A623" s="2">
        <v>43</v>
      </c>
      <c r="B623" s="2" t="str">
        <f t="shared" si="16"/>
        <v>PREPARE_EAST_D_1_18</v>
      </c>
      <c r="C623" s="223" t="s">
        <v>46</v>
      </c>
      <c r="D623" s="223" t="s">
        <v>18</v>
      </c>
      <c r="E623" s="223" t="s">
        <v>47</v>
      </c>
      <c r="F623" s="224">
        <v>1</v>
      </c>
      <c r="G623" s="2">
        <v>18</v>
      </c>
      <c r="H623" s="195">
        <f>VLOOKUP(B623,'18'!$D$7:$K$120,8,0)</f>
        <v>30</v>
      </c>
    </row>
    <row r="624" spans="1:8" ht="15.75" hidden="1" thickTop="1" x14ac:dyDescent="0.25">
      <c r="A624" s="2">
        <v>43</v>
      </c>
      <c r="B624" s="2" t="str">
        <f t="shared" si="16"/>
        <v>PREPARE_EAST_K_2_18</v>
      </c>
      <c r="C624" s="223" t="s">
        <v>46</v>
      </c>
      <c r="D624" s="223" t="s">
        <v>18</v>
      </c>
      <c r="E624" s="223" t="s">
        <v>12</v>
      </c>
      <c r="F624" s="224">
        <v>2</v>
      </c>
      <c r="G624" s="2">
        <v>18</v>
      </c>
      <c r="H624" s="195">
        <f>VLOOKUP(B624,'18'!$D$7:$K$120,8,0)</f>
        <v>32</v>
      </c>
    </row>
    <row r="625" spans="1:8" ht="15.75" hidden="1" thickTop="1" x14ac:dyDescent="0.25">
      <c r="A625" s="2">
        <v>43</v>
      </c>
      <c r="B625" s="2" t="str">
        <f t="shared" si="16"/>
        <v>PREPARE_WEST_H_1_18</v>
      </c>
      <c r="C625" s="223" t="s">
        <v>46</v>
      </c>
      <c r="D625" s="223" t="s">
        <v>19</v>
      </c>
      <c r="E625" s="223" t="s">
        <v>9</v>
      </c>
      <c r="F625" s="224">
        <v>1</v>
      </c>
      <c r="G625" s="2">
        <v>18</v>
      </c>
      <c r="H625" s="195">
        <f>VLOOKUP(B625,'18'!$D$7:$K$120,8,0)</f>
        <v>17</v>
      </c>
    </row>
    <row r="626" spans="1:8" ht="15.75" hidden="1" thickTop="1" x14ac:dyDescent="0.25">
      <c r="A626" s="2">
        <v>43</v>
      </c>
      <c r="B626" s="2" t="str">
        <f t="shared" si="16"/>
        <v>PREPARE_WEST_P_2_18</v>
      </c>
      <c r="C626" s="223" t="s">
        <v>46</v>
      </c>
      <c r="D626" s="223" t="s">
        <v>19</v>
      </c>
      <c r="E626" s="223" t="s">
        <v>41</v>
      </c>
      <c r="F626" s="224">
        <v>2</v>
      </c>
      <c r="G626" s="2">
        <v>18</v>
      </c>
      <c r="H626" s="195">
        <f>VLOOKUP(B626,'18'!$D$7:$K$120,8,0)</f>
        <v>19</v>
      </c>
    </row>
    <row r="627" spans="1:8" ht="15.75" hidden="1" thickTop="1" x14ac:dyDescent="0.25">
      <c r="A627" s="2">
        <v>43</v>
      </c>
      <c r="B627" s="2" t="str">
        <f t="shared" si="16"/>
        <v>PREPARE_WEST_O_1_18</v>
      </c>
      <c r="C627" s="223" t="s">
        <v>46</v>
      </c>
      <c r="D627" s="223" t="s">
        <v>19</v>
      </c>
      <c r="E627" s="223" t="s">
        <v>40</v>
      </c>
      <c r="F627" s="224">
        <v>1</v>
      </c>
      <c r="G627" s="2">
        <v>18</v>
      </c>
      <c r="H627" s="195">
        <f>VLOOKUP(B627,'18'!$D$7:$K$120,8,0)</f>
        <v>21</v>
      </c>
    </row>
    <row r="628" spans="1:8" ht="15.75" hidden="1" thickTop="1" x14ac:dyDescent="0.25">
      <c r="A628" s="2">
        <v>43</v>
      </c>
      <c r="B628" s="2" t="str">
        <f t="shared" si="16"/>
        <v>PREPARE_WEST_L_2_18</v>
      </c>
      <c r="C628" s="223" t="s">
        <v>46</v>
      </c>
      <c r="D628" s="223" t="s">
        <v>19</v>
      </c>
      <c r="E628" s="223" t="s">
        <v>13</v>
      </c>
      <c r="F628" s="224">
        <v>2</v>
      </c>
      <c r="G628" s="2">
        <v>18</v>
      </c>
      <c r="H628" s="195">
        <f>VLOOKUP(B628,'18'!$D$7:$K$120,8,0)</f>
        <v>23</v>
      </c>
    </row>
    <row r="629" spans="1:8" ht="15.75" hidden="1" thickTop="1" x14ac:dyDescent="0.25">
      <c r="A629" s="2">
        <v>43</v>
      </c>
      <c r="B629" s="2" t="str">
        <f t="shared" si="16"/>
        <v>PREPARE_WEST_N_1_18</v>
      </c>
      <c r="C629" s="223" t="s">
        <v>46</v>
      </c>
      <c r="D629" s="223" t="s">
        <v>19</v>
      </c>
      <c r="E629" s="223" t="s">
        <v>15</v>
      </c>
      <c r="F629" s="224">
        <v>1</v>
      </c>
      <c r="G629" s="2">
        <v>18</v>
      </c>
      <c r="H629" s="195">
        <f>VLOOKUP(B629,'18'!$D$7:$K$120,8,0)</f>
        <v>25</v>
      </c>
    </row>
    <row r="630" spans="1:8" ht="15.75" hidden="1" thickTop="1" x14ac:dyDescent="0.25">
      <c r="A630" s="2">
        <v>43</v>
      </c>
      <c r="B630" s="2" t="str">
        <f t="shared" si="16"/>
        <v>PREPARE_WEST_J_2_18</v>
      </c>
      <c r="C630" s="223" t="s">
        <v>46</v>
      </c>
      <c r="D630" s="223" t="s">
        <v>19</v>
      </c>
      <c r="E630" s="223" t="s">
        <v>11</v>
      </c>
      <c r="F630" s="224">
        <v>2</v>
      </c>
      <c r="G630" s="2">
        <v>18</v>
      </c>
      <c r="H630" s="195">
        <f>VLOOKUP(B630,'18'!$D$7:$K$120,8,0)</f>
        <v>27</v>
      </c>
    </row>
    <row r="631" spans="1:8" ht="15.75" hidden="1" thickTop="1" x14ac:dyDescent="0.25">
      <c r="A631" s="2">
        <v>43</v>
      </c>
      <c r="B631" s="2" t="str">
        <f t="shared" si="16"/>
        <v>PREPARE_WEST_Q_1_18</v>
      </c>
      <c r="C631" s="223" t="s">
        <v>46</v>
      </c>
      <c r="D631" s="223" t="s">
        <v>19</v>
      </c>
      <c r="E631" s="223" t="s">
        <v>59</v>
      </c>
      <c r="F631" s="224">
        <v>1</v>
      </c>
      <c r="G631" s="195">
        <v>18</v>
      </c>
      <c r="H631" s="195">
        <f>VLOOKUP(B631,'18'!$D$7:$K$120,8,0)</f>
        <v>29</v>
      </c>
    </row>
    <row r="632" spans="1:8" ht="15.75" hidden="1" thickTop="1" x14ac:dyDescent="0.25">
      <c r="A632" s="2">
        <v>43</v>
      </c>
      <c r="B632" s="2" t="str">
        <f t="shared" si="16"/>
        <v>PREPARE_WEST_F_2_18</v>
      </c>
      <c r="C632" s="223" t="s">
        <v>46</v>
      </c>
      <c r="D632" s="223" t="s">
        <v>19</v>
      </c>
      <c r="E632" s="223" t="s">
        <v>7</v>
      </c>
      <c r="F632" s="224">
        <v>2</v>
      </c>
      <c r="G632" s="2">
        <v>18</v>
      </c>
      <c r="H632" s="195">
        <f>VLOOKUP(B632,'18'!$D$7:$K$120,8,0)</f>
        <v>31</v>
      </c>
    </row>
    <row r="633" spans="1:8" ht="15.75" hidden="1" thickTop="1" x14ac:dyDescent="0.25">
      <c r="A633" s="2">
        <v>43</v>
      </c>
      <c r="B633" s="2" t="str">
        <f t="shared" si="16"/>
        <v>PREPARE_WEST_M_1_18</v>
      </c>
      <c r="C633" s="223" t="s">
        <v>46</v>
      </c>
      <c r="D633" s="223" t="s">
        <v>19</v>
      </c>
      <c r="E633" s="223" t="s">
        <v>14</v>
      </c>
      <c r="F633" s="224">
        <v>1</v>
      </c>
      <c r="G633" s="2">
        <v>18</v>
      </c>
      <c r="H633" s="195">
        <f>VLOOKUP(B633,'18'!$D$7:$K$120,8,0)</f>
        <v>33</v>
      </c>
    </row>
    <row r="634" spans="1:8" ht="15.75" hidden="1" thickTop="1" x14ac:dyDescent="0.25">
      <c r="A634" s="2">
        <v>43</v>
      </c>
      <c r="B634" s="2" t="str">
        <f t="shared" si="16"/>
        <v>SUPPLY_EAST_UNP_1_18</v>
      </c>
      <c r="C634" s="223" t="s">
        <v>0</v>
      </c>
      <c r="D634" s="223" t="s">
        <v>18</v>
      </c>
      <c r="E634" s="223" t="s">
        <v>42</v>
      </c>
      <c r="F634" s="224">
        <v>1</v>
      </c>
      <c r="G634" s="2">
        <v>18</v>
      </c>
      <c r="H634" s="195">
        <f>VLOOKUP(B634,'18'!$D$7:$K$120,8,0)</f>
        <v>0</v>
      </c>
    </row>
    <row r="635" spans="1:8" ht="15.75" hidden="1" customHeight="1" x14ac:dyDescent="0.25">
      <c r="A635" s="2">
        <v>43</v>
      </c>
      <c r="B635" s="2" t="str">
        <f t="shared" si="16"/>
        <v>SUPPLY_EAST_A_2_18</v>
      </c>
      <c r="C635" s="223" t="s">
        <v>0</v>
      </c>
      <c r="D635" s="223" t="s">
        <v>18</v>
      </c>
      <c r="E635" s="352" t="s">
        <v>2</v>
      </c>
      <c r="F635" s="224">
        <v>2</v>
      </c>
      <c r="G635" s="2">
        <v>18</v>
      </c>
      <c r="H635" s="195">
        <f>VLOOKUP(B635,'18'!$D$7:$K$120,8,0)</f>
        <v>1</v>
      </c>
    </row>
    <row r="636" spans="1:8" ht="15.75" hidden="1" customHeight="1" x14ac:dyDescent="0.25">
      <c r="A636" s="2">
        <v>43</v>
      </c>
      <c r="B636" s="2" t="str">
        <f t="shared" si="16"/>
        <v>SUPPLY_EAST_C/U_1_18</v>
      </c>
      <c r="C636" s="223" t="s">
        <v>0</v>
      </c>
      <c r="D636" s="223" t="s">
        <v>18</v>
      </c>
      <c r="E636" s="352" t="s">
        <v>67</v>
      </c>
      <c r="F636" s="224">
        <v>1</v>
      </c>
      <c r="G636" s="2">
        <v>18</v>
      </c>
      <c r="H636" s="195">
        <f>VLOOKUP(B636,'18'!$D$7:$K$120,8,0)</f>
        <v>2</v>
      </c>
    </row>
    <row r="637" spans="1:8" ht="15.75" hidden="1" thickTop="1" x14ac:dyDescent="0.25">
      <c r="A637" s="2">
        <v>43</v>
      </c>
      <c r="B637" s="2" t="str">
        <f t="shared" si="16"/>
        <v>SUPPLY_EAST_C_2_18</v>
      </c>
      <c r="C637" s="223" t="s">
        <v>0</v>
      </c>
      <c r="D637" s="223" t="s">
        <v>18</v>
      </c>
      <c r="E637" s="223" t="s">
        <v>4</v>
      </c>
      <c r="F637" s="224">
        <v>2</v>
      </c>
      <c r="G637" s="2">
        <v>18</v>
      </c>
      <c r="H637" s="195">
        <f>VLOOKUP(B637,'18'!$D$7:$K$120,8,0)</f>
        <v>3</v>
      </c>
    </row>
    <row r="638" spans="1:8" ht="15.75" hidden="1" thickTop="1" x14ac:dyDescent="0.25">
      <c r="A638" s="2">
        <v>43</v>
      </c>
      <c r="B638" s="2" t="str">
        <f t="shared" si="16"/>
        <v>SUPPLY_EAST_I_1_18</v>
      </c>
      <c r="C638" s="223" t="s">
        <v>0</v>
      </c>
      <c r="D638" s="223" t="s">
        <v>18</v>
      </c>
      <c r="E638" s="223" t="s">
        <v>10</v>
      </c>
      <c r="F638" s="224">
        <v>1</v>
      </c>
      <c r="G638" s="2">
        <v>18</v>
      </c>
      <c r="H638" s="195">
        <f>VLOOKUP(B638,'18'!$D$7:$K$120,8,0)</f>
        <v>5</v>
      </c>
    </row>
    <row r="639" spans="1:8" ht="15.75" hidden="1" thickTop="1" x14ac:dyDescent="0.25">
      <c r="A639" s="2">
        <v>43</v>
      </c>
      <c r="B639" s="2" t="str">
        <f t="shared" si="16"/>
        <v>SUPPLY_EAST_G_2_18</v>
      </c>
      <c r="C639" s="223" t="s">
        <v>0</v>
      </c>
      <c r="D639" s="223" t="s">
        <v>18</v>
      </c>
      <c r="E639" s="223" t="s">
        <v>8</v>
      </c>
      <c r="F639" s="224">
        <v>2</v>
      </c>
      <c r="G639" s="2">
        <v>18</v>
      </c>
      <c r="H639" s="195">
        <f>VLOOKUP(B639,'18'!$D$7:$K$120,8,0)</f>
        <v>7</v>
      </c>
    </row>
    <row r="640" spans="1:8" ht="15.75" hidden="1" thickTop="1" x14ac:dyDescent="0.25">
      <c r="A640" s="2">
        <v>43</v>
      </c>
      <c r="B640" s="2" t="str">
        <f t="shared" si="16"/>
        <v>SUPPLY_EAST_B_1_18</v>
      </c>
      <c r="C640" s="223" t="s">
        <v>0</v>
      </c>
      <c r="D640" s="223" t="s">
        <v>18</v>
      </c>
      <c r="E640" s="223" t="s">
        <v>3</v>
      </c>
      <c r="F640" s="224">
        <v>1</v>
      </c>
      <c r="G640" s="2">
        <v>18</v>
      </c>
      <c r="H640" s="195">
        <f>VLOOKUP(B640,'18'!$D$7:$K$120,8,0)</f>
        <v>9</v>
      </c>
    </row>
    <row r="641" spans="1:8" ht="15.75" hidden="1" thickTop="1" x14ac:dyDescent="0.25">
      <c r="A641" s="2">
        <v>43</v>
      </c>
      <c r="B641" s="2" t="str">
        <f t="shared" si="16"/>
        <v>SUPPLY_EAST_E_2_18</v>
      </c>
      <c r="C641" s="223" t="s">
        <v>0</v>
      </c>
      <c r="D641" s="223" t="s">
        <v>18</v>
      </c>
      <c r="E641" s="223" t="s">
        <v>6</v>
      </c>
      <c r="F641" s="224">
        <v>2</v>
      </c>
      <c r="G641" s="2">
        <v>18</v>
      </c>
      <c r="H641" s="195">
        <f>VLOOKUP(B641,'18'!$D$7:$K$120,8,0)</f>
        <v>11</v>
      </c>
    </row>
    <row r="642" spans="1:8" ht="15.75" hidden="1" thickTop="1" x14ac:dyDescent="0.25">
      <c r="A642" s="2">
        <v>43</v>
      </c>
      <c r="B642" s="2" t="str">
        <f t="shared" si="16"/>
        <v>SUPPLY_EAST_D_1_18</v>
      </c>
      <c r="C642" s="223" t="s">
        <v>0</v>
      </c>
      <c r="D642" s="223" t="s">
        <v>18</v>
      </c>
      <c r="E642" s="223" t="s">
        <v>47</v>
      </c>
      <c r="F642" s="224">
        <v>1</v>
      </c>
      <c r="G642" s="2">
        <v>18</v>
      </c>
      <c r="H642" s="195">
        <f>VLOOKUP(B642,'18'!$D$7:$K$120,8,0)</f>
        <v>14</v>
      </c>
    </row>
    <row r="643" spans="1:8" ht="15.75" hidden="1" thickTop="1" x14ac:dyDescent="0.25">
      <c r="A643" s="2">
        <v>43</v>
      </c>
      <c r="B643" s="2" t="str">
        <f t="shared" si="16"/>
        <v>SUPPLY_EAST_K_2_18</v>
      </c>
      <c r="C643" s="223" t="s">
        <v>0</v>
      </c>
      <c r="D643" s="223" t="s">
        <v>18</v>
      </c>
      <c r="E643" s="223" t="s">
        <v>12</v>
      </c>
      <c r="F643" s="224">
        <v>2</v>
      </c>
      <c r="G643" s="2">
        <v>18</v>
      </c>
      <c r="H643" s="195">
        <f>VLOOKUP(B643,'18'!$D$7:$K$120,8,0)</f>
        <v>16</v>
      </c>
    </row>
    <row r="644" spans="1:8" ht="15.75" hidden="1" thickTop="1" x14ac:dyDescent="0.25">
      <c r="A644" s="2">
        <v>43</v>
      </c>
      <c r="B644" s="2" t="str">
        <f t="shared" si="16"/>
        <v>SUPPLY_WEST_H_1_18</v>
      </c>
      <c r="C644" s="223" t="s">
        <v>0</v>
      </c>
      <c r="D644" s="223" t="s">
        <v>19</v>
      </c>
      <c r="E644" s="223" t="s">
        <v>9</v>
      </c>
      <c r="F644" s="224">
        <v>1</v>
      </c>
      <c r="G644" s="2">
        <v>18</v>
      </c>
      <c r="H644" s="195">
        <f>VLOOKUP(B644,'18'!$D$7:$K$120,8,0)</f>
        <v>0</v>
      </c>
    </row>
    <row r="645" spans="1:8" ht="15.75" hidden="1" thickTop="1" x14ac:dyDescent="0.25">
      <c r="A645" s="2">
        <v>43</v>
      </c>
      <c r="B645" s="2" t="str">
        <f t="shared" si="16"/>
        <v>SUPPLY_WEST_P_2_18</v>
      </c>
      <c r="C645" s="223" t="s">
        <v>0</v>
      </c>
      <c r="D645" s="223" t="s">
        <v>19</v>
      </c>
      <c r="E645" s="223" t="s">
        <v>41</v>
      </c>
      <c r="F645" s="224">
        <v>2</v>
      </c>
      <c r="G645" s="2">
        <v>18</v>
      </c>
      <c r="H645" s="195">
        <f>VLOOKUP(B645,'18'!$D$7:$K$120,8,0)</f>
        <v>2</v>
      </c>
    </row>
    <row r="646" spans="1:8" ht="15.75" hidden="1" thickTop="1" x14ac:dyDescent="0.25">
      <c r="A646" s="2">
        <v>43</v>
      </c>
      <c r="B646" s="2" t="str">
        <f t="shared" si="16"/>
        <v>SUPPLY_WEST_O_1_18</v>
      </c>
      <c r="C646" s="223" t="s">
        <v>0</v>
      </c>
      <c r="D646" s="223" t="s">
        <v>19</v>
      </c>
      <c r="E646" s="223" t="s">
        <v>40</v>
      </c>
      <c r="F646" s="224">
        <v>1</v>
      </c>
      <c r="G646" s="2">
        <v>18</v>
      </c>
      <c r="H646" s="195">
        <f>VLOOKUP(B646,'18'!$D$7:$K$120,8,0)</f>
        <v>5</v>
      </c>
    </row>
    <row r="647" spans="1:8" ht="15.75" hidden="1" thickTop="1" x14ac:dyDescent="0.25">
      <c r="A647" s="2">
        <v>43</v>
      </c>
      <c r="B647" s="2" t="str">
        <f t="shared" si="16"/>
        <v>SUPPLY_WEST_L_2_18</v>
      </c>
      <c r="C647" s="223" t="s">
        <v>0</v>
      </c>
      <c r="D647" s="223" t="s">
        <v>19</v>
      </c>
      <c r="E647" s="223" t="s">
        <v>13</v>
      </c>
      <c r="F647" s="224">
        <v>2</v>
      </c>
      <c r="G647" s="2">
        <v>18</v>
      </c>
      <c r="H647" s="195">
        <f>VLOOKUP(B647,'18'!$D$7:$K$120,8,0)</f>
        <v>7</v>
      </c>
    </row>
    <row r="648" spans="1:8" ht="15.75" hidden="1" thickTop="1" x14ac:dyDescent="0.25">
      <c r="A648" s="2">
        <v>43</v>
      </c>
      <c r="B648" s="2" t="str">
        <f t="shared" si="16"/>
        <v>SUPPLY_WEST_N_1_18</v>
      </c>
      <c r="C648" s="223" t="s">
        <v>0</v>
      </c>
      <c r="D648" s="223" t="s">
        <v>19</v>
      </c>
      <c r="E648" s="223" t="s">
        <v>15</v>
      </c>
      <c r="F648" s="224">
        <v>1</v>
      </c>
      <c r="G648" s="2">
        <v>18</v>
      </c>
      <c r="H648" s="195">
        <f>VLOOKUP(B648,'18'!$D$7:$K$120,8,0)</f>
        <v>10</v>
      </c>
    </row>
    <row r="649" spans="1:8" ht="15.75" hidden="1" thickTop="1" x14ac:dyDescent="0.25">
      <c r="A649" s="2">
        <v>43</v>
      </c>
      <c r="B649" s="2" t="str">
        <f t="shared" si="16"/>
        <v>SUPPLY_WEST_J_2_18</v>
      </c>
      <c r="C649" s="223" t="s">
        <v>0</v>
      </c>
      <c r="D649" s="223" t="s">
        <v>19</v>
      </c>
      <c r="E649" s="223" t="s">
        <v>11</v>
      </c>
      <c r="F649" s="224">
        <v>2</v>
      </c>
      <c r="G649" s="2">
        <v>18</v>
      </c>
      <c r="H649" s="195">
        <f>VLOOKUP(B649,'18'!$D$7:$K$120,8,0)</f>
        <v>11</v>
      </c>
    </row>
    <row r="650" spans="1:8" ht="15.75" hidden="1" thickTop="1" x14ac:dyDescent="0.25">
      <c r="A650" s="2">
        <v>43</v>
      </c>
      <c r="B650" s="2" t="str">
        <f t="shared" si="16"/>
        <v>SUPPLY_WEST_Q_1_18</v>
      </c>
      <c r="C650" s="223" t="s">
        <v>0</v>
      </c>
      <c r="D650" s="223" t="s">
        <v>19</v>
      </c>
      <c r="E650" s="223" t="s">
        <v>59</v>
      </c>
      <c r="F650" s="224">
        <v>1</v>
      </c>
      <c r="G650" s="195">
        <v>18</v>
      </c>
      <c r="H650" s="195">
        <f>VLOOKUP(B650,'18'!$D$7:$K$120,8,0)</f>
        <v>13</v>
      </c>
    </row>
    <row r="651" spans="1:8" ht="15.75" hidden="1" thickTop="1" x14ac:dyDescent="0.25">
      <c r="A651" s="2">
        <v>43</v>
      </c>
      <c r="B651" s="2" t="str">
        <f t="shared" si="16"/>
        <v>SUPPLY_WEST_F_2_18</v>
      </c>
      <c r="C651" s="223" t="s">
        <v>0</v>
      </c>
      <c r="D651" s="223" t="s">
        <v>19</v>
      </c>
      <c r="E651" s="223" t="s">
        <v>7</v>
      </c>
      <c r="F651" s="224">
        <v>2</v>
      </c>
      <c r="G651" s="2">
        <v>18</v>
      </c>
      <c r="H651" s="195">
        <f>VLOOKUP(B651,'18'!$D$7:$K$120,8,0)</f>
        <v>14</v>
      </c>
    </row>
    <row r="652" spans="1:8" ht="15.75" hidden="1" thickTop="1" x14ac:dyDescent="0.25">
      <c r="A652" s="2">
        <v>43</v>
      </c>
      <c r="B652" s="2" t="str">
        <f t="shared" si="16"/>
        <v>SUPPLY_WEST_M_1_18</v>
      </c>
      <c r="C652" s="223" t="s">
        <v>0</v>
      </c>
      <c r="D652" s="223" t="s">
        <v>19</v>
      </c>
      <c r="E652" s="223" t="s">
        <v>14</v>
      </c>
      <c r="F652" s="224">
        <v>1</v>
      </c>
      <c r="G652" s="2">
        <v>18</v>
      </c>
      <c r="H652" s="195">
        <f>VLOOKUP(B652,'18'!$D$7:$K$120,8,0)</f>
        <v>16</v>
      </c>
    </row>
    <row r="653" spans="1:8" ht="15.75" hidden="1" thickTop="1" x14ac:dyDescent="0.25">
      <c r="A653" s="2">
        <v>43</v>
      </c>
      <c r="B653" s="2" t="str">
        <f t="shared" si="16"/>
        <v>EMPTY_EAST_UNP_1_18</v>
      </c>
      <c r="C653" s="223" t="s">
        <v>32</v>
      </c>
      <c r="D653" s="223" t="s">
        <v>18</v>
      </c>
      <c r="E653" s="223" t="s">
        <v>42</v>
      </c>
      <c r="F653" s="224">
        <v>1</v>
      </c>
      <c r="G653" s="2">
        <v>18</v>
      </c>
      <c r="H653" s="195">
        <f>VLOOKUP(B653,'18'!$D$7:$K$120,8,0)</f>
        <v>14</v>
      </c>
    </row>
    <row r="654" spans="1:8" ht="15.75" hidden="1" thickTop="1" x14ac:dyDescent="0.25">
      <c r="A654" s="2">
        <v>43</v>
      </c>
      <c r="B654" s="2" t="str">
        <f t="shared" si="16"/>
        <v>EMPTY_EAST_A_2_18</v>
      </c>
      <c r="C654" s="223" t="s">
        <v>32</v>
      </c>
      <c r="D654" s="223" t="s">
        <v>18</v>
      </c>
      <c r="E654" s="352" t="s">
        <v>2</v>
      </c>
      <c r="F654" s="224">
        <v>2</v>
      </c>
      <c r="G654" s="2">
        <v>18</v>
      </c>
      <c r="H654" s="195">
        <f>VLOOKUP(B654,'18'!$D$7:$K$120,8,0)</f>
        <v>16</v>
      </c>
    </row>
    <row r="655" spans="1:8" ht="15.75" hidden="1" thickTop="1" x14ac:dyDescent="0.25">
      <c r="A655" s="2">
        <v>43</v>
      </c>
      <c r="B655" s="2" t="str">
        <f t="shared" si="16"/>
        <v>EMPTY_EAST_C/U_1_18</v>
      </c>
      <c r="C655" s="223" t="s">
        <v>32</v>
      </c>
      <c r="D655" s="223" t="s">
        <v>18</v>
      </c>
      <c r="E655" s="352" t="s">
        <v>67</v>
      </c>
      <c r="F655" s="224">
        <v>1</v>
      </c>
      <c r="G655" s="2">
        <v>18</v>
      </c>
      <c r="H655" s="195">
        <f>VLOOKUP(B655,'18'!$D$7:$K$120,8,0)</f>
        <v>17</v>
      </c>
    </row>
    <row r="656" spans="1:8" ht="15.75" hidden="1" thickTop="1" x14ac:dyDescent="0.25">
      <c r="A656" s="2">
        <v>43</v>
      </c>
      <c r="B656" s="2" t="str">
        <f t="shared" si="16"/>
        <v>EMPTY_EAST_C_2_18</v>
      </c>
      <c r="C656" s="223" t="s">
        <v>32</v>
      </c>
      <c r="D656" s="223" t="s">
        <v>18</v>
      </c>
      <c r="E656" s="223" t="s">
        <v>4</v>
      </c>
      <c r="F656" s="224">
        <v>2</v>
      </c>
      <c r="G656" s="2">
        <v>18</v>
      </c>
      <c r="H656" s="195">
        <f>VLOOKUP(B656,'18'!$D$7:$K$120,8,0)</f>
        <v>18</v>
      </c>
    </row>
    <row r="657" spans="1:8" ht="15.75" hidden="1" thickTop="1" x14ac:dyDescent="0.25">
      <c r="A657" s="2">
        <v>43</v>
      </c>
      <c r="B657" s="2" t="str">
        <f t="shared" si="16"/>
        <v>EMPTY_EAST_I_1_18</v>
      </c>
      <c r="C657" s="223" t="s">
        <v>32</v>
      </c>
      <c r="D657" s="223" t="s">
        <v>18</v>
      </c>
      <c r="E657" s="223" t="s">
        <v>10</v>
      </c>
      <c r="F657" s="224">
        <v>1</v>
      </c>
      <c r="G657" s="2">
        <v>18</v>
      </c>
      <c r="H657" s="195">
        <f>VLOOKUP(B657,'18'!$D$7:$K$120,8,0)</f>
        <v>20</v>
      </c>
    </row>
    <row r="658" spans="1:8" ht="15.75" hidden="1" thickTop="1" x14ac:dyDescent="0.25">
      <c r="A658" s="2">
        <v>43</v>
      </c>
      <c r="B658" s="2" t="str">
        <f t="shared" si="16"/>
        <v>EMPTY_EAST_G_2_18</v>
      </c>
      <c r="C658" s="223" t="s">
        <v>32</v>
      </c>
      <c r="D658" s="223" t="s">
        <v>18</v>
      </c>
      <c r="E658" s="223" t="s">
        <v>8</v>
      </c>
      <c r="F658" s="224">
        <v>2</v>
      </c>
      <c r="G658" s="2">
        <v>18</v>
      </c>
      <c r="H658" s="195">
        <f>VLOOKUP(B658,'18'!$D$7:$K$120,8,0)</f>
        <v>22</v>
      </c>
    </row>
    <row r="659" spans="1:8" ht="15.75" hidden="1" thickTop="1" x14ac:dyDescent="0.25">
      <c r="A659" s="2">
        <v>43</v>
      </c>
      <c r="B659" s="2" t="str">
        <f t="shared" si="16"/>
        <v>EMPTY_EAST_B_1_18</v>
      </c>
      <c r="C659" s="223" t="s">
        <v>32</v>
      </c>
      <c r="D659" s="223" t="s">
        <v>18</v>
      </c>
      <c r="E659" s="223" t="s">
        <v>3</v>
      </c>
      <c r="F659" s="224">
        <v>1</v>
      </c>
      <c r="G659" s="2">
        <v>18</v>
      </c>
      <c r="H659" s="195">
        <f>VLOOKUP(B659,'18'!$D$7:$K$120,8,0)</f>
        <v>24</v>
      </c>
    </row>
    <row r="660" spans="1:8" ht="15.75" hidden="1" thickTop="1" x14ac:dyDescent="0.25">
      <c r="A660" s="2">
        <v>43</v>
      </c>
      <c r="B660" s="2" t="str">
        <f t="shared" si="16"/>
        <v>EMPTY_EAST_E_2_18</v>
      </c>
      <c r="C660" s="223" t="s">
        <v>32</v>
      </c>
      <c r="D660" s="223" t="s">
        <v>18</v>
      </c>
      <c r="E660" s="223" t="s">
        <v>6</v>
      </c>
      <c r="F660" s="224">
        <v>2</v>
      </c>
      <c r="G660" s="2">
        <v>18</v>
      </c>
      <c r="H660" s="195">
        <f>VLOOKUP(B660,'18'!$D$7:$K$120,8,0)</f>
        <v>26</v>
      </c>
    </row>
    <row r="661" spans="1:8" ht="15.75" hidden="1" thickTop="1" x14ac:dyDescent="0.25">
      <c r="A661" s="2">
        <v>43</v>
      </c>
      <c r="B661" s="2" t="str">
        <f t="shared" si="16"/>
        <v>EMPTY_EAST_D_1_18</v>
      </c>
      <c r="C661" s="223" t="s">
        <v>32</v>
      </c>
      <c r="D661" s="223" t="s">
        <v>18</v>
      </c>
      <c r="E661" s="223" t="s">
        <v>47</v>
      </c>
      <c r="F661" s="224">
        <v>1</v>
      </c>
      <c r="G661" s="2">
        <v>18</v>
      </c>
      <c r="H661" s="195">
        <f>VLOOKUP(B661,'18'!$D$7:$K$120,8,0)</f>
        <v>28</v>
      </c>
    </row>
    <row r="662" spans="1:8" ht="15.75" hidden="1" thickTop="1" x14ac:dyDescent="0.25">
      <c r="A662" s="2">
        <v>43</v>
      </c>
      <c r="B662" s="2" t="str">
        <f t="shared" si="16"/>
        <v>EMPTY_EAST_K_2_18</v>
      </c>
      <c r="C662" s="223" t="s">
        <v>32</v>
      </c>
      <c r="D662" s="223" t="s">
        <v>18</v>
      </c>
      <c r="E662" s="223" t="s">
        <v>12</v>
      </c>
      <c r="F662" s="224">
        <v>2</v>
      </c>
      <c r="G662" s="2">
        <v>18</v>
      </c>
      <c r="H662" s="195">
        <f>VLOOKUP(B662,'18'!$D$7:$K$120,8,0)</f>
        <v>30</v>
      </c>
    </row>
    <row r="663" spans="1:8" ht="15.75" hidden="1" thickTop="1" x14ac:dyDescent="0.25">
      <c r="A663" s="2">
        <v>43</v>
      </c>
      <c r="B663" s="2" t="str">
        <f t="shared" si="16"/>
        <v>EMPTY_WEST_H_1_18</v>
      </c>
      <c r="C663" s="223" t="s">
        <v>32</v>
      </c>
      <c r="D663" s="223" t="s">
        <v>19</v>
      </c>
      <c r="E663" s="223" t="s">
        <v>9</v>
      </c>
      <c r="F663" s="224">
        <v>1</v>
      </c>
      <c r="G663" s="2">
        <v>18</v>
      </c>
      <c r="H663" s="195">
        <f>VLOOKUP(B663,'18'!$D$7:$K$120,8,0)</f>
        <v>15</v>
      </c>
    </row>
    <row r="664" spans="1:8" ht="15.75" hidden="1" thickTop="1" x14ac:dyDescent="0.25">
      <c r="A664" s="2">
        <v>43</v>
      </c>
      <c r="B664" s="2" t="str">
        <f t="shared" si="16"/>
        <v>EMPTY_WEST_P_2_18</v>
      </c>
      <c r="C664" s="223" t="s">
        <v>32</v>
      </c>
      <c r="D664" s="223" t="s">
        <v>19</v>
      </c>
      <c r="E664" s="223" t="s">
        <v>41</v>
      </c>
      <c r="F664" s="224">
        <v>2</v>
      </c>
      <c r="G664" s="2">
        <v>18</v>
      </c>
      <c r="H664" s="195">
        <f>VLOOKUP(B664,'18'!$D$7:$K$120,8,0)</f>
        <v>17</v>
      </c>
    </row>
    <row r="665" spans="1:8" ht="15.75" hidden="1" thickTop="1" x14ac:dyDescent="0.25">
      <c r="A665" s="2">
        <v>43</v>
      </c>
      <c r="B665" s="2" t="str">
        <f t="shared" si="16"/>
        <v>EMPTY_WEST_O_1_18</v>
      </c>
      <c r="C665" s="223" t="s">
        <v>32</v>
      </c>
      <c r="D665" s="223" t="s">
        <v>19</v>
      </c>
      <c r="E665" s="223" t="s">
        <v>40</v>
      </c>
      <c r="F665" s="224">
        <v>1</v>
      </c>
      <c r="G665" s="2">
        <v>18</v>
      </c>
      <c r="H665" s="195">
        <f>VLOOKUP(B665,'18'!$D$7:$K$120,8,0)</f>
        <v>19</v>
      </c>
    </row>
    <row r="666" spans="1:8" ht="15.75" hidden="1" thickTop="1" x14ac:dyDescent="0.25">
      <c r="A666" s="2">
        <v>43</v>
      </c>
      <c r="B666" s="2" t="str">
        <f t="shared" si="16"/>
        <v>EMPTY_WEST_L_2_18</v>
      </c>
      <c r="C666" s="223" t="s">
        <v>32</v>
      </c>
      <c r="D666" s="223" t="s">
        <v>19</v>
      </c>
      <c r="E666" s="223" t="s">
        <v>13</v>
      </c>
      <c r="F666" s="224">
        <v>2</v>
      </c>
      <c r="G666" s="2">
        <v>18</v>
      </c>
      <c r="H666" s="195">
        <f>VLOOKUP(B666,'18'!$D$7:$K$120,8,0)</f>
        <v>21</v>
      </c>
    </row>
    <row r="667" spans="1:8" ht="15.75" hidden="1" thickTop="1" x14ac:dyDescent="0.25">
      <c r="A667" s="2">
        <v>43</v>
      </c>
      <c r="B667" s="2" t="str">
        <f t="shared" si="16"/>
        <v>EMPTY_WEST_N_1_18</v>
      </c>
      <c r="C667" s="223" t="s">
        <v>32</v>
      </c>
      <c r="D667" s="223" t="s">
        <v>19</v>
      </c>
      <c r="E667" s="223" t="s">
        <v>15</v>
      </c>
      <c r="F667" s="224">
        <v>1</v>
      </c>
      <c r="G667" s="2">
        <v>18</v>
      </c>
      <c r="H667" s="195">
        <f>VLOOKUP(B667,'18'!$D$7:$K$120,8,0)</f>
        <v>23</v>
      </c>
    </row>
    <row r="668" spans="1:8" ht="15.75" hidden="1" thickTop="1" x14ac:dyDescent="0.25">
      <c r="A668" s="2">
        <v>43</v>
      </c>
      <c r="B668" s="2" t="str">
        <f t="shared" si="16"/>
        <v>EMPTY_WEST_J_2_18</v>
      </c>
      <c r="C668" s="223" t="s">
        <v>32</v>
      </c>
      <c r="D668" s="223" t="s">
        <v>19</v>
      </c>
      <c r="E668" s="223" t="s">
        <v>11</v>
      </c>
      <c r="F668" s="224">
        <v>2</v>
      </c>
      <c r="G668" s="2">
        <v>18</v>
      </c>
      <c r="H668" s="195">
        <f>VLOOKUP(B668,'18'!$D$7:$K$120,8,0)</f>
        <v>25</v>
      </c>
    </row>
    <row r="669" spans="1:8" ht="15.75" hidden="1" thickTop="1" x14ac:dyDescent="0.25">
      <c r="A669" s="2">
        <v>43</v>
      </c>
      <c r="B669" s="2" t="str">
        <f t="shared" si="16"/>
        <v>EMPTY_WEST_Q_1_18</v>
      </c>
      <c r="C669" s="223" t="s">
        <v>32</v>
      </c>
      <c r="D669" s="223" t="s">
        <v>19</v>
      </c>
      <c r="E669" s="223" t="s">
        <v>59</v>
      </c>
      <c r="F669" s="224">
        <v>1</v>
      </c>
      <c r="G669" s="195">
        <v>18</v>
      </c>
      <c r="H669" s="195">
        <f>VLOOKUP(B669,'18'!$D$7:$K$120,8,0)</f>
        <v>27</v>
      </c>
    </row>
    <row r="670" spans="1:8" ht="15.75" hidden="1" thickTop="1" x14ac:dyDescent="0.25">
      <c r="A670" s="2">
        <v>43</v>
      </c>
      <c r="B670" s="2" t="str">
        <f t="shared" si="16"/>
        <v>EMPTY_WEST_F_2_18</v>
      </c>
      <c r="C670" s="223" t="s">
        <v>32</v>
      </c>
      <c r="D670" s="223" t="s">
        <v>19</v>
      </c>
      <c r="E670" s="223" t="s">
        <v>7</v>
      </c>
      <c r="F670" s="224">
        <v>2</v>
      </c>
      <c r="G670" s="2">
        <v>18</v>
      </c>
      <c r="H670" s="195">
        <f>VLOOKUP(B670,'18'!$D$7:$K$120,8,0)</f>
        <v>29</v>
      </c>
    </row>
    <row r="671" spans="1:8" ht="15.75" hidden="1" thickTop="1" x14ac:dyDescent="0.25">
      <c r="A671" s="2">
        <v>43</v>
      </c>
      <c r="B671" s="2" t="str">
        <f t="shared" si="16"/>
        <v>EMPTY_WEST_M_1_18</v>
      </c>
      <c r="C671" s="223" t="s">
        <v>32</v>
      </c>
      <c r="D671" s="223" t="s">
        <v>19</v>
      </c>
      <c r="E671" s="223" t="s">
        <v>14</v>
      </c>
      <c r="F671" s="224">
        <v>1</v>
      </c>
      <c r="G671" s="2">
        <v>18</v>
      </c>
      <c r="H671" s="195">
        <f>VLOOKUP(B671,'18'!$D$7:$K$120,8,0)</f>
        <v>31</v>
      </c>
    </row>
    <row r="672" spans="1:8" ht="15.75" hidden="1" thickTop="1" x14ac:dyDescent="0.25">
      <c r="A672" s="2">
        <v>43</v>
      </c>
      <c r="B672" s="2" t="str">
        <f t="shared" ref="B672:B738" si="17">C672&amp;"_"&amp;D672&amp;"_"&amp;E672&amp;"_"&amp;F672&amp;"_"&amp;G672</f>
        <v>SORTING_EAST_UNP_1_19</v>
      </c>
      <c r="C672" s="223" t="s">
        <v>45</v>
      </c>
      <c r="D672" s="223" t="s">
        <v>18</v>
      </c>
      <c r="E672" s="223" t="s">
        <v>42</v>
      </c>
      <c r="F672" s="224">
        <v>1</v>
      </c>
      <c r="G672" s="2">
        <v>19</v>
      </c>
      <c r="H672" s="195">
        <f>VLOOKUP(B672,'19'!$D$6:$K$119,8,0)</f>
        <v>0</v>
      </c>
    </row>
    <row r="673" spans="1:8" ht="15.75" hidden="1" thickTop="1" x14ac:dyDescent="0.25">
      <c r="A673" s="2">
        <v>43</v>
      </c>
      <c r="B673" s="2" t="str">
        <f t="shared" si="17"/>
        <v>SORTING_EAST_A_2_19</v>
      </c>
      <c r="C673" s="223" t="s">
        <v>45</v>
      </c>
      <c r="D673" s="223" t="s">
        <v>18</v>
      </c>
      <c r="E673" s="352" t="s">
        <v>2</v>
      </c>
      <c r="F673" s="224">
        <v>2</v>
      </c>
      <c r="G673" s="2">
        <v>19</v>
      </c>
      <c r="H673" s="195">
        <f>VLOOKUP(B673,'19'!$D$6:$K$119,8,0)</f>
        <v>2</v>
      </c>
    </row>
    <row r="674" spans="1:8" ht="15.75" hidden="1" thickTop="1" x14ac:dyDescent="0.25">
      <c r="A674" s="2">
        <v>43</v>
      </c>
      <c r="B674" s="2" t="str">
        <f t="shared" si="17"/>
        <v>SORTING_EAST_C/U_1_19</v>
      </c>
      <c r="C674" s="223" t="s">
        <v>45</v>
      </c>
      <c r="D674" s="223" t="s">
        <v>18</v>
      </c>
      <c r="E674" s="352" t="s">
        <v>67</v>
      </c>
      <c r="F674" s="224">
        <v>1</v>
      </c>
      <c r="G674" s="2">
        <v>19</v>
      </c>
      <c r="H674" s="195">
        <f>VLOOKUP(B674,'19'!$D$6:$K$119,8,0)</f>
        <v>3</v>
      </c>
    </row>
    <row r="675" spans="1:8" ht="15.75" hidden="1" thickTop="1" x14ac:dyDescent="0.25">
      <c r="A675" s="2">
        <v>43</v>
      </c>
      <c r="B675" s="2" t="str">
        <f t="shared" si="17"/>
        <v>SORTING_EAST_C_2_19</v>
      </c>
      <c r="C675" s="223" t="s">
        <v>45</v>
      </c>
      <c r="D675" s="223" t="s">
        <v>18</v>
      </c>
      <c r="E675" s="223" t="s">
        <v>4</v>
      </c>
      <c r="F675" s="224">
        <v>2</v>
      </c>
      <c r="G675" s="2">
        <v>19</v>
      </c>
      <c r="H675" s="195">
        <f>VLOOKUP(B675,'19'!$D$6:$K$119,8,0)</f>
        <v>4</v>
      </c>
    </row>
    <row r="676" spans="1:8" ht="15.75" hidden="1" thickTop="1" x14ac:dyDescent="0.25">
      <c r="A676" s="2">
        <v>43</v>
      </c>
      <c r="B676" s="2" t="str">
        <f t="shared" si="17"/>
        <v>SORTING_EAST_I_1_19</v>
      </c>
      <c r="C676" s="223" t="s">
        <v>45</v>
      </c>
      <c r="D676" s="223" t="s">
        <v>18</v>
      </c>
      <c r="E676" s="223" t="s">
        <v>10</v>
      </c>
      <c r="F676" s="224">
        <v>1</v>
      </c>
      <c r="G676" s="2">
        <v>19</v>
      </c>
      <c r="H676" s="195">
        <f>VLOOKUP(B676,'19'!$D$6:$K$119,8,0)</f>
        <v>6</v>
      </c>
    </row>
    <row r="677" spans="1:8" ht="15.75" hidden="1" thickTop="1" x14ac:dyDescent="0.25">
      <c r="A677" s="2">
        <v>43</v>
      </c>
      <c r="B677" s="2" t="str">
        <f t="shared" si="17"/>
        <v>SORTING_EAST_G_2_19</v>
      </c>
      <c r="C677" s="223" t="s">
        <v>45</v>
      </c>
      <c r="D677" s="223" t="s">
        <v>18</v>
      </c>
      <c r="E677" s="223" t="s">
        <v>8</v>
      </c>
      <c r="F677" s="224">
        <v>2</v>
      </c>
      <c r="G677" s="2">
        <v>19</v>
      </c>
      <c r="H677" s="195">
        <f>VLOOKUP(B677,'19'!$D$6:$K$119,8,0)</f>
        <v>8</v>
      </c>
    </row>
    <row r="678" spans="1:8" ht="15.75" hidden="1" thickTop="1" x14ac:dyDescent="0.25">
      <c r="A678" s="2">
        <v>43</v>
      </c>
      <c r="B678" s="2" t="str">
        <f t="shared" si="17"/>
        <v>SORTING_EAST_B_1_19</v>
      </c>
      <c r="C678" s="223" t="s">
        <v>45</v>
      </c>
      <c r="D678" s="223" t="s">
        <v>18</v>
      </c>
      <c r="E678" s="223" t="s">
        <v>3</v>
      </c>
      <c r="F678" s="224">
        <v>1</v>
      </c>
      <c r="G678" s="2">
        <v>19</v>
      </c>
      <c r="H678" s="195">
        <f>VLOOKUP(B678,'19'!$D$6:$K$119,8,0)</f>
        <v>10</v>
      </c>
    </row>
    <row r="679" spans="1:8" ht="15.75" hidden="1" thickTop="1" x14ac:dyDescent="0.25">
      <c r="A679" s="2">
        <v>43</v>
      </c>
      <c r="B679" s="2" t="str">
        <f t="shared" si="17"/>
        <v>SORTING_EAST_E_2_19</v>
      </c>
      <c r="C679" s="223" t="s">
        <v>45</v>
      </c>
      <c r="D679" s="223" t="s">
        <v>18</v>
      </c>
      <c r="E679" s="223" t="s">
        <v>6</v>
      </c>
      <c r="F679" s="224">
        <v>2</v>
      </c>
      <c r="G679" s="2">
        <v>19</v>
      </c>
      <c r="H679" s="195">
        <f>VLOOKUP(B679,'19'!$D$6:$K$119,8,0)</f>
        <v>12</v>
      </c>
    </row>
    <row r="680" spans="1:8" ht="15.75" hidden="1" thickTop="1" x14ac:dyDescent="0.25">
      <c r="A680" s="2">
        <v>43</v>
      </c>
      <c r="B680" s="2" t="str">
        <f t="shared" si="17"/>
        <v>SORTING_EAST_D_1_19</v>
      </c>
      <c r="C680" s="223" t="s">
        <v>45</v>
      </c>
      <c r="D680" s="223" t="s">
        <v>18</v>
      </c>
      <c r="E680" s="223" t="s">
        <v>47</v>
      </c>
      <c r="F680" s="224">
        <v>1</v>
      </c>
      <c r="G680" s="2">
        <v>19</v>
      </c>
      <c r="H680" s="195">
        <f>VLOOKUP(B680,'19'!$D$6:$K$119,8,0)</f>
        <v>14</v>
      </c>
    </row>
    <row r="681" spans="1:8" ht="15.75" hidden="1" thickTop="1" x14ac:dyDescent="0.25">
      <c r="A681" s="2">
        <v>43</v>
      </c>
      <c r="B681" s="2" t="str">
        <f t="shared" si="17"/>
        <v>SORTING_EAST_K_2_19</v>
      </c>
      <c r="C681" s="223" t="s">
        <v>45</v>
      </c>
      <c r="D681" s="223" t="s">
        <v>18</v>
      </c>
      <c r="E681" s="223" t="s">
        <v>12</v>
      </c>
      <c r="F681" s="224">
        <v>2</v>
      </c>
      <c r="G681" s="2">
        <v>19</v>
      </c>
      <c r="H681" s="195">
        <f>VLOOKUP(B681,'19'!$D$6:$K$119,8,0)</f>
        <v>16</v>
      </c>
    </row>
    <row r="682" spans="1:8" ht="15.75" hidden="1" thickTop="1" x14ac:dyDescent="0.25">
      <c r="A682" s="2">
        <v>43</v>
      </c>
      <c r="B682" s="2" t="str">
        <f t="shared" si="17"/>
        <v>SORTING_WEST_H_1_19</v>
      </c>
      <c r="C682" s="223" t="s">
        <v>45</v>
      </c>
      <c r="D682" s="223" t="s">
        <v>19</v>
      </c>
      <c r="E682" s="223" t="s">
        <v>9</v>
      </c>
      <c r="F682" s="224">
        <v>1</v>
      </c>
      <c r="G682" s="2">
        <v>19</v>
      </c>
      <c r="H682" s="195">
        <f>VLOOKUP(B682,'19'!$D$6:$K$119,8,0)</f>
        <v>0</v>
      </c>
    </row>
    <row r="683" spans="1:8" ht="15.75" hidden="1" thickTop="1" x14ac:dyDescent="0.25">
      <c r="A683" s="2">
        <v>43</v>
      </c>
      <c r="B683" s="2" t="str">
        <f t="shared" si="17"/>
        <v>SORTING_WEST_P_2_19</v>
      </c>
      <c r="C683" s="223" t="s">
        <v>45</v>
      </c>
      <c r="D683" s="223" t="s">
        <v>19</v>
      </c>
      <c r="E683" s="223" t="s">
        <v>41</v>
      </c>
      <c r="F683" s="224">
        <v>2</v>
      </c>
      <c r="G683" s="2">
        <v>19</v>
      </c>
      <c r="H683" s="195">
        <f>VLOOKUP(B683,'19'!$D$6:$K$119,8,0)</f>
        <v>2</v>
      </c>
    </row>
    <row r="684" spans="1:8" ht="15.75" hidden="1" thickTop="1" x14ac:dyDescent="0.25">
      <c r="A684" s="2">
        <v>43</v>
      </c>
      <c r="B684" s="2" t="str">
        <f t="shared" si="17"/>
        <v>SORTING_WEST_O_1_19</v>
      </c>
      <c r="C684" s="223" t="s">
        <v>45</v>
      </c>
      <c r="D684" s="223" t="s">
        <v>19</v>
      </c>
      <c r="E684" s="223" t="s">
        <v>40</v>
      </c>
      <c r="F684" s="224">
        <v>1</v>
      </c>
      <c r="G684" s="2">
        <v>19</v>
      </c>
      <c r="H684" s="195">
        <f>VLOOKUP(B684,'19'!$D$6:$K$119,8,0)</f>
        <v>4</v>
      </c>
    </row>
    <row r="685" spans="1:8" ht="15.75" hidden="1" thickTop="1" x14ac:dyDescent="0.25">
      <c r="A685" s="2">
        <v>43</v>
      </c>
      <c r="B685" s="2" t="str">
        <f t="shared" si="17"/>
        <v>SORTING_WEST_L_2_19</v>
      </c>
      <c r="C685" s="223" t="s">
        <v>45</v>
      </c>
      <c r="D685" s="223" t="s">
        <v>19</v>
      </c>
      <c r="E685" s="223" t="s">
        <v>13</v>
      </c>
      <c r="F685" s="224">
        <v>2</v>
      </c>
      <c r="G685" s="2">
        <v>19</v>
      </c>
      <c r="H685" s="195">
        <f>VLOOKUP(B685,'19'!$D$6:$K$119,8,0)</f>
        <v>6</v>
      </c>
    </row>
    <row r="686" spans="1:8" ht="15.75" hidden="1" thickTop="1" x14ac:dyDescent="0.25">
      <c r="A686" s="2">
        <v>43</v>
      </c>
      <c r="B686" s="2" t="str">
        <f t="shared" si="17"/>
        <v>SORTING_WEST_N_1_19</v>
      </c>
      <c r="C686" s="223" t="s">
        <v>45</v>
      </c>
      <c r="D686" s="223" t="s">
        <v>19</v>
      </c>
      <c r="E686" s="223" t="s">
        <v>15</v>
      </c>
      <c r="F686" s="224">
        <v>1</v>
      </c>
      <c r="G686" s="2">
        <v>19</v>
      </c>
      <c r="H686" s="195">
        <f>VLOOKUP(B686,'19'!$D$6:$K$119,8,0)</f>
        <v>8</v>
      </c>
    </row>
    <row r="687" spans="1:8" ht="15.75" hidden="1" thickTop="1" x14ac:dyDescent="0.25">
      <c r="A687" s="2">
        <v>43</v>
      </c>
      <c r="B687" s="2" t="str">
        <f t="shared" si="17"/>
        <v>SORTING_WEST_J_2_19</v>
      </c>
      <c r="C687" s="223" t="s">
        <v>45</v>
      </c>
      <c r="D687" s="223" t="s">
        <v>19</v>
      </c>
      <c r="E687" s="223" t="s">
        <v>11</v>
      </c>
      <c r="F687" s="224">
        <v>2</v>
      </c>
      <c r="G687" s="2">
        <v>19</v>
      </c>
      <c r="H687" s="195">
        <f>VLOOKUP(B687,'19'!$D$6:$K$119,8,0)</f>
        <v>10</v>
      </c>
    </row>
    <row r="688" spans="1:8" ht="15.75" hidden="1" thickTop="1" x14ac:dyDescent="0.25">
      <c r="A688" s="2">
        <v>43</v>
      </c>
      <c r="B688" s="2" t="str">
        <f t="shared" si="17"/>
        <v>SORTING_WEST_Q_1_19</v>
      </c>
      <c r="C688" s="223" t="s">
        <v>45</v>
      </c>
      <c r="D688" s="223" t="s">
        <v>19</v>
      </c>
      <c r="E688" s="223" t="s">
        <v>59</v>
      </c>
      <c r="F688" s="224">
        <v>1</v>
      </c>
      <c r="G688" s="195">
        <v>19</v>
      </c>
      <c r="H688" s="195">
        <f>VLOOKUP(B688,'19'!$D$6:$K$119,8,0)</f>
        <v>12</v>
      </c>
    </row>
    <row r="689" spans="1:8" ht="15.75" hidden="1" thickTop="1" x14ac:dyDescent="0.25">
      <c r="A689" s="2">
        <v>43</v>
      </c>
      <c r="B689" s="2" t="str">
        <f t="shared" si="17"/>
        <v>SORTING_WEST_F_2_19</v>
      </c>
      <c r="C689" s="223" t="s">
        <v>45</v>
      </c>
      <c r="D689" s="223" t="s">
        <v>19</v>
      </c>
      <c r="E689" s="223" t="s">
        <v>7</v>
      </c>
      <c r="F689" s="224">
        <v>2</v>
      </c>
      <c r="G689" s="2">
        <v>19</v>
      </c>
      <c r="H689" s="195">
        <f>VLOOKUP(B689,'19'!$D$6:$K$119,8,0)</f>
        <v>14</v>
      </c>
    </row>
    <row r="690" spans="1:8" ht="15.75" hidden="1" thickTop="1" x14ac:dyDescent="0.25">
      <c r="A690" s="2">
        <v>43</v>
      </c>
      <c r="B690" s="2" t="str">
        <f t="shared" si="17"/>
        <v>SORTING_WEST_M_1_19</v>
      </c>
      <c r="C690" s="223" t="s">
        <v>45</v>
      </c>
      <c r="D690" s="223" t="s">
        <v>19</v>
      </c>
      <c r="E690" s="223" t="s">
        <v>14</v>
      </c>
      <c r="F690" s="224">
        <v>1</v>
      </c>
      <c r="G690" s="2">
        <v>19</v>
      </c>
      <c r="H690" s="195">
        <f>VLOOKUP(B690,'19'!$D$6:$K$119,8,0)</f>
        <v>16</v>
      </c>
    </row>
    <row r="691" spans="1:8" ht="15.75" hidden="1" thickTop="1" x14ac:dyDescent="0.25">
      <c r="A691" s="2">
        <v>43</v>
      </c>
      <c r="B691" s="2" t="str">
        <f t="shared" si="17"/>
        <v>TRANSFER_EAST_UNP_1_19</v>
      </c>
      <c r="C691" s="223" t="s">
        <v>21</v>
      </c>
      <c r="D691" s="223" t="s">
        <v>18</v>
      </c>
      <c r="E691" s="223" t="s">
        <v>42</v>
      </c>
      <c r="F691" s="224">
        <v>1</v>
      </c>
      <c r="G691" s="2">
        <v>19</v>
      </c>
      <c r="H691" s="195">
        <f>VLOOKUP(B691,'19'!$D$6:$K$119,8,0)</f>
        <v>2</v>
      </c>
    </row>
    <row r="692" spans="1:8" ht="15.75" hidden="1" thickTop="1" x14ac:dyDescent="0.25">
      <c r="A692" s="2">
        <v>43</v>
      </c>
      <c r="B692" s="2" t="str">
        <f t="shared" si="17"/>
        <v>TRANSFER_EAST_A_2_19</v>
      </c>
      <c r="C692" s="223" t="s">
        <v>21</v>
      </c>
      <c r="D692" s="223" t="s">
        <v>18</v>
      </c>
      <c r="E692" s="352" t="s">
        <v>2</v>
      </c>
      <c r="F692" s="224">
        <v>2</v>
      </c>
      <c r="G692" s="2">
        <v>19</v>
      </c>
      <c r="H692" s="195">
        <f>VLOOKUP(B692,'19'!$D$6:$K$119,8,0)</f>
        <v>3</v>
      </c>
    </row>
    <row r="693" spans="1:8" ht="15.75" hidden="1" thickTop="1" x14ac:dyDescent="0.25">
      <c r="A693" s="2">
        <v>43</v>
      </c>
      <c r="B693" s="2" t="str">
        <f t="shared" si="17"/>
        <v>TRANSFER_EAST_C/U_1_19</v>
      </c>
      <c r="C693" s="223" t="s">
        <v>21</v>
      </c>
      <c r="D693" s="223" t="s">
        <v>18</v>
      </c>
      <c r="E693" s="352" t="s">
        <v>67</v>
      </c>
      <c r="F693" s="224">
        <v>1</v>
      </c>
      <c r="G693" s="2">
        <v>19</v>
      </c>
      <c r="H693" s="195">
        <f>VLOOKUP(B693,'19'!$D$6:$K$119,8,0)</f>
        <v>4</v>
      </c>
    </row>
    <row r="694" spans="1:8" ht="15.75" hidden="1" thickTop="1" x14ac:dyDescent="0.25">
      <c r="A694" s="2">
        <v>43</v>
      </c>
      <c r="B694" s="2" t="str">
        <f t="shared" si="17"/>
        <v>TRANSFER_EAST_C_2_19</v>
      </c>
      <c r="C694" s="223" t="s">
        <v>21</v>
      </c>
      <c r="D694" s="223" t="s">
        <v>18</v>
      </c>
      <c r="E694" s="223" t="s">
        <v>4</v>
      </c>
      <c r="F694" s="224">
        <v>2</v>
      </c>
      <c r="G694" s="2">
        <v>19</v>
      </c>
      <c r="H694" s="195">
        <f>VLOOKUP(B694,'19'!$D$6:$K$119,8,0)</f>
        <v>6</v>
      </c>
    </row>
    <row r="695" spans="1:8" ht="15.75" hidden="1" thickTop="1" x14ac:dyDescent="0.25">
      <c r="A695" s="2">
        <v>43</v>
      </c>
      <c r="B695" s="2" t="str">
        <f t="shared" si="17"/>
        <v>TRANSFER_EAST_I_1_19</v>
      </c>
      <c r="C695" s="223" t="s">
        <v>21</v>
      </c>
      <c r="D695" s="223" t="s">
        <v>18</v>
      </c>
      <c r="E695" s="223" t="s">
        <v>10</v>
      </c>
      <c r="F695" s="224">
        <v>1</v>
      </c>
      <c r="G695" s="2">
        <v>19</v>
      </c>
      <c r="H695" s="195">
        <f>VLOOKUP(B695,'19'!$D$6:$K$119,8,0)</f>
        <v>8</v>
      </c>
    </row>
    <row r="696" spans="1:8" ht="15.75" hidden="1" thickTop="1" x14ac:dyDescent="0.25">
      <c r="A696" s="2">
        <v>43</v>
      </c>
      <c r="B696" s="2" t="str">
        <f t="shared" si="17"/>
        <v>TRANSFER_EAST_G_2_19</v>
      </c>
      <c r="C696" s="223" t="s">
        <v>21</v>
      </c>
      <c r="D696" s="223" t="s">
        <v>18</v>
      </c>
      <c r="E696" s="223" t="s">
        <v>8</v>
      </c>
      <c r="F696" s="224">
        <v>2</v>
      </c>
      <c r="G696" s="2">
        <v>19</v>
      </c>
      <c r="H696" s="195">
        <f>VLOOKUP(B696,'19'!$D$6:$K$119,8,0)</f>
        <v>10</v>
      </c>
    </row>
    <row r="697" spans="1:8" ht="15.75" hidden="1" thickTop="1" x14ac:dyDescent="0.25">
      <c r="A697" s="2">
        <v>43</v>
      </c>
      <c r="B697" s="2" t="str">
        <f t="shared" si="17"/>
        <v>TRANSFER_EAST_B_1_19</v>
      </c>
      <c r="C697" s="223" t="s">
        <v>21</v>
      </c>
      <c r="D697" s="223" t="s">
        <v>18</v>
      </c>
      <c r="E697" s="223" t="s">
        <v>3</v>
      </c>
      <c r="F697" s="224">
        <v>1</v>
      </c>
      <c r="G697" s="2">
        <v>19</v>
      </c>
      <c r="H697" s="195">
        <f>VLOOKUP(B697,'19'!$D$6:$K$119,8,0)</f>
        <v>12</v>
      </c>
    </row>
    <row r="698" spans="1:8" ht="15.75" hidden="1" thickTop="1" x14ac:dyDescent="0.25">
      <c r="A698" s="2">
        <v>43</v>
      </c>
      <c r="B698" s="2" t="str">
        <f t="shared" si="17"/>
        <v>TRANSFER_EAST_E_2_19</v>
      </c>
      <c r="C698" s="223" t="s">
        <v>21</v>
      </c>
      <c r="D698" s="223" t="s">
        <v>18</v>
      </c>
      <c r="E698" s="223" t="s">
        <v>6</v>
      </c>
      <c r="F698" s="224">
        <v>2</v>
      </c>
      <c r="G698" s="2">
        <v>19</v>
      </c>
      <c r="H698" s="195">
        <f>VLOOKUP(B698,'19'!$D$6:$K$119,8,0)</f>
        <v>14</v>
      </c>
    </row>
    <row r="699" spans="1:8" ht="15.75" hidden="1" thickTop="1" x14ac:dyDescent="0.25">
      <c r="A699" s="2">
        <v>43</v>
      </c>
      <c r="B699" s="2" t="str">
        <f t="shared" si="17"/>
        <v>TRANSFER_EAST_D_1_19</v>
      </c>
      <c r="C699" s="223" t="s">
        <v>21</v>
      </c>
      <c r="D699" s="223" t="s">
        <v>18</v>
      </c>
      <c r="E699" s="223" t="s">
        <v>47</v>
      </c>
      <c r="F699" s="224">
        <v>1</v>
      </c>
      <c r="G699" s="2">
        <v>19</v>
      </c>
      <c r="H699" s="195">
        <f>VLOOKUP(B699,'19'!$D$6:$K$119,8,0)</f>
        <v>16</v>
      </c>
    </row>
    <row r="700" spans="1:8" ht="15.75" hidden="1" thickTop="1" x14ac:dyDescent="0.25">
      <c r="A700" s="2">
        <v>43</v>
      </c>
      <c r="B700" s="2" t="str">
        <f t="shared" si="17"/>
        <v>TRANSFER_EAST_K_2_19</v>
      </c>
      <c r="C700" s="223" t="s">
        <v>21</v>
      </c>
      <c r="D700" s="223" t="s">
        <v>18</v>
      </c>
      <c r="E700" s="223" t="s">
        <v>12</v>
      </c>
      <c r="F700" s="224">
        <v>2</v>
      </c>
      <c r="G700" s="2">
        <v>19</v>
      </c>
      <c r="H700" s="195">
        <f>VLOOKUP(B700,'19'!$D$6:$K$119,8,0)</f>
        <v>19</v>
      </c>
    </row>
    <row r="701" spans="1:8" ht="15.75" hidden="1" thickTop="1" x14ac:dyDescent="0.25">
      <c r="A701" s="2">
        <v>43</v>
      </c>
      <c r="B701" s="2" t="str">
        <f t="shared" si="17"/>
        <v>TRANSFER_WEST_H_1_19</v>
      </c>
      <c r="C701" s="223" t="s">
        <v>21</v>
      </c>
      <c r="D701" s="223" t="s">
        <v>19</v>
      </c>
      <c r="E701" s="223" t="s">
        <v>9</v>
      </c>
      <c r="F701" s="224">
        <v>1</v>
      </c>
      <c r="G701" s="2">
        <v>19</v>
      </c>
      <c r="H701" s="195">
        <f>VLOOKUP(B701,'19'!$D$6:$K$119,8,0)</f>
        <v>2</v>
      </c>
    </row>
    <row r="702" spans="1:8" ht="15.75" hidden="1" thickTop="1" x14ac:dyDescent="0.25">
      <c r="A702" s="2">
        <v>43</v>
      </c>
      <c r="B702" s="2" t="str">
        <f t="shared" si="17"/>
        <v>TRANSFER_WEST_P_2_19</v>
      </c>
      <c r="C702" s="223" t="s">
        <v>21</v>
      </c>
      <c r="D702" s="223" t="s">
        <v>19</v>
      </c>
      <c r="E702" s="223" t="s">
        <v>41</v>
      </c>
      <c r="F702" s="224">
        <v>2</v>
      </c>
      <c r="G702" s="2">
        <v>19</v>
      </c>
      <c r="H702" s="195">
        <f>VLOOKUP(B702,'19'!$D$6:$K$119,8,0)</f>
        <v>4</v>
      </c>
    </row>
    <row r="703" spans="1:8" ht="15.75" hidden="1" thickTop="1" x14ac:dyDescent="0.25">
      <c r="A703" s="2">
        <v>43</v>
      </c>
      <c r="B703" s="2" t="str">
        <f t="shared" si="17"/>
        <v>TRANSFER_WEST_O_1_19</v>
      </c>
      <c r="C703" s="223" t="s">
        <v>21</v>
      </c>
      <c r="D703" s="223" t="s">
        <v>19</v>
      </c>
      <c r="E703" s="223" t="s">
        <v>40</v>
      </c>
      <c r="F703" s="224">
        <v>1</v>
      </c>
      <c r="G703" s="2">
        <v>19</v>
      </c>
      <c r="H703" s="195">
        <f>VLOOKUP(B703,'19'!$D$6:$K$119,8,0)</f>
        <v>6</v>
      </c>
    </row>
    <row r="704" spans="1:8" ht="15.75" hidden="1" thickTop="1" x14ac:dyDescent="0.25">
      <c r="A704" s="2">
        <v>43</v>
      </c>
      <c r="B704" s="2" t="str">
        <f t="shared" si="17"/>
        <v>TRANSFER_WEST_L_2_19</v>
      </c>
      <c r="C704" s="223" t="s">
        <v>21</v>
      </c>
      <c r="D704" s="223" t="s">
        <v>19</v>
      </c>
      <c r="E704" s="223" t="s">
        <v>13</v>
      </c>
      <c r="F704" s="224">
        <v>2</v>
      </c>
      <c r="G704" s="2">
        <v>19</v>
      </c>
      <c r="H704" s="195">
        <f>VLOOKUP(B704,'19'!$D$6:$K$119,8,0)</f>
        <v>8</v>
      </c>
    </row>
    <row r="705" spans="1:8" ht="15.75" hidden="1" thickTop="1" x14ac:dyDescent="0.25">
      <c r="A705" s="2">
        <v>43</v>
      </c>
      <c r="B705" s="2" t="str">
        <f t="shared" si="17"/>
        <v>TRANSFER_WEST_N_1_19</v>
      </c>
      <c r="C705" s="223" t="s">
        <v>21</v>
      </c>
      <c r="D705" s="223" t="s">
        <v>19</v>
      </c>
      <c r="E705" s="223" t="s">
        <v>15</v>
      </c>
      <c r="F705" s="224">
        <v>1</v>
      </c>
      <c r="G705" s="2">
        <v>19</v>
      </c>
      <c r="H705" s="195">
        <f>VLOOKUP(B705,'19'!$D$6:$K$119,8,0)</f>
        <v>10</v>
      </c>
    </row>
    <row r="706" spans="1:8" ht="15.75" hidden="1" thickTop="1" x14ac:dyDescent="0.25">
      <c r="A706" s="2">
        <v>43</v>
      </c>
      <c r="B706" s="2" t="str">
        <f t="shared" si="17"/>
        <v>TRANSFER_WEST_J_2_19</v>
      </c>
      <c r="C706" s="223" t="s">
        <v>21</v>
      </c>
      <c r="D706" s="223" t="s">
        <v>19</v>
      </c>
      <c r="E706" s="223" t="s">
        <v>11</v>
      </c>
      <c r="F706" s="224">
        <v>2</v>
      </c>
      <c r="G706" s="2">
        <v>19</v>
      </c>
      <c r="H706" s="195">
        <f>VLOOKUP(B706,'19'!$D$6:$K$119,8,0)</f>
        <v>12</v>
      </c>
    </row>
    <row r="707" spans="1:8" ht="15.75" hidden="1" thickTop="1" x14ac:dyDescent="0.25">
      <c r="A707" s="2">
        <v>43</v>
      </c>
      <c r="B707" s="2" t="str">
        <f t="shared" si="17"/>
        <v>TRANSFER_WEST_Q_1_19</v>
      </c>
      <c r="C707" s="223" t="s">
        <v>21</v>
      </c>
      <c r="D707" s="223" t="s">
        <v>19</v>
      </c>
      <c r="E707" s="223" t="s">
        <v>59</v>
      </c>
      <c r="F707" s="224">
        <v>1</v>
      </c>
      <c r="G707" s="195">
        <v>19</v>
      </c>
      <c r="H707" s="195">
        <f>VLOOKUP(B707,'19'!$D$6:$K$119,8,0)</f>
        <v>14</v>
      </c>
    </row>
    <row r="708" spans="1:8" ht="15.75" hidden="1" thickTop="1" x14ac:dyDescent="0.25">
      <c r="A708" s="2">
        <v>43</v>
      </c>
      <c r="B708" s="2" t="str">
        <f t="shared" si="17"/>
        <v>TRANSFER_WEST_F_2_19</v>
      </c>
      <c r="C708" s="223" t="s">
        <v>21</v>
      </c>
      <c r="D708" s="223" t="s">
        <v>19</v>
      </c>
      <c r="E708" s="223" t="s">
        <v>7</v>
      </c>
      <c r="F708" s="224">
        <v>2</v>
      </c>
      <c r="G708" s="2">
        <v>19</v>
      </c>
      <c r="H708" s="195">
        <f>VLOOKUP(B708,'19'!$D$6:$K$119,8,0)</f>
        <v>16</v>
      </c>
    </row>
    <row r="709" spans="1:8" ht="15.75" hidden="1" thickTop="1" x14ac:dyDescent="0.25">
      <c r="A709" s="2">
        <v>43</v>
      </c>
      <c r="B709" s="2" t="str">
        <f t="shared" si="17"/>
        <v>TRANSFER_WEST_M_1_19</v>
      </c>
      <c r="C709" s="223" t="s">
        <v>21</v>
      </c>
      <c r="D709" s="223" t="s">
        <v>19</v>
      </c>
      <c r="E709" s="223" t="s">
        <v>14</v>
      </c>
      <c r="F709" s="224">
        <v>1</v>
      </c>
      <c r="G709" s="2">
        <v>19</v>
      </c>
      <c r="H709" s="195">
        <f>VLOOKUP(B709,'19'!$D$6:$K$119,8,0)</f>
        <v>19</v>
      </c>
    </row>
    <row r="710" spans="1:8" ht="15.75" hidden="1" thickTop="1" x14ac:dyDescent="0.25">
      <c r="A710" s="2">
        <v>43</v>
      </c>
      <c r="B710" s="2" t="str">
        <f t="shared" si="17"/>
        <v>PREPARE_EAST_UNP_1_19</v>
      </c>
      <c r="C710" s="223" t="s">
        <v>46</v>
      </c>
      <c r="D710" s="223" t="s">
        <v>18</v>
      </c>
      <c r="E710" s="223" t="s">
        <v>42</v>
      </c>
      <c r="F710" s="224">
        <v>1</v>
      </c>
      <c r="G710" s="2">
        <v>19</v>
      </c>
      <c r="H710" s="195">
        <f>VLOOKUP(B710,'19'!$D$6:$K$119,8,0)</f>
        <v>17</v>
      </c>
    </row>
    <row r="711" spans="1:8" ht="15.75" hidden="1" thickTop="1" x14ac:dyDescent="0.25">
      <c r="A711" s="2">
        <v>43</v>
      </c>
      <c r="B711" s="2" t="str">
        <f t="shared" si="17"/>
        <v>PREPARE_EAST_A_2_19</v>
      </c>
      <c r="C711" s="223" t="s">
        <v>46</v>
      </c>
      <c r="D711" s="223" t="s">
        <v>18</v>
      </c>
      <c r="E711" s="352" t="s">
        <v>2</v>
      </c>
      <c r="F711" s="224">
        <v>2</v>
      </c>
      <c r="G711" s="2">
        <v>19</v>
      </c>
      <c r="H711" s="195">
        <f>VLOOKUP(B711,'19'!$D$6:$K$119,8,0)</f>
        <v>18</v>
      </c>
    </row>
    <row r="712" spans="1:8" ht="15.75" hidden="1" thickTop="1" x14ac:dyDescent="0.25">
      <c r="A712" s="2">
        <v>43</v>
      </c>
      <c r="B712" s="2" t="str">
        <f t="shared" si="17"/>
        <v>PREPARE_EAST_C/U_1_19</v>
      </c>
      <c r="C712" s="223" t="s">
        <v>46</v>
      </c>
      <c r="D712" s="223" t="s">
        <v>18</v>
      </c>
      <c r="E712" s="352" t="s">
        <v>67</v>
      </c>
      <c r="F712" s="224">
        <v>1</v>
      </c>
      <c r="G712" s="2">
        <v>19</v>
      </c>
      <c r="H712" s="195">
        <f>VLOOKUP(B712,'19'!$D$6:$K$119,8,0)</f>
        <v>19</v>
      </c>
    </row>
    <row r="713" spans="1:8" ht="15.75" hidden="1" thickTop="1" x14ac:dyDescent="0.25">
      <c r="A713" s="2">
        <v>43</v>
      </c>
      <c r="B713" s="2" t="str">
        <f t="shared" si="17"/>
        <v>PREPARE_EAST_C_2_19</v>
      </c>
      <c r="C713" s="223" t="s">
        <v>46</v>
      </c>
      <c r="D713" s="223" t="s">
        <v>18</v>
      </c>
      <c r="E713" s="223" t="s">
        <v>4</v>
      </c>
      <c r="F713" s="224">
        <v>2</v>
      </c>
      <c r="G713" s="2">
        <v>19</v>
      </c>
      <c r="H713" s="195">
        <f>VLOOKUP(B713,'19'!$D$6:$K$119,8,0)</f>
        <v>20</v>
      </c>
    </row>
    <row r="714" spans="1:8" ht="15.75" hidden="1" thickTop="1" x14ac:dyDescent="0.25">
      <c r="A714" s="2">
        <v>43</v>
      </c>
      <c r="B714" s="2" t="str">
        <f t="shared" si="17"/>
        <v>PREPARE_EAST_I_1_19</v>
      </c>
      <c r="C714" s="223" t="s">
        <v>46</v>
      </c>
      <c r="D714" s="223" t="s">
        <v>18</v>
      </c>
      <c r="E714" s="223" t="s">
        <v>10</v>
      </c>
      <c r="F714" s="224">
        <v>1</v>
      </c>
      <c r="G714" s="2">
        <v>19</v>
      </c>
      <c r="H714" s="195">
        <f>VLOOKUP(B714,'19'!$D$6:$K$119,8,0)</f>
        <v>22</v>
      </c>
    </row>
    <row r="715" spans="1:8" ht="15.75" hidden="1" thickTop="1" x14ac:dyDescent="0.25">
      <c r="A715" s="2">
        <v>43</v>
      </c>
      <c r="B715" s="2" t="str">
        <f t="shared" si="17"/>
        <v>PREPARE_EAST_G_2_19</v>
      </c>
      <c r="C715" s="223" t="s">
        <v>46</v>
      </c>
      <c r="D715" s="223" t="s">
        <v>18</v>
      </c>
      <c r="E715" s="223" t="s">
        <v>8</v>
      </c>
      <c r="F715" s="224">
        <v>2</v>
      </c>
      <c r="G715" s="2">
        <v>19</v>
      </c>
      <c r="H715" s="195">
        <f>VLOOKUP(B715,'19'!$D$6:$K$119,8,0)</f>
        <v>24</v>
      </c>
    </row>
    <row r="716" spans="1:8" ht="15.75" hidden="1" thickTop="1" x14ac:dyDescent="0.25">
      <c r="A716" s="2">
        <v>43</v>
      </c>
      <c r="B716" s="2" t="str">
        <f t="shared" si="17"/>
        <v>PREPARE_EAST_B_1_19</v>
      </c>
      <c r="C716" s="223" t="s">
        <v>46</v>
      </c>
      <c r="D716" s="223" t="s">
        <v>18</v>
      </c>
      <c r="E716" s="223" t="s">
        <v>3</v>
      </c>
      <c r="F716" s="224">
        <v>1</v>
      </c>
      <c r="G716" s="2">
        <v>19</v>
      </c>
      <c r="H716" s="195">
        <f>VLOOKUP(B716,'19'!$D$6:$K$119,8,0)</f>
        <v>27</v>
      </c>
    </row>
    <row r="717" spans="1:8" ht="15.75" hidden="1" thickTop="1" x14ac:dyDescent="0.25">
      <c r="A717" s="2">
        <v>43</v>
      </c>
      <c r="B717" s="2" t="str">
        <f t="shared" si="17"/>
        <v>PREPARE_EAST_E_2_19</v>
      </c>
      <c r="C717" s="223" t="s">
        <v>46</v>
      </c>
      <c r="D717" s="223" t="s">
        <v>18</v>
      </c>
      <c r="E717" s="223" t="s">
        <v>6</v>
      </c>
      <c r="F717" s="224">
        <v>2</v>
      </c>
      <c r="G717" s="2">
        <v>19</v>
      </c>
      <c r="H717" s="195">
        <f>VLOOKUP(B717,'19'!$D$6:$K$119,8,0)</f>
        <v>29</v>
      </c>
    </row>
    <row r="718" spans="1:8" ht="15.75" hidden="1" thickTop="1" x14ac:dyDescent="0.25">
      <c r="A718" s="2">
        <v>43</v>
      </c>
      <c r="B718" s="2" t="str">
        <f t="shared" si="17"/>
        <v>PREPARE_EAST_D_1_19</v>
      </c>
      <c r="C718" s="223" t="s">
        <v>46</v>
      </c>
      <c r="D718" s="223" t="s">
        <v>18</v>
      </c>
      <c r="E718" s="223" t="s">
        <v>47</v>
      </c>
      <c r="F718" s="224">
        <v>1</v>
      </c>
      <c r="G718" s="2">
        <v>19</v>
      </c>
      <c r="H718" s="195">
        <f>VLOOKUP(B718,'19'!$D$6:$K$119,8,0)</f>
        <v>31</v>
      </c>
    </row>
    <row r="719" spans="1:8" ht="15.75" hidden="1" thickTop="1" x14ac:dyDescent="0.25">
      <c r="A719" s="2">
        <v>43</v>
      </c>
      <c r="B719" s="2" t="str">
        <f t="shared" si="17"/>
        <v>PREPARE_EAST_K_2_19</v>
      </c>
      <c r="C719" s="223" t="s">
        <v>46</v>
      </c>
      <c r="D719" s="223" t="s">
        <v>18</v>
      </c>
      <c r="E719" s="223" t="s">
        <v>12</v>
      </c>
      <c r="F719" s="224">
        <v>2</v>
      </c>
      <c r="G719" s="2">
        <v>19</v>
      </c>
      <c r="H719" s="195">
        <f>VLOOKUP(B719,'19'!$D$6:$K$119,8,0)</f>
        <v>33</v>
      </c>
    </row>
    <row r="720" spans="1:8" ht="15.75" hidden="1" thickTop="1" x14ac:dyDescent="0.25">
      <c r="A720" s="2">
        <v>43</v>
      </c>
      <c r="B720" s="2" t="str">
        <f t="shared" si="17"/>
        <v>PREPARE_WEST_H_1_19</v>
      </c>
      <c r="C720" s="223" t="s">
        <v>46</v>
      </c>
      <c r="D720" s="223" t="s">
        <v>19</v>
      </c>
      <c r="E720" s="223" t="s">
        <v>9</v>
      </c>
      <c r="F720" s="224">
        <v>1</v>
      </c>
      <c r="G720" s="2">
        <v>19</v>
      </c>
      <c r="H720" s="195">
        <f>VLOOKUP(B720,'19'!$D$6:$K$119,8,0)</f>
        <v>17</v>
      </c>
    </row>
    <row r="721" spans="1:8" ht="15.75" hidden="1" thickTop="1" x14ac:dyDescent="0.25">
      <c r="A721" s="2">
        <v>43</v>
      </c>
      <c r="B721" s="2" t="str">
        <f t="shared" si="17"/>
        <v>PREPARE_WEST_P_2_19</v>
      </c>
      <c r="C721" s="223" t="s">
        <v>46</v>
      </c>
      <c r="D721" s="223" t="s">
        <v>19</v>
      </c>
      <c r="E721" s="223" t="s">
        <v>41</v>
      </c>
      <c r="F721" s="224">
        <v>2</v>
      </c>
      <c r="G721" s="2">
        <v>19</v>
      </c>
      <c r="H721" s="195">
        <f>VLOOKUP(B721,'19'!$D$6:$K$119,8,0)</f>
        <v>19</v>
      </c>
    </row>
    <row r="722" spans="1:8" ht="15.75" hidden="1" thickTop="1" x14ac:dyDescent="0.25">
      <c r="A722" s="2">
        <v>43</v>
      </c>
      <c r="B722" s="2" t="str">
        <f t="shared" si="17"/>
        <v>PREPARE_WEST_O_1_19</v>
      </c>
      <c r="C722" s="223" t="s">
        <v>46</v>
      </c>
      <c r="D722" s="223" t="s">
        <v>19</v>
      </c>
      <c r="E722" s="223" t="s">
        <v>40</v>
      </c>
      <c r="F722" s="224">
        <v>1</v>
      </c>
      <c r="G722" s="2">
        <v>19</v>
      </c>
      <c r="H722" s="195">
        <f>VLOOKUP(B722,'19'!$D$6:$K$119,8,0)</f>
        <v>21</v>
      </c>
    </row>
    <row r="723" spans="1:8" ht="15.75" hidden="1" thickTop="1" x14ac:dyDescent="0.25">
      <c r="A723" s="2">
        <v>43</v>
      </c>
      <c r="B723" s="2" t="str">
        <f t="shared" si="17"/>
        <v>PREPARE_WEST_L_2_19</v>
      </c>
      <c r="C723" s="223" t="s">
        <v>46</v>
      </c>
      <c r="D723" s="223" t="s">
        <v>19</v>
      </c>
      <c r="E723" s="223" t="s">
        <v>13</v>
      </c>
      <c r="F723" s="224">
        <v>2</v>
      </c>
      <c r="G723" s="2">
        <v>19</v>
      </c>
      <c r="H723" s="195">
        <f>VLOOKUP(B723,'19'!$D$6:$K$119,8,0)</f>
        <v>24</v>
      </c>
    </row>
    <row r="724" spans="1:8" ht="15.75" hidden="1" thickTop="1" x14ac:dyDescent="0.25">
      <c r="A724" s="2">
        <v>43</v>
      </c>
      <c r="B724" s="2" t="str">
        <f t="shared" si="17"/>
        <v>PREPARE_WEST_N_1_19</v>
      </c>
      <c r="C724" s="223" t="s">
        <v>46</v>
      </c>
      <c r="D724" s="223" t="s">
        <v>19</v>
      </c>
      <c r="E724" s="223" t="s">
        <v>15</v>
      </c>
      <c r="F724" s="224">
        <v>1</v>
      </c>
      <c r="G724" s="2">
        <v>19</v>
      </c>
      <c r="H724" s="195">
        <f>VLOOKUP(B724,'19'!$D$6:$K$119,8,0)</f>
        <v>26</v>
      </c>
    </row>
    <row r="725" spans="1:8" ht="15.75" hidden="1" thickTop="1" x14ac:dyDescent="0.25">
      <c r="A725" s="2">
        <v>43</v>
      </c>
      <c r="B725" s="2" t="str">
        <f t="shared" si="17"/>
        <v>PREPARE_WEST_J_2_19</v>
      </c>
      <c r="C725" s="223" t="s">
        <v>46</v>
      </c>
      <c r="D725" s="223" t="s">
        <v>19</v>
      </c>
      <c r="E725" s="223" t="s">
        <v>11</v>
      </c>
      <c r="F725" s="224">
        <v>2</v>
      </c>
      <c r="G725" s="2">
        <v>19</v>
      </c>
      <c r="H725" s="195">
        <f>VLOOKUP(B725,'19'!$D$6:$K$119,8,0)</f>
        <v>29</v>
      </c>
    </row>
    <row r="726" spans="1:8" ht="15.75" hidden="1" thickTop="1" x14ac:dyDescent="0.25">
      <c r="A726" s="2">
        <v>43</v>
      </c>
      <c r="B726" s="2" t="str">
        <f t="shared" si="17"/>
        <v>PREPARE_WEST_Q_1_19</v>
      </c>
      <c r="C726" s="223" t="s">
        <v>46</v>
      </c>
      <c r="D726" s="223" t="s">
        <v>19</v>
      </c>
      <c r="E726" s="223" t="s">
        <v>59</v>
      </c>
      <c r="F726" s="224">
        <v>1</v>
      </c>
      <c r="G726" s="195">
        <v>19</v>
      </c>
      <c r="H726" s="195">
        <f>VLOOKUP(B726,'19'!$D$6:$K$119,8,0)</f>
        <v>31</v>
      </c>
    </row>
    <row r="727" spans="1:8" ht="15.75" hidden="1" thickTop="1" x14ac:dyDescent="0.25">
      <c r="A727" s="2">
        <v>43</v>
      </c>
      <c r="B727" s="2" t="str">
        <f t="shared" si="17"/>
        <v>PREPARE_WEST_F_2_19</v>
      </c>
      <c r="C727" s="223" t="s">
        <v>46</v>
      </c>
      <c r="D727" s="223" t="s">
        <v>19</v>
      </c>
      <c r="E727" s="223" t="s">
        <v>7</v>
      </c>
      <c r="F727" s="224">
        <v>2</v>
      </c>
      <c r="G727" s="2">
        <v>19</v>
      </c>
      <c r="H727" s="195">
        <f>VLOOKUP(B727,'19'!$D$6:$K$119,8,0)</f>
        <v>32</v>
      </c>
    </row>
    <row r="728" spans="1:8" ht="15.75" hidden="1" thickTop="1" x14ac:dyDescent="0.25">
      <c r="A728" s="2">
        <v>43</v>
      </c>
      <c r="B728" s="2" t="str">
        <f t="shared" si="17"/>
        <v>PREPARE_WEST_M_1_19</v>
      </c>
      <c r="C728" s="223" t="s">
        <v>46</v>
      </c>
      <c r="D728" s="223" t="s">
        <v>19</v>
      </c>
      <c r="E728" s="223" t="s">
        <v>14</v>
      </c>
      <c r="F728" s="224">
        <v>1</v>
      </c>
      <c r="G728" s="2">
        <v>19</v>
      </c>
      <c r="H728" s="195">
        <f>VLOOKUP(B728,'19'!$D$6:$K$119,8,0)</f>
        <v>34</v>
      </c>
    </row>
    <row r="729" spans="1:8" ht="15.75" hidden="1" thickTop="1" x14ac:dyDescent="0.25">
      <c r="A729" s="2">
        <v>43</v>
      </c>
      <c r="B729" s="2" t="str">
        <f t="shared" si="17"/>
        <v>SUPPLY_EAST_UNP_1_19</v>
      </c>
      <c r="C729" s="223" t="s">
        <v>0</v>
      </c>
      <c r="D729" s="223" t="s">
        <v>18</v>
      </c>
      <c r="E729" s="223" t="s">
        <v>42</v>
      </c>
      <c r="F729" s="224">
        <v>1</v>
      </c>
      <c r="G729" s="2">
        <v>19</v>
      </c>
      <c r="H729" s="195">
        <f>VLOOKUP(B729,'19'!$D$6:$K$119,8,0)</f>
        <v>0</v>
      </c>
    </row>
    <row r="730" spans="1:8" ht="15.75" hidden="1" thickTop="1" x14ac:dyDescent="0.25">
      <c r="A730" s="2">
        <v>43</v>
      </c>
      <c r="B730" s="2" t="str">
        <f t="shared" si="17"/>
        <v>SUPPLY_EAST_A_2_19</v>
      </c>
      <c r="C730" s="223" t="s">
        <v>0</v>
      </c>
      <c r="D730" s="223" t="s">
        <v>18</v>
      </c>
      <c r="E730" s="352" t="s">
        <v>2</v>
      </c>
      <c r="F730" s="224">
        <v>2</v>
      </c>
      <c r="G730" s="2">
        <v>19</v>
      </c>
      <c r="H730" s="195">
        <f>VLOOKUP(B730,'19'!$D$6:$K$119,8,0)</f>
        <v>1</v>
      </c>
    </row>
    <row r="731" spans="1:8" ht="15.75" hidden="1" thickTop="1" x14ac:dyDescent="0.25">
      <c r="A731" s="2">
        <v>43</v>
      </c>
      <c r="B731" s="2" t="str">
        <f t="shared" si="17"/>
        <v>SUPPLY_EAST_C/U_1_19</v>
      </c>
      <c r="C731" s="223" t="s">
        <v>0</v>
      </c>
      <c r="D731" s="223" t="s">
        <v>18</v>
      </c>
      <c r="E731" s="352" t="s">
        <v>67</v>
      </c>
      <c r="F731" s="224">
        <v>1</v>
      </c>
      <c r="G731" s="2">
        <v>19</v>
      </c>
      <c r="H731" s="195">
        <f>VLOOKUP(B731,'19'!$D$6:$K$119,8,0)</f>
        <v>2</v>
      </c>
    </row>
    <row r="732" spans="1:8" ht="15.75" hidden="1" thickTop="1" x14ac:dyDescent="0.25">
      <c r="A732" s="2">
        <v>43</v>
      </c>
      <c r="B732" s="2" t="str">
        <f t="shared" si="17"/>
        <v>SUPPLY_EAST_C_2_19</v>
      </c>
      <c r="C732" s="223" t="s">
        <v>0</v>
      </c>
      <c r="D732" s="223" t="s">
        <v>18</v>
      </c>
      <c r="E732" s="223" t="s">
        <v>4</v>
      </c>
      <c r="F732" s="224">
        <v>2</v>
      </c>
      <c r="G732" s="2">
        <v>19</v>
      </c>
      <c r="H732" s="195">
        <f>VLOOKUP(B732,'19'!$D$6:$K$119,8,0)</f>
        <v>3</v>
      </c>
    </row>
    <row r="733" spans="1:8" ht="15.75" hidden="1" thickTop="1" x14ac:dyDescent="0.25">
      <c r="A733" s="2">
        <v>43</v>
      </c>
      <c r="B733" s="2" t="str">
        <f t="shared" si="17"/>
        <v>SUPPLY_EAST_I_1_19</v>
      </c>
      <c r="C733" s="223" t="s">
        <v>0</v>
      </c>
      <c r="D733" s="223" t="s">
        <v>18</v>
      </c>
      <c r="E733" s="223" t="s">
        <v>10</v>
      </c>
      <c r="F733" s="224">
        <v>1</v>
      </c>
      <c r="G733" s="2">
        <v>19</v>
      </c>
      <c r="H733" s="195">
        <f>VLOOKUP(B733,'19'!$D$6:$K$119,8,0)</f>
        <v>5</v>
      </c>
    </row>
    <row r="734" spans="1:8" ht="15.75" hidden="1" thickTop="1" x14ac:dyDescent="0.25">
      <c r="A734" s="2">
        <v>43</v>
      </c>
      <c r="B734" s="2" t="str">
        <f t="shared" si="17"/>
        <v>SUPPLY_EAST_G_2_19</v>
      </c>
      <c r="C734" s="223" t="s">
        <v>0</v>
      </c>
      <c r="D734" s="223" t="s">
        <v>18</v>
      </c>
      <c r="E734" s="223" t="s">
        <v>8</v>
      </c>
      <c r="F734" s="224">
        <v>2</v>
      </c>
      <c r="G734" s="2">
        <v>19</v>
      </c>
      <c r="H734" s="195">
        <f>VLOOKUP(B734,'19'!$D$6:$K$119,8,0)</f>
        <v>7</v>
      </c>
    </row>
    <row r="735" spans="1:8" ht="15.75" hidden="1" thickTop="1" x14ac:dyDescent="0.25">
      <c r="A735" s="2">
        <v>43</v>
      </c>
      <c r="B735" s="2" t="str">
        <f t="shared" si="17"/>
        <v>SUPPLY_EAST_B_1_19</v>
      </c>
      <c r="C735" s="223" t="s">
        <v>0</v>
      </c>
      <c r="D735" s="223" t="s">
        <v>18</v>
      </c>
      <c r="E735" s="223" t="s">
        <v>3</v>
      </c>
      <c r="F735" s="224">
        <v>1</v>
      </c>
      <c r="G735" s="2">
        <v>19</v>
      </c>
      <c r="H735" s="195">
        <f>VLOOKUP(B735,'19'!$D$6:$K$119,8,0)</f>
        <v>10</v>
      </c>
    </row>
    <row r="736" spans="1:8" ht="15.75" hidden="1" thickTop="1" x14ac:dyDescent="0.25">
      <c r="A736" s="2">
        <v>43</v>
      </c>
      <c r="B736" s="2" t="str">
        <f t="shared" si="17"/>
        <v>SUPPLY_EAST_E_2_19</v>
      </c>
      <c r="C736" s="223" t="s">
        <v>0</v>
      </c>
      <c r="D736" s="223" t="s">
        <v>18</v>
      </c>
      <c r="E736" s="223" t="s">
        <v>6</v>
      </c>
      <c r="F736" s="224">
        <v>2</v>
      </c>
      <c r="G736" s="2">
        <v>19</v>
      </c>
      <c r="H736" s="195">
        <f>VLOOKUP(B736,'19'!$D$6:$K$119,8,0)</f>
        <v>12</v>
      </c>
    </row>
    <row r="737" spans="1:8" ht="15.75" hidden="1" thickTop="1" x14ac:dyDescent="0.25">
      <c r="A737" s="2">
        <v>43</v>
      </c>
      <c r="B737" s="2" t="str">
        <f t="shared" si="17"/>
        <v>SUPPLY_EAST_D_1_19</v>
      </c>
      <c r="C737" s="223" t="s">
        <v>0</v>
      </c>
      <c r="D737" s="223" t="s">
        <v>18</v>
      </c>
      <c r="E737" s="223" t="s">
        <v>47</v>
      </c>
      <c r="F737" s="224">
        <v>1</v>
      </c>
      <c r="G737" s="2">
        <v>19</v>
      </c>
      <c r="H737" s="195">
        <f>VLOOKUP(B737,'19'!$D$6:$K$119,8,0)</f>
        <v>14</v>
      </c>
    </row>
    <row r="738" spans="1:8" ht="15.75" hidden="1" thickTop="1" x14ac:dyDescent="0.25">
      <c r="A738" s="2">
        <v>43</v>
      </c>
      <c r="B738" s="2" t="str">
        <f t="shared" si="17"/>
        <v>SUPPLY_EAST_K_2_19</v>
      </c>
      <c r="C738" s="223" t="s">
        <v>0</v>
      </c>
      <c r="D738" s="223" t="s">
        <v>18</v>
      </c>
      <c r="E738" s="223" t="s">
        <v>12</v>
      </c>
      <c r="F738" s="224">
        <v>2</v>
      </c>
      <c r="G738" s="2">
        <v>19</v>
      </c>
      <c r="H738" s="195">
        <f>VLOOKUP(B738,'19'!$D$6:$K$119,8,0)</f>
        <v>17</v>
      </c>
    </row>
    <row r="739" spans="1:8" ht="15.75" hidden="1" thickTop="1" x14ac:dyDescent="0.25">
      <c r="A739" s="2">
        <v>43</v>
      </c>
      <c r="B739" s="2" t="str">
        <f t="shared" ref="B739:B802" si="18">C739&amp;"_"&amp;D739&amp;"_"&amp;E739&amp;"_"&amp;F739&amp;"_"&amp;G739</f>
        <v>SUPPLY_WEST_H_1_19</v>
      </c>
      <c r="C739" s="223" t="s">
        <v>0</v>
      </c>
      <c r="D739" s="223" t="s">
        <v>19</v>
      </c>
      <c r="E739" s="223" t="s">
        <v>9</v>
      </c>
      <c r="F739" s="224">
        <v>1</v>
      </c>
      <c r="G739" s="2">
        <v>19</v>
      </c>
      <c r="H739" s="195">
        <f>VLOOKUP(B739,'19'!$D$6:$K$119,8,0)</f>
        <v>0</v>
      </c>
    </row>
    <row r="740" spans="1:8" ht="15.75" hidden="1" thickTop="1" x14ac:dyDescent="0.25">
      <c r="A740" s="2">
        <v>43</v>
      </c>
      <c r="B740" s="2" t="str">
        <f t="shared" si="18"/>
        <v>SUPPLY_WEST_P_2_19</v>
      </c>
      <c r="C740" s="223" t="s">
        <v>0</v>
      </c>
      <c r="D740" s="223" t="s">
        <v>19</v>
      </c>
      <c r="E740" s="223" t="s">
        <v>41</v>
      </c>
      <c r="F740" s="224">
        <v>2</v>
      </c>
      <c r="G740" s="2">
        <v>19</v>
      </c>
      <c r="H740" s="195">
        <f>VLOOKUP(B740,'19'!$D$6:$K$119,8,0)</f>
        <v>2</v>
      </c>
    </row>
    <row r="741" spans="1:8" ht="15.75" hidden="1" thickTop="1" x14ac:dyDescent="0.25">
      <c r="A741" s="2">
        <v>43</v>
      </c>
      <c r="B741" s="2" t="str">
        <f t="shared" si="18"/>
        <v>SUPPLY_WEST_O_1_19</v>
      </c>
      <c r="C741" s="223" t="s">
        <v>0</v>
      </c>
      <c r="D741" s="223" t="s">
        <v>19</v>
      </c>
      <c r="E741" s="223" t="s">
        <v>40</v>
      </c>
      <c r="F741" s="224">
        <v>1</v>
      </c>
      <c r="G741" s="2">
        <v>19</v>
      </c>
      <c r="H741" s="195">
        <f>VLOOKUP(B741,'19'!$D$6:$K$119,8,0)</f>
        <v>5</v>
      </c>
    </row>
    <row r="742" spans="1:8" ht="15.75" hidden="1" thickTop="1" x14ac:dyDescent="0.25">
      <c r="A742" s="2">
        <v>43</v>
      </c>
      <c r="B742" s="2" t="str">
        <f t="shared" si="18"/>
        <v>SUPPLY_WEST_L_2_19</v>
      </c>
      <c r="C742" s="223" t="s">
        <v>0</v>
      </c>
      <c r="D742" s="223" t="s">
        <v>19</v>
      </c>
      <c r="E742" s="223" t="s">
        <v>13</v>
      </c>
      <c r="F742" s="224">
        <v>2</v>
      </c>
      <c r="G742" s="2">
        <v>19</v>
      </c>
      <c r="H742" s="195">
        <f>VLOOKUP(B742,'19'!$D$6:$K$119,8,0)</f>
        <v>7</v>
      </c>
    </row>
    <row r="743" spans="1:8" ht="15.75" hidden="1" thickTop="1" x14ac:dyDescent="0.25">
      <c r="A743" s="2">
        <v>43</v>
      </c>
      <c r="B743" s="2" t="str">
        <f t="shared" si="18"/>
        <v>SUPPLY_WEST_N_1_19</v>
      </c>
      <c r="C743" s="223" t="s">
        <v>0</v>
      </c>
      <c r="D743" s="223" t="s">
        <v>19</v>
      </c>
      <c r="E743" s="223" t="s">
        <v>15</v>
      </c>
      <c r="F743" s="224">
        <v>1</v>
      </c>
      <c r="G743" s="2">
        <v>19</v>
      </c>
      <c r="H743" s="195">
        <f>VLOOKUP(B743,'19'!$D$6:$K$119,8,0)</f>
        <v>10</v>
      </c>
    </row>
    <row r="744" spans="1:8" ht="15.75" hidden="1" thickTop="1" x14ac:dyDescent="0.25">
      <c r="A744" s="2">
        <v>43</v>
      </c>
      <c r="B744" s="2" t="str">
        <f t="shared" si="18"/>
        <v>SUPPLY_WEST_J_2_19</v>
      </c>
      <c r="C744" s="223" t="s">
        <v>0</v>
      </c>
      <c r="D744" s="223" t="s">
        <v>19</v>
      </c>
      <c r="E744" s="223" t="s">
        <v>11</v>
      </c>
      <c r="F744" s="224">
        <v>2</v>
      </c>
      <c r="G744" s="2">
        <v>19</v>
      </c>
      <c r="H744" s="195">
        <f>VLOOKUP(B744,'19'!$D$6:$K$119,8,0)</f>
        <v>12</v>
      </c>
    </row>
    <row r="745" spans="1:8" ht="15.75" hidden="1" thickTop="1" x14ac:dyDescent="0.25">
      <c r="A745" s="2">
        <v>43</v>
      </c>
      <c r="B745" s="2" t="str">
        <f t="shared" si="18"/>
        <v>SUPPLY_WEST_Q_1_19</v>
      </c>
      <c r="C745" s="223" t="s">
        <v>0</v>
      </c>
      <c r="D745" s="223" t="s">
        <v>19</v>
      </c>
      <c r="E745" s="223" t="s">
        <v>59</v>
      </c>
      <c r="F745" s="224">
        <v>1</v>
      </c>
      <c r="G745" s="195">
        <v>19</v>
      </c>
      <c r="H745" s="195">
        <f>VLOOKUP(B745,'19'!$D$6:$K$119,8,0)</f>
        <v>14</v>
      </c>
    </row>
    <row r="746" spans="1:8" ht="15.75" hidden="1" thickTop="1" x14ac:dyDescent="0.25">
      <c r="A746" s="2">
        <v>43</v>
      </c>
      <c r="B746" s="2" t="str">
        <f t="shared" si="18"/>
        <v>SUPPLY_WEST_F_2_19</v>
      </c>
      <c r="C746" s="223" t="s">
        <v>0</v>
      </c>
      <c r="D746" s="223" t="s">
        <v>19</v>
      </c>
      <c r="E746" s="223" t="s">
        <v>7</v>
      </c>
      <c r="F746" s="224">
        <v>2</v>
      </c>
      <c r="G746" s="2">
        <v>19</v>
      </c>
      <c r="H746" s="195">
        <f>VLOOKUP(B746,'19'!$D$6:$K$119,8,0)</f>
        <v>15</v>
      </c>
    </row>
    <row r="747" spans="1:8" ht="15.75" hidden="1" thickTop="1" x14ac:dyDescent="0.25">
      <c r="A747" s="2">
        <v>43</v>
      </c>
      <c r="B747" s="2" t="str">
        <f t="shared" si="18"/>
        <v>SUPPLY_WEST_M_1_19</v>
      </c>
      <c r="C747" s="223" t="s">
        <v>0</v>
      </c>
      <c r="D747" s="223" t="s">
        <v>19</v>
      </c>
      <c r="E747" s="223" t="s">
        <v>14</v>
      </c>
      <c r="F747" s="224">
        <v>1</v>
      </c>
      <c r="G747" s="2">
        <v>19</v>
      </c>
      <c r="H747" s="195">
        <f>VLOOKUP(B747,'19'!$D$6:$K$119,8,0)</f>
        <v>17</v>
      </c>
    </row>
    <row r="748" spans="1:8" ht="15.75" hidden="1" thickTop="1" x14ac:dyDescent="0.25">
      <c r="A748" s="2">
        <v>43</v>
      </c>
      <c r="B748" s="2" t="str">
        <f t="shared" si="18"/>
        <v>EMPTY_EAST_UNP_1_19</v>
      </c>
      <c r="C748" s="223" t="s">
        <v>32</v>
      </c>
      <c r="D748" s="223" t="s">
        <v>18</v>
      </c>
      <c r="E748" s="223" t="s">
        <v>42</v>
      </c>
      <c r="F748" s="224">
        <v>1</v>
      </c>
      <c r="G748" s="2">
        <v>19</v>
      </c>
      <c r="H748" s="195">
        <f>VLOOKUP(B748,'19'!$D$6:$K$119,8,0)</f>
        <v>14</v>
      </c>
    </row>
    <row r="749" spans="1:8" ht="15.75" hidden="1" thickTop="1" x14ac:dyDescent="0.25">
      <c r="A749" s="2">
        <v>43</v>
      </c>
      <c r="B749" s="2" t="str">
        <f t="shared" si="18"/>
        <v>EMPTY_EAST_A_2_19</v>
      </c>
      <c r="C749" s="223" t="s">
        <v>32</v>
      </c>
      <c r="D749" s="223" t="s">
        <v>18</v>
      </c>
      <c r="E749" s="352" t="s">
        <v>2</v>
      </c>
      <c r="F749" s="224">
        <v>2</v>
      </c>
      <c r="G749" s="2">
        <v>19</v>
      </c>
      <c r="H749" s="195">
        <f>VLOOKUP(B749,'19'!$D$6:$K$119,8,0)</f>
        <v>16</v>
      </c>
    </row>
    <row r="750" spans="1:8" ht="15.75" hidden="1" thickTop="1" x14ac:dyDescent="0.25">
      <c r="A750" s="2">
        <v>43</v>
      </c>
      <c r="B750" s="2" t="str">
        <f t="shared" si="18"/>
        <v>EMPTY_EAST_C/U_1_19</v>
      </c>
      <c r="C750" s="223" t="s">
        <v>32</v>
      </c>
      <c r="D750" s="223" t="s">
        <v>18</v>
      </c>
      <c r="E750" s="352" t="s">
        <v>67</v>
      </c>
      <c r="F750" s="224">
        <v>1</v>
      </c>
      <c r="G750" s="2">
        <v>19</v>
      </c>
      <c r="H750" s="195">
        <f>VLOOKUP(B750,'19'!$D$6:$K$119,8,0)</f>
        <v>17</v>
      </c>
    </row>
    <row r="751" spans="1:8" ht="15.75" hidden="1" thickTop="1" x14ac:dyDescent="0.25">
      <c r="A751" s="2">
        <v>43</v>
      </c>
      <c r="B751" s="2" t="str">
        <f t="shared" si="18"/>
        <v>EMPTY_EAST_C_2_19</v>
      </c>
      <c r="C751" s="223" t="s">
        <v>32</v>
      </c>
      <c r="D751" s="223" t="s">
        <v>18</v>
      </c>
      <c r="E751" s="223" t="s">
        <v>4</v>
      </c>
      <c r="F751" s="224">
        <v>2</v>
      </c>
      <c r="G751" s="2">
        <v>19</v>
      </c>
      <c r="H751" s="195">
        <f>VLOOKUP(B751,'19'!$D$6:$K$119,8,0)</f>
        <v>18</v>
      </c>
    </row>
    <row r="752" spans="1:8" ht="15.75" hidden="1" thickTop="1" x14ac:dyDescent="0.25">
      <c r="A752" s="2">
        <v>43</v>
      </c>
      <c r="B752" s="2" t="str">
        <f t="shared" si="18"/>
        <v>EMPTY_EAST_I_1_19</v>
      </c>
      <c r="C752" s="223" t="s">
        <v>32</v>
      </c>
      <c r="D752" s="223" t="s">
        <v>18</v>
      </c>
      <c r="E752" s="223" t="s">
        <v>10</v>
      </c>
      <c r="F752" s="224">
        <v>1</v>
      </c>
      <c r="G752" s="2">
        <v>19</v>
      </c>
      <c r="H752" s="195">
        <f>VLOOKUP(B752,'19'!$D$6:$K$119,8,0)</f>
        <v>20</v>
      </c>
    </row>
    <row r="753" spans="1:8" ht="15.75" hidden="1" thickTop="1" x14ac:dyDescent="0.25">
      <c r="A753" s="2">
        <v>43</v>
      </c>
      <c r="B753" s="2" t="str">
        <f t="shared" si="18"/>
        <v>EMPTY_EAST_G_2_19</v>
      </c>
      <c r="C753" s="223" t="s">
        <v>32</v>
      </c>
      <c r="D753" s="223" t="s">
        <v>18</v>
      </c>
      <c r="E753" s="223" t="s">
        <v>8</v>
      </c>
      <c r="F753" s="224">
        <v>2</v>
      </c>
      <c r="G753" s="2">
        <v>19</v>
      </c>
      <c r="H753" s="195">
        <f>VLOOKUP(B753,'19'!$D$6:$K$119,8,0)</f>
        <v>22</v>
      </c>
    </row>
    <row r="754" spans="1:8" ht="15.75" hidden="1" thickTop="1" x14ac:dyDescent="0.25">
      <c r="A754" s="2">
        <v>43</v>
      </c>
      <c r="B754" s="2" t="str">
        <f t="shared" si="18"/>
        <v>EMPTY_EAST_B_1_19</v>
      </c>
      <c r="C754" s="223" t="s">
        <v>32</v>
      </c>
      <c r="D754" s="223" t="s">
        <v>18</v>
      </c>
      <c r="E754" s="223" t="s">
        <v>3</v>
      </c>
      <c r="F754" s="224">
        <v>1</v>
      </c>
      <c r="G754" s="2">
        <v>19</v>
      </c>
      <c r="H754" s="195">
        <f>VLOOKUP(B754,'19'!$D$6:$K$119,8,0)</f>
        <v>25</v>
      </c>
    </row>
    <row r="755" spans="1:8" ht="15.75" hidden="1" thickTop="1" x14ac:dyDescent="0.25">
      <c r="A755" s="2">
        <v>43</v>
      </c>
      <c r="B755" s="2" t="str">
        <f t="shared" si="18"/>
        <v>EMPTY_EAST_E_2_19</v>
      </c>
      <c r="C755" s="223" t="s">
        <v>32</v>
      </c>
      <c r="D755" s="223" t="s">
        <v>18</v>
      </c>
      <c r="E755" s="223" t="s">
        <v>6</v>
      </c>
      <c r="F755" s="224">
        <v>2</v>
      </c>
      <c r="G755" s="2">
        <v>19</v>
      </c>
      <c r="H755" s="195">
        <f>VLOOKUP(B755,'19'!$D$6:$K$119,8,0)</f>
        <v>27</v>
      </c>
    </row>
    <row r="756" spans="1:8" ht="15.75" hidden="1" thickTop="1" x14ac:dyDescent="0.25">
      <c r="A756" s="2">
        <v>43</v>
      </c>
      <c r="B756" s="2" t="str">
        <f t="shared" si="18"/>
        <v>EMPTY_EAST_D_1_19</v>
      </c>
      <c r="C756" s="223" t="s">
        <v>32</v>
      </c>
      <c r="D756" s="223" t="s">
        <v>18</v>
      </c>
      <c r="E756" s="223" t="s">
        <v>47</v>
      </c>
      <c r="F756" s="224">
        <v>1</v>
      </c>
      <c r="G756" s="2">
        <v>19</v>
      </c>
      <c r="H756" s="195">
        <f>VLOOKUP(B756,'19'!$D$6:$K$119,8,0)</f>
        <v>29</v>
      </c>
    </row>
    <row r="757" spans="1:8" ht="15.75" hidden="1" thickTop="1" x14ac:dyDescent="0.25">
      <c r="A757" s="2">
        <v>43</v>
      </c>
      <c r="B757" s="2" t="str">
        <f t="shared" si="18"/>
        <v>EMPTY_EAST_K_2_19</v>
      </c>
      <c r="C757" s="223" t="s">
        <v>32</v>
      </c>
      <c r="D757" s="223" t="s">
        <v>18</v>
      </c>
      <c r="E757" s="223" t="s">
        <v>12</v>
      </c>
      <c r="F757" s="224">
        <v>2</v>
      </c>
      <c r="G757" s="2">
        <v>19</v>
      </c>
      <c r="H757" s="195">
        <f>VLOOKUP(B757,'19'!$D$6:$K$119,8,0)</f>
        <v>31</v>
      </c>
    </row>
    <row r="758" spans="1:8" ht="15.75" hidden="1" thickTop="1" x14ac:dyDescent="0.25">
      <c r="A758" s="2">
        <v>43</v>
      </c>
      <c r="B758" s="2" t="str">
        <f t="shared" si="18"/>
        <v>EMPTY_WEST_H_1_19</v>
      </c>
      <c r="C758" s="223" t="s">
        <v>32</v>
      </c>
      <c r="D758" s="223" t="s">
        <v>19</v>
      </c>
      <c r="E758" s="223" t="s">
        <v>9</v>
      </c>
      <c r="F758" s="224">
        <v>1</v>
      </c>
      <c r="G758" s="2">
        <v>19</v>
      </c>
      <c r="H758" s="195">
        <f>VLOOKUP(B758,'19'!$D$6:$K$119,8,0)</f>
        <v>15</v>
      </c>
    </row>
    <row r="759" spans="1:8" ht="15.75" hidden="1" thickTop="1" x14ac:dyDescent="0.25">
      <c r="A759" s="2">
        <v>43</v>
      </c>
      <c r="B759" s="2" t="str">
        <f t="shared" si="18"/>
        <v>EMPTY_WEST_P_2_19</v>
      </c>
      <c r="C759" s="223" t="s">
        <v>32</v>
      </c>
      <c r="D759" s="223" t="s">
        <v>19</v>
      </c>
      <c r="E759" s="223" t="s">
        <v>41</v>
      </c>
      <c r="F759" s="224">
        <v>2</v>
      </c>
      <c r="G759" s="2">
        <v>19</v>
      </c>
      <c r="H759" s="195">
        <f>VLOOKUP(B759,'19'!$D$6:$K$119,8,0)</f>
        <v>17</v>
      </c>
    </row>
    <row r="760" spans="1:8" ht="15.75" hidden="1" thickTop="1" x14ac:dyDescent="0.25">
      <c r="A760" s="2">
        <v>43</v>
      </c>
      <c r="B760" s="2" t="str">
        <f t="shared" si="18"/>
        <v>EMPTY_WEST_O_1_19</v>
      </c>
      <c r="C760" s="223" t="s">
        <v>32</v>
      </c>
      <c r="D760" s="223" t="s">
        <v>19</v>
      </c>
      <c r="E760" s="223" t="s">
        <v>40</v>
      </c>
      <c r="F760" s="224">
        <v>1</v>
      </c>
      <c r="G760" s="2">
        <v>19</v>
      </c>
      <c r="H760" s="195">
        <f>VLOOKUP(B760,'19'!$D$6:$K$119,8,0)</f>
        <v>19</v>
      </c>
    </row>
    <row r="761" spans="1:8" ht="15.75" hidden="1" thickTop="1" x14ac:dyDescent="0.25">
      <c r="A761" s="2">
        <v>43</v>
      </c>
      <c r="B761" s="2" t="str">
        <f t="shared" si="18"/>
        <v>EMPTY_WEST_L_2_19</v>
      </c>
      <c r="C761" s="223" t="s">
        <v>32</v>
      </c>
      <c r="D761" s="223" t="s">
        <v>19</v>
      </c>
      <c r="E761" s="223" t="s">
        <v>13</v>
      </c>
      <c r="F761" s="224">
        <v>2</v>
      </c>
      <c r="G761" s="2">
        <v>19</v>
      </c>
      <c r="H761" s="195">
        <f>VLOOKUP(B761,'19'!$D$6:$K$119,8,0)</f>
        <v>21</v>
      </c>
    </row>
    <row r="762" spans="1:8" ht="15.75" hidden="1" thickTop="1" x14ac:dyDescent="0.25">
      <c r="A762" s="2">
        <v>43</v>
      </c>
      <c r="B762" s="2" t="str">
        <f t="shared" si="18"/>
        <v>EMPTY_WEST_N_1_19</v>
      </c>
      <c r="C762" s="223" t="s">
        <v>32</v>
      </c>
      <c r="D762" s="223" t="s">
        <v>19</v>
      </c>
      <c r="E762" s="223" t="s">
        <v>15</v>
      </c>
      <c r="F762" s="224">
        <v>1</v>
      </c>
      <c r="G762" s="2">
        <v>19</v>
      </c>
      <c r="H762" s="195">
        <f>VLOOKUP(B762,'19'!$D$6:$K$119,8,0)</f>
        <v>24</v>
      </c>
    </row>
    <row r="763" spans="1:8" ht="15.75" hidden="1" thickTop="1" x14ac:dyDescent="0.25">
      <c r="A763" s="2">
        <v>43</v>
      </c>
      <c r="B763" s="2" t="str">
        <f t="shared" si="18"/>
        <v>EMPTY_WEST_J_2_19</v>
      </c>
      <c r="C763" s="223" t="s">
        <v>32</v>
      </c>
      <c r="D763" s="223" t="s">
        <v>19</v>
      </c>
      <c r="E763" s="223" t="s">
        <v>11</v>
      </c>
      <c r="F763" s="224">
        <v>2</v>
      </c>
      <c r="G763" s="2">
        <v>19</v>
      </c>
      <c r="H763" s="195">
        <f>VLOOKUP(B763,'19'!$D$6:$K$119,8,0)</f>
        <v>26</v>
      </c>
    </row>
    <row r="764" spans="1:8" ht="15.75" hidden="1" thickTop="1" x14ac:dyDescent="0.25">
      <c r="A764" s="2">
        <v>43</v>
      </c>
      <c r="B764" s="2" t="str">
        <f t="shared" si="18"/>
        <v>EMPTY_WEST_Q_1_19</v>
      </c>
      <c r="C764" s="223" t="s">
        <v>32</v>
      </c>
      <c r="D764" s="223" t="s">
        <v>19</v>
      </c>
      <c r="E764" s="223" t="s">
        <v>59</v>
      </c>
      <c r="F764" s="224">
        <v>1</v>
      </c>
      <c r="G764" s="195">
        <v>19</v>
      </c>
      <c r="H764" s="195">
        <f>VLOOKUP(B764,'19'!$D$6:$K$119,8,0)</f>
        <v>28</v>
      </c>
    </row>
    <row r="765" spans="1:8" ht="15.75" hidden="1" thickTop="1" x14ac:dyDescent="0.25">
      <c r="A765" s="2">
        <v>43</v>
      </c>
      <c r="B765" s="2" t="str">
        <f t="shared" si="18"/>
        <v>EMPTY_WEST_F_2_19</v>
      </c>
      <c r="C765" s="223" t="s">
        <v>32</v>
      </c>
      <c r="D765" s="223" t="s">
        <v>19</v>
      </c>
      <c r="E765" s="223" t="s">
        <v>7</v>
      </c>
      <c r="F765" s="224">
        <v>2</v>
      </c>
      <c r="G765" s="2">
        <v>19</v>
      </c>
      <c r="H765" s="195">
        <f>VLOOKUP(B765,'19'!$D$6:$K$119,8,0)</f>
        <v>30</v>
      </c>
    </row>
    <row r="766" spans="1:8" ht="15.75" hidden="1" thickTop="1" x14ac:dyDescent="0.25">
      <c r="A766" s="2">
        <v>43</v>
      </c>
      <c r="B766" s="2" t="str">
        <f t="shared" si="18"/>
        <v>EMPTY_WEST_M_1_19</v>
      </c>
      <c r="C766" s="223" t="s">
        <v>32</v>
      </c>
      <c r="D766" s="223" t="s">
        <v>19</v>
      </c>
      <c r="E766" s="223" t="s">
        <v>14</v>
      </c>
      <c r="F766" s="224">
        <v>1</v>
      </c>
      <c r="G766" s="2">
        <v>19</v>
      </c>
      <c r="H766" s="195">
        <f>VLOOKUP(B766,'19'!$D$6:$K$119,8,0)</f>
        <v>32</v>
      </c>
    </row>
    <row r="767" spans="1:8" ht="15.75" hidden="1" thickTop="1" x14ac:dyDescent="0.25">
      <c r="A767" s="2">
        <v>43</v>
      </c>
      <c r="B767" s="2" t="str">
        <f t="shared" si="18"/>
        <v>SORTING_EAST_UNP_1_20</v>
      </c>
      <c r="C767" s="223" t="s">
        <v>45</v>
      </c>
      <c r="D767" s="223" t="s">
        <v>18</v>
      </c>
      <c r="E767" s="223" t="s">
        <v>42</v>
      </c>
      <c r="F767" s="224">
        <v>1</v>
      </c>
      <c r="G767" s="2">
        <v>20</v>
      </c>
      <c r="H767" s="195">
        <f>VLOOKUP(B767,'20'!$D$7:$K$120,8,0)</f>
        <v>0</v>
      </c>
    </row>
    <row r="768" spans="1:8" ht="15.75" hidden="1" thickTop="1" x14ac:dyDescent="0.25">
      <c r="A768" s="2">
        <v>43</v>
      </c>
      <c r="B768" s="2" t="str">
        <f t="shared" si="18"/>
        <v>SORTING_EAST_A_2_20</v>
      </c>
      <c r="C768" s="223" t="s">
        <v>45</v>
      </c>
      <c r="D768" s="223" t="s">
        <v>18</v>
      </c>
      <c r="E768" s="352" t="s">
        <v>2</v>
      </c>
      <c r="F768" s="224">
        <v>2</v>
      </c>
      <c r="G768" s="2">
        <v>20</v>
      </c>
      <c r="H768" s="195">
        <f>VLOOKUP(B768,'20'!$D$7:$K$120,8,0)</f>
        <v>2</v>
      </c>
    </row>
    <row r="769" spans="1:8" ht="15.75" hidden="1" thickTop="1" x14ac:dyDescent="0.25">
      <c r="A769" s="2">
        <v>43</v>
      </c>
      <c r="B769" s="2" t="str">
        <f t="shared" si="18"/>
        <v>SORTING_EAST_C/U_1_20</v>
      </c>
      <c r="C769" s="223" t="s">
        <v>45</v>
      </c>
      <c r="D769" s="223" t="s">
        <v>18</v>
      </c>
      <c r="E769" s="352" t="s">
        <v>67</v>
      </c>
      <c r="F769" s="224">
        <v>1</v>
      </c>
      <c r="G769" s="2">
        <v>20</v>
      </c>
      <c r="H769" s="195">
        <f>VLOOKUP(B769,'20'!$D$7:$K$120,8,0)</f>
        <v>3</v>
      </c>
    </row>
    <row r="770" spans="1:8" ht="15.75" hidden="1" thickTop="1" x14ac:dyDescent="0.25">
      <c r="A770" s="2">
        <v>43</v>
      </c>
      <c r="B770" s="2" t="str">
        <f t="shared" si="18"/>
        <v>SORTING_EAST_C_2_20</v>
      </c>
      <c r="C770" s="223" t="s">
        <v>45</v>
      </c>
      <c r="D770" s="223" t="s">
        <v>18</v>
      </c>
      <c r="E770" s="223" t="s">
        <v>4</v>
      </c>
      <c r="F770" s="224">
        <v>2</v>
      </c>
      <c r="G770" s="2">
        <v>20</v>
      </c>
      <c r="H770" s="195">
        <f>VLOOKUP(B770,'20'!$D$7:$K$120,8,0)</f>
        <v>4</v>
      </c>
    </row>
    <row r="771" spans="1:8" ht="15.75" hidden="1" thickTop="1" x14ac:dyDescent="0.25">
      <c r="A771" s="2">
        <v>43</v>
      </c>
      <c r="B771" s="2" t="str">
        <f t="shared" si="18"/>
        <v>SORTING_EAST_I_1_20</v>
      </c>
      <c r="C771" s="223" t="s">
        <v>45</v>
      </c>
      <c r="D771" s="223" t="s">
        <v>18</v>
      </c>
      <c r="E771" s="223" t="s">
        <v>10</v>
      </c>
      <c r="F771" s="224">
        <v>1</v>
      </c>
      <c r="G771" s="2">
        <v>20</v>
      </c>
      <c r="H771" s="195">
        <f>VLOOKUP(B771,'20'!$D$7:$K$120,8,0)</f>
        <v>6</v>
      </c>
    </row>
    <row r="772" spans="1:8" ht="15.75" hidden="1" thickTop="1" x14ac:dyDescent="0.25">
      <c r="A772" s="2">
        <v>43</v>
      </c>
      <c r="B772" s="2" t="str">
        <f t="shared" si="18"/>
        <v>SORTING_EAST_G_2_20</v>
      </c>
      <c r="C772" s="223" t="s">
        <v>45</v>
      </c>
      <c r="D772" s="223" t="s">
        <v>18</v>
      </c>
      <c r="E772" s="223" t="s">
        <v>8</v>
      </c>
      <c r="F772" s="224">
        <v>2</v>
      </c>
      <c r="G772" s="2">
        <v>20</v>
      </c>
      <c r="H772" s="195">
        <f>VLOOKUP(B772,'20'!$D$7:$K$120,8,0)</f>
        <v>9</v>
      </c>
    </row>
    <row r="773" spans="1:8" ht="15.75" hidden="1" thickTop="1" x14ac:dyDescent="0.25">
      <c r="A773" s="2">
        <v>43</v>
      </c>
      <c r="B773" s="2" t="str">
        <f t="shared" si="18"/>
        <v>SORTING_EAST_B_1_20</v>
      </c>
      <c r="C773" s="223" t="s">
        <v>45</v>
      </c>
      <c r="D773" s="223" t="s">
        <v>18</v>
      </c>
      <c r="E773" s="223" t="s">
        <v>3</v>
      </c>
      <c r="F773" s="224">
        <v>1</v>
      </c>
      <c r="G773" s="2">
        <v>20</v>
      </c>
      <c r="H773" s="195">
        <f>VLOOKUP(B773,'20'!$D$7:$K$120,8,0)</f>
        <v>12</v>
      </c>
    </row>
    <row r="774" spans="1:8" ht="15.75" hidden="1" thickTop="1" x14ac:dyDescent="0.25">
      <c r="A774" s="2">
        <v>43</v>
      </c>
      <c r="B774" s="2" t="str">
        <f t="shared" si="18"/>
        <v>SORTING_EAST_E_2_20</v>
      </c>
      <c r="C774" s="223" t="s">
        <v>45</v>
      </c>
      <c r="D774" s="223" t="s">
        <v>18</v>
      </c>
      <c r="E774" s="223" t="s">
        <v>6</v>
      </c>
      <c r="F774" s="224">
        <v>2</v>
      </c>
      <c r="G774" s="2">
        <v>20</v>
      </c>
      <c r="H774" s="195">
        <f>VLOOKUP(B774,'20'!$D$7:$K$120,8,0)</f>
        <v>14</v>
      </c>
    </row>
    <row r="775" spans="1:8" ht="15.75" hidden="1" thickTop="1" x14ac:dyDescent="0.25">
      <c r="A775" s="2">
        <v>43</v>
      </c>
      <c r="B775" s="2" t="str">
        <f t="shared" si="18"/>
        <v>SORTING_EAST_D_1_20</v>
      </c>
      <c r="C775" s="223" t="s">
        <v>45</v>
      </c>
      <c r="D775" s="223" t="s">
        <v>18</v>
      </c>
      <c r="E775" s="223" t="s">
        <v>47</v>
      </c>
      <c r="F775" s="224">
        <v>1</v>
      </c>
      <c r="G775" s="2">
        <v>20</v>
      </c>
      <c r="H775" s="195">
        <f>VLOOKUP(B775,'20'!$D$7:$K$120,8,0)</f>
        <v>16</v>
      </c>
    </row>
    <row r="776" spans="1:8" ht="15.75" hidden="1" thickTop="1" x14ac:dyDescent="0.25">
      <c r="A776" s="2">
        <v>43</v>
      </c>
      <c r="B776" s="2" t="str">
        <f t="shared" si="18"/>
        <v>SORTING_EAST_K_2_20</v>
      </c>
      <c r="C776" s="223" t="s">
        <v>45</v>
      </c>
      <c r="D776" s="223" t="s">
        <v>18</v>
      </c>
      <c r="E776" s="223" t="s">
        <v>12</v>
      </c>
      <c r="F776" s="224">
        <v>2</v>
      </c>
      <c r="G776" s="2">
        <v>20</v>
      </c>
      <c r="H776" s="195">
        <f>VLOOKUP(B776,'20'!$D$7:$K$120,8,0)</f>
        <v>18</v>
      </c>
    </row>
    <row r="777" spans="1:8" ht="15.75" hidden="1" thickTop="1" x14ac:dyDescent="0.25">
      <c r="A777" s="2">
        <v>43</v>
      </c>
      <c r="B777" s="2" t="str">
        <f t="shared" si="18"/>
        <v>SORTING_WEST_H_1_20</v>
      </c>
      <c r="C777" s="223" t="s">
        <v>45</v>
      </c>
      <c r="D777" s="223" t="s">
        <v>19</v>
      </c>
      <c r="E777" s="223" t="s">
        <v>9</v>
      </c>
      <c r="F777" s="224">
        <v>1</v>
      </c>
      <c r="G777" s="2">
        <v>20</v>
      </c>
      <c r="H777" s="195">
        <f>VLOOKUP(B777,'20'!$D$7:$K$120,8,0)</f>
        <v>0</v>
      </c>
    </row>
    <row r="778" spans="1:8" ht="15.75" hidden="1" thickTop="1" x14ac:dyDescent="0.25">
      <c r="A778" s="2">
        <v>43</v>
      </c>
      <c r="B778" s="2" t="str">
        <f t="shared" si="18"/>
        <v>SORTING_WEST_P_2_20</v>
      </c>
      <c r="C778" s="223" t="s">
        <v>45</v>
      </c>
      <c r="D778" s="223" t="s">
        <v>19</v>
      </c>
      <c r="E778" s="223" t="s">
        <v>41</v>
      </c>
      <c r="F778" s="224">
        <v>2</v>
      </c>
      <c r="G778" s="2">
        <v>20</v>
      </c>
      <c r="H778" s="195">
        <f>VLOOKUP(B778,'20'!$D$7:$K$120,8,0)</f>
        <v>2</v>
      </c>
    </row>
    <row r="779" spans="1:8" ht="15.75" hidden="1" thickTop="1" x14ac:dyDescent="0.25">
      <c r="A779" s="2">
        <v>43</v>
      </c>
      <c r="B779" s="2" t="str">
        <f t="shared" si="18"/>
        <v>SORTING_WEST_O_1_20</v>
      </c>
      <c r="C779" s="223" t="s">
        <v>45</v>
      </c>
      <c r="D779" s="223" t="s">
        <v>19</v>
      </c>
      <c r="E779" s="223" t="s">
        <v>40</v>
      </c>
      <c r="F779" s="224">
        <v>1</v>
      </c>
      <c r="G779" s="2">
        <v>20</v>
      </c>
      <c r="H779" s="195">
        <f>VLOOKUP(B779,'20'!$D$7:$K$120,8,0)</f>
        <v>4</v>
      </c>
    </row>
    <row r="780" spans="1:8" ht="15.75" hidden="1" thickTop="1" x14ac:dyDescent="0.25">
      <c r="A780" s="2">
        <v>43</v>
      </c>
      <c r="B780" s="2" t="str">
        <f t="shared" si="18"/>
        <v>SORTING_WEST_L_2_20</v>
      </c>
      <c r="C780" s="223" t="s">
        <v>45</v>
      </c>
      <c r="D780" s="223" t="s">
        <v>19</v>
      </c>
      <c r="E780" s="223" t="s">
        <v>13</v>
      </c>
      <c r="F780" s="224">
        <v>2</v>
      </c>
      <c r="G780" s="2">
        <v>20</v>
      </c>
      <c r="H780" s="195">
        <f>VLOOKUP(B780,'20'!$D$7:$K$120,8,0)</f>
        <v>6</v>
      </c>
    </row>
    <row r="781" spans="1:8" ht="15.75" hidden="1" thickTop="1" x14ac:dyDescent="0.25">
      <c r="A781" s="2">
        <v>43</v>
      </c>
      <c r="B781" s="2" t="str">
        <f t="shared" si="18"/>
        <v>SORTING_WEST_N_1_20</v>
      </c>
      <c r="C781" s="223" t="s">
        <v>45</v>
      </c>
      <c r="D781" s="223" t="s">
        <v>19</v>
      </c>
      <c r="E781" s="223" t="s">
        <v>15</v>
      </c>
      <c r="F781" s="224">
        <v>1</v>
      </c>
      <c r="G781" s="2">
        <v>20</v>
      </c>
      <c r="H781" s="195">
        <f>VLOOKUP(B781,'20'!$D$7:$K$120,8,0)</f>
        <v>8</v>
      </c>
    </row>
    <row r="782" spans="1:8" ht="15.75" hidden="1" thickTop="1" x14ac:dyDescent="0.25">
      <c r="A782" s="2">
        <v>43</v>
      </c>
      <c r="B782" s="2" t="str">
        <f t="shared" si="18"/>
        <v>SORTING_WEST_J_2_20</v>
      </c>
      <c r="C782" s="223" t="s">
        <v>45</v>
      </c>
      <c r="D782" s="223" t="s">
        <v>19</v>
      </c>
      <c r="E782" s="223" t="s">
        <v>11</v>
      </c>
      <c r="F782" s="224">
        <v>2</v>
      </c>
      <c r="G782" s="2">
        <v>20</v>
      </c>
      <c r="H782" s="195">
        <f>VLOOKUP(B782,'20'!$D$7:$K$120,8,0)</f>
        <v>10</v>
      </c>
    </row>
    <row r="783" spans="1:8" ht="15.75" hidden="1" thickTop="1" x14ac:dyDescent="0.25">
      <c r="A783" s="2">
        <v>43</v>
      </c>
      <c r="B783" s="2" t="str">
        <f t="shared" si="18"/>
        <v>SORTING_WEST_Q_1_20</v>
      </c>
      <c r="C783" s="223" t="s">
        <v>45</v>
      </c>
      <c r="D783" s="223" t="s">
        <v>19</v>
      </c>
      <c r="E783" s="223" t="s">
        <v>59</v>
      </c>
      <c r="F783" s="224">
        <v>1</v>
      </c>
      <c r="G783" s="195">
        <v>20</v>
      </c>
      <c r="H783" s="195">
        <f>VLOOKUP(B783,'20'!$D$7:$K$120,8,0)</f>
        <v>12</v>
      </c>
    </row>
    <row r="784" spans="1:8" ht="15.75" hidden="1" thickTop="1" x14ac:dyDescent="0.25">
      <c r="A784" s="2">
        <v>43</v>
      </c>
      <c r="B784" s="2" t="str">
        <f t="shared" si="18"/>
        <v>SORTING_WEST_F_2_20</v>
      </c>
      <c r="C784" s="223" t="s">
        <v>45</v>
      </c>
      <c r="D784" s="223" t="s">
        <v>19</v>
      </c>
      <c r="E784" s="223" t="s">
        <v>7</v>
      </c>
      <c r="F784" s="224">
        <v>2</v>
      </c>
      <c r="G784" s="2">
        <v>20</v>
      </c>
      <c r="H784" s="195">
        <f>VLOOKUP(B784,'20'!$D$7:$K$120,8,0)</f>
        <v>15</v>
      </c>
    </row>
    <row r="785" spans="1:8" ht="15.75" hidden="1" thickTop="1" x14ac:dyDescent="0.25">
      <c r="A785" s="2">
        <v>43</v>
      </c>
      <c r="B785" s="2" t="str">
        <f t="shared" si="18"/>
        <v>SORTING_WEST_M_1_20</v>
      </c>
      <c r="C785" s="223" t="s">
        <v>45</v>
      </c>
      <c r="D785" s="223" t="s">
        <v>19</v>
      </c>
      <c r="E785" s="223" t="s">
        <v>14</v>
      </c>
      <c r="F785" s="224">
        <v>1</v>
      </c>
      <c r="G785" s="2">
        <v>20</v>
      </c>
      <c r="H785" s="195">
        <f>VLOOKUP(B785,'20'!$D$7:$K$120,8,0)</f>
        <v>17</v>
      </c>
    </row>
    <row r="786" spans="1:8" ht="15.75" hidden="1" thickTop="1" x14ac:dyDescent="0.25">
      <c r="A786" s="2">
        <v>43</v>
      </c>
      <c r="B786" s="2" t="str">
        <f t="shared" si="18"/>
        <v>TRANSFER_EAST_UNP_1_20</v>
      </c>
      <c r="C786" s="223" t="s">
        <v>21</v>
      </c>
      <c r="D786" s="223" t="s">
        <v>18</v>
      </c>
      <c r="E786" s="223" t="s">
        <v>42</v>
      </c>
      <c r="F786" s="224">
        <v>1</v>
      </c>
      <c r="G786" s="2">
        <v>20</v>
      </c>
      <c r="H786" s="195">
        <f>VLOOKUP(B786,'20'!$D$7:$K$120,8,0)</f>
        <v>2</v>
      </c>
    </row>
    <row r="787" spans="1:8" ht="15.75" hidden="1" thickTop="1" x14ac:dyDescent="0.25">
      <c r="A787" s="2">
        <v>43</v>
      </c>
      <c r="B787" s="2" t="str">
        <f t="shared" si="18"/>
        <v>TRANSFER_EAST_A_2_20</v>
      </c>
      <c r="C787" s="223" t="s">
        <v>21</v>
      </c>
      <c r="D787" s="223" t="s">
        <v>18</v>
      </c>
      <c r="E787" s="352" t="s">
        <v>2</v>
      </c>
      <c r="F787" s="224">
        <v>2</v>
      </c>
      <c r="G787" s="2">
        <v>20</v>
      </c>
      <c r="H787" s="195">
        <f>VLOOKUP(B787,'20'!$D$7:$K$120,8,0)</f>
        <v>3</v>
      </c>
    </row>
    <row r="788" spans="1:8" ht="15.75" hidden="1" thickTop="1" x14ac:dyDescent="0.25">
      <c r="A788" s="2">
        <v>43</v>
      </c>
      <c r="B788" s="2" t="str">
        <f t="shared" si="18"/>
        <v>TRANSFER_EAST_C/U_1_20</v>
      </c>
      <c r="C788" s="223" t="s">
        <v>21</v>
      </c>
      <c r="D788" s="223" t="s">
        <v>18</v>
      </c>
      <c r="E788" s="352" t="s">
        <v>67</v>
      </c>
      <c r="F788" s="224">
        <v>1</v>
      </c>
      <c r="G788" s="2">
        <v>20</v>
      </c>
      <c r="H788" s="195">
        <f>VLOOKUP(B788,'20'!$D$7:$K$120,8,0)</f>
        <v>4</v>
      </c>
    </row>
    <row r="789" spans="1:8" ht="15.75" hidden="1" thickTop="1" x14ac:dyDescent="0.25">
      <c r="A789" s="2">
        <v>43</v>
      </c>
      <c r="B789" s="2" t="str">
        <f t="shared" si="18"/>
        <v>TRANSFER_EAST_C_2_20</v>
      </c>
      <c r="C789" s="223" t="s">
        <v>21</v>
      </c>
      <c r="D789" s="223" t="s">
        <v>18</v>
      </c>
      <c r="E789" s="223" t="s">
        <v>4</v>
      </c>
      <c r="F789" s="224">
        <v>2</v>
      </c>
      <c r="G789" s="2">
        <v>20</v>
      </c>
      <c r="H789" s="195">
        <f>VLOOKUP(B789,'20'!$D$7:$K$120,8,0)</f>
        <v>6</v>
      </c>
    </row>
    <row r="790" spans="1:8" ht="15.75" hidden="1" thickTop="1" x14ac:dyDescent="0.25">
      <c r="A790" s="2">
        <v>43</v>
      </c>
      <c r="B790" s="2" t="str">
        <f t="shared" si="18"/>
        <v>TRANSFER_EAST_I_1_20</v>
      </c>
      <c r="C790" s="223" t="s">
        <v>21</v>
      </c>
      <c r="D790" s="223" t="s">
        <v>18</v>
      </c>
      <c r="E790" s="223" t="s">
        <v>10</v>
      </c>
      <c r="F790" s="224">
        <v>1</v>
      </c>
      <c r="G790" s="2">
        <v>20</v>
      </c>
      <c r="H790" s="195">
        <f>VLOOKUP(B790,'20'!$D$7:$K$120,8,0)</f>
        <v>9</v>
      </c>
    </row>
    <row r="791" spans="1:8" ht="15.75" hidden="1" thickTop="1" x14ac:dyDescent="0.25">
      <c r="A791" s="2">
        <v>43</v>
      </c>
      <c r="B791" s="2" t="str">
        <f t="shared" si="18"/>
        <v>TRANSFER_EAST_G_2_20</v>
      </c>
      <c r="C791" s="223" t="s">
        <v>21</v>
      </c>
      <c r="D791" s="223" t="s">
        <v>18</v>
      </c>
      <c r="E791" s="223" t="s">
        <v>8</v>
      </c>
      <c r="F791" s="224">
        <v>2</v>
      </c>
      <c r="G791" s="2">
        <v>20</v>
      </c>
      <c r="H791" s="195">
        <f>VLOOKUP(B791,'20'!$D$7:$K$120,8,0)</f>
        <v>12</v>
      </c>
    </row>
    <row r="792" spans="1:8" ht="15.75" hidden="1" thickTop="1" x14ac:dyDescent="0.25">
      <c r="A792" s="2">
        <v>43</v>
      </c>
      <c r="B792" s="2" t="str">
        <f t="shared" si="18"/>
        <v>TRANSFER_EAST_B_1_20</v>
      </c>
      <c r="C792" s="223" t="s">
        <v>21</v>
      </c>
      <c r="D792" s="223" t="s">
        <v>18</v>
      </c>
      <c r="E792" s="223" t="s">
        <v>3</v>
      </c>
      <c r="F792" s="224">
        <v>1</v>
      </c>
      <c r="G792" s="2">
        <v>20</v>
      </c>
      <c r="H792" s="195">
        <f>VLOOKUP(B792,'20'!$D$7:$K$120,8,0)</f>
        <v>14</v>
      </c>
    </row>
    <row r="793" spans="1:8" ht="15.75" hidden="1" thickTop="1" x14ac:dyDescent="0.25">
      <c r="A793" s="2">
        <v>43</v>
      </c>
      <c r="B793" s="2" t="str">
        <f t="shared" si="18"/>
        <v>TRANSFER_EAST_E_2_20</v>
      </c>
      <c r="C793" s="223" t="s">
        <v>21</v>
      </c>
      <c r="D793" s="223" t="s">
        <v>18</v>
      </c>
      <c r="E793" s="223" t="s">
        <v>6</v>
      </c>
      <c r="F793" s="224">
        <v>2</v>
      </c>
      <c r="G793" s="2">
        <v>20</v>
      </c>
      <c r="H793" s="195">
        <f>VLOOKUP(B793,'20'!$D$7:$K$120,8,0)</f>
        <v>16</v>
      </c>
    </row>
    <row r="794" spans="1:8" ht="15.75" hidden="1" thickTop="1" x14ac:dyDescent="0.25">
      <c r="A794" s="2">
        <v>43</v>
      </c>
      <c r="B794" s="2" t="str">
        <f t="shared" si="18"/>
        <v>TRANSFER_EAST_D_1_20</v>
      </c>
      <c r="C794" s="223" t="s">
        <v>21</v>
      </c>
      <c r="D794" s="223" t="s">
        <v>18</v>
      </c>
      <c r="E794" s="223" t="s">
        <v>47</v>
      </c>
      <c r="F794" s="224">
        <v>1</v>
      </c>
      <c r="G794" s="2">
        <v>20</v>
      </c>
      <c r="H794" s="195">
        <f>VLOOKUP(B794,'20'!$D$7:$K$120,8,0)</f>
        <v>18</v>
      </c>
    </row>
    <row r="795" spans="1:8" ht="15.75" hidden="1" thickTop="1" x14ac:dyDescent="0.25">
      <c r="A795" s="2">
        <v>43</v>
      </c>
      <c r="B795" s="2" t="str">
        <f t="shared" si="18"/>
        <v>TRANSFER_EAST_K_2_20</v>
      </c>
      <c r="C795" s="223" t="s">
        <v>21</v>
      </c>
      <c r="D795" s="223" t="s">
        <v>18</v>
      </c>
      <c r="E795" s="223" t="s">
        <v>12</v>
      </c>
      <c r="F795" s="224">
        <v>2</v>
      </c>
      <c r="G795" s="2">
        <v>20</v>
      </c>
      <c r="H795" s="195">
        <f>VLOOKUP(B795,'20'!$D$7:$K$120,8,0)</f>
        <v>20</v>
      </c>
    </row>
    <row r="796" spans="1:8" ht="15.75" hidden="1" thickTop="1" x14ac:dyDescent="0.25">
      <c r="A796" s="2">
        <v>43</v>
      </c>
      <c r="B796" s="2" t="str">
        <f t="shared" si="18"/>
        <v>TRANSFER_WEST_H_1_20</v>
      </c>
      <c r="C796" s="223" t="s">
        <v>21</v>
      </c>
      <c r="D796" s="223" t="s">
        <v>19</v>
      </c>
      <c r="E796" s="223" t="s">
        <v>9</v>
      </c>
      <c r="F796" s="224">
        <v>1</v>
      </c>
      <c r="G796" s="2">
        <v>20</v>
      </c>
      <c r="H796" s="195">
        <f>VLOOKUP(B796,'20'!$D$7:$K$120,8,0)</f>
        <v>2</v>
      </c>
    </row>
    <row r="797" spans="1:8" ht="15.75" hidden="1" thickTop="1" x14ac:dyDescent="0.25">
      <c r="A797" s="2">
        <v>43</v>
      </c>
      <c r="B797" s="2" t="str">
        <f t="shared" si="18"/>
        <v>TRANSFER_WEST_P_2_20</v>
      </c>
      <c r="C797" s="223" t="s">
        <v>21</v>
      </c>
      <c r="D797" s="223" t="s">
        <v>19</v>
      </c>
      <c r="E797" s="223" t="s">
        <v>41</v>
      </c>
      <c r="F797" s="224">
        <v>2</v>
      </c>
      <c r="G797" s="2">
        <v>20</v>
      </c>
      <c r="H797" s="195">
        <f>VLOOKUP(B797,'20'!$D$7:$K$120,8,0)</f>
        <v>4</v>
      </c>
    </row>
    <row r="798" spans="1:8" ht="15.75" hidden="1" thickTop="1" x14ac:dyDescent="0.25">
      <c r="A798" s="2">
        <v>43</v>
      </c>
      <c r="B798" s="2" t="str">
        <f t="shared" si="18"/>
        <v>TRANSFER_WEST_O_1_20</v>
      </c>
      <c r="C798" s="223" t="s">
        <v>21</v>
      </c>
      <c r="D798" s="223" t="s">
        <v>19</v>
      </c>
      <c r="E798" s="223" t="s">
        <v>40</v>
      </c>
      <c r="F798" s="224">
        <v>1</v>
      </c>
      <c r="G798" s="2">
        <v>20</v>
      </c>
      <c r="H798" s="195">
        <f>VLOOKUP(B798,'20'!$D$7:$K$120,8,0)</f>
        <v>6</v>
      </c>
    </row>
    <row r="799" spans="1:8" ht="15.75" hidden="1" thickTop="1" x14ac:dyDescent="0.25">
      <c r="A799" s="2">
        <v>43</v>
      </c>
      <c r="B799" s="2" t="str">
        <f t="shared" si="18"/>
        <v>TRANSFER_WEST_L_2_20</v>
      </c>
      <c r="C799" s="223" t="s">
        <v>21</v>
      </c>
      <c r="D799" s="223" t="s">
        <v>19</v>
      </c>
      <c r="E799" s="223" t="s">
        <v>13</v>
      </c>
      <c r="F799" s="224">
        <v>2</v>
      </c>
      <c r="G799" s="2">
        <v>20</v>
      </c>
      <c r="H799" s="195">
        <f>VLOOKUP(B799,'20'!$D$7:$K$120,8,0)</f>
        <v>8</v>
      </c>
    </row>
    <row r="800" spans="1:8" ht="15.75" hidden="1" thickTop="1" x14ac:dyDescent="0.25">
      <c r="A800" s="2">
        <v>43</v>
      </c>
      <c r="B800" s="2" t="str">
        <f t="shared" si="18"/>
        <v>TRANSFER_WEST_N_1_20</v>
      </c>
      <c r="C800" s="223" t="s">
        <v>21</v>
      </c>
      <c r="D800" s="223" t="s">
        <v>19</v>
      </c>
      <c r="E800" s="223" t="s">
        <v>15</v>
      </c>
      <c r="F800" s="224">
        <v>1</v>
      </c>
      <c r="G800" s="2">
        <v>20</v>
      </c>
      <c r="H800" s="195">
        <f>VLOOKUP(B800,'20'!$D$7:$K$120,8,0)</f>
        <v>10</v>
      </c>
    </row>
    <row r="801" spans="1:8" ht="15.75" hidden="1" thickTop="1" x14ac:dyDescent="0.25">
      <c r="A801" s="2">
        <v>43</v>
      </c>
      <c r="B801" s="2" t="str">
        <f t="shared" si="18"/>
        <v>TRANSFER_WEST_J_2_20</v>
      </c>
      <c r="C801" s="223" t="s">
        <v>21</v>
      </c>
      <c r="D801" s="223" t="s">
        <v>19</v>
      </c>
      <c r="E801" s="223" t="s">
        <v>11</v>
      </c>
      <c r="F801" s="224">
        <v>2</v>
      </c>
      <c r="G801" s="2">
        <v>20</v>
      </c>
      <c r="H801" s="195">
        <f>VLOOKUP(B801,'20'!$D$7:$K$120,8,0)</f>
        <v>12</v>
      </c>
    </row>
    <row r="802" spans="1:8" ht="15.75" hidden="1" thickTop="1" x14ac:dyDescent="0.25">
      <c r="A802" s="2">
        <v>43</v>
      </c>
      <c r="B802" s="2" t="str">
        <f t="shared" si="18"/>
        <v>TRANSFER_WEST_Q_1_20</v>
      </c>
      <c r="C802" s="223" t="s">
        <v>21</v>
      </c>
      <c r="D802" s="223" t="s">
        <v>19</v>
      </c>
      <c r="E802" s="223" t="s">
        <v>59</v>
      </c>
      <c r="F802" s="224">
        <v>1</v>
      </c>
      <c r="G802" s="195">
        <v>20</v>
      </c>
      <c r="H802" s="195">
        <f>VLOOKUP(B802,'20'!$D$7:$K$120,8,0)</f>
        <v>15</v>
      </c>
    </row>
    <row r="803" spans="1:8" ht="15.75" hidden="1" thickTop="1" x14ac:dyDescent="0.25">
      <c r="A803" s="2">
        <v>43</v>
      </c>
      <c r="B803" s="2" t="str">
        <f t="shared" ref="B803:B866" si="19">C803&amp;"_"&amp;D803&amp;"_"&amp;E803&amp;"_"&amp;F803&amp;"_"&amp;G803</f>
        <v>TRANSFER_WEST_F_2_20</v>
      </c>
      <c r="C803" s="223" t="s">
        <v>21</v>
      </c>
      <c r="D803" s="223" t="s">
        <v>19</v>
      </c>
      <c r="E803" s="223" t="s">
        <v>7</v>
      </c>
      <c r="F803" s="224">
        <v>2</v>
      </c>
      <c r="G803" s="2">
        <v>20</v>
      </c>
      <c r="H803" s="195">
        <f>VLOOKUP(B803,'20'!$D$7:$K$120,8,0)</f>
        <v>17</v>
      </c>
    </row>
    <row r="804" spans="1:8" ht="15.75" hidden="1" thickTop="1" x14ac:dyDescent="0.25">
      <c r="A804" s="2">
        <v>43</v>
      </c>
      <c r="B804" s="2" t="str">
        <f t="shared" si="19"/>
        <v>TRANSFER_WEST_M_1_20</v>
      </c>
      <c r="C804" s="223" t="s">
        <v>21</v>
      </c>
      <c r="D804" s="223" t="s">
        <v>19</v>
      </c>
      <c r="E804" s="223" t="s">
        <v>14</v>
      </c>
      <c r="F804" s="224">
        <v>1</v>
      </c>
      <c r="G804" s="2">
        <v>20</v>
      </c>
      <c r="H804" s="195">
        <f>VLOOKUP(B804,'20'!$D$7:$K$120,8,0)</f>
        <v>20</v>
      </c>
    </row>
    <row r="805" spans="1:8" ht="15.75" hidden="1" thickTop="1" x14ac:dyDescent="0.25">
      <c r="A805" s="2">
        <v>43</v>
      </c>
      <c r="B805" s="2" t="str">
        <f t="shared" si="19"/>
        <v>PREPARE_EAST_UNP_1_20</v>
      </c>
      <c r="C805" s="223" t="s">
        <v>46</v>
      </c>
      <c r="D805" s="223" t="s">
        <v>18</v>
      </c>
      <c r="E805" s="223" t="s">
        <v>42</v>
      </c>
      <c r="F805" s="224">
        <v>1</v>
      </c>
      <c r="G805" s="2">
        <v>20</v>
      </c>
      <c r="H805" s="195">
        <f>VLOOKUP(B805,'20'!$D$7:$K$120,8,0)</f>
        <v>18</v>
      </c>
    </row>
    <row r="806" spans="1:8" ht="15.75" hidden="1" thickTop="1" x14ac:dyDescent="0.25">
      <c r="A806" s="2">
        <v>43</v>
      </c>
      <c r="B806" s="2" t="str">
        <f t="shared" si="19"/>
        <v>PREPARE_EAST_A_2_20</v>
      </c>
      <c r="C806" s="223" t="s">
        <v>46</v>
      </c>
      <c r="D806" s="223" t="s">
        <v>18</v>
      </c>
      <c r="E806" s="352" t="s">
        <v>2</v>
      </c>
      <c r="F806" s="224">
        <v>2</v>
      </c>
      <c r="G806" s="2">
        <v>20</v>
      </c>
      <c r="H806" s="195">
        <f>VLOOKUP(B806,'20'!$D$7:$K$120,8,0)</f>
        <v>20</v>
      </c>
    </row>
    <row r="807" spans="1:8" ht="15.75" hidden="1" thickTop="1" x14ac:dyDescent="0.25">
      <c r="A807" s="2">
        <v>43</v>
      </c>
      <c r="B807" s="2" t="str">
        <f t="shared" si="19"/>
        <v>PREPARE_EAST_C/U_1_20</v>
      </c>
      <c r="C807" s="223" t="s">
        <v>46</v>
      </c>
      <c r="D807" s="223" t="s">
        <v>18</v>
      </c>
      <c r="E807" s="352" t="s">
        <v>67</v>
      </c>
      <c r="F807" s="224">
        <v>1</v>
      </c>
      <c r="G807" s="2">
        <v>20</v>
      </c>
      <c r="H807" s="195">
        <f>VLOOKUP(B807,'20'!$D$7:$K$120,8,0)</f>
        <v>20</v>
      </c>
    </row>
    <row r="808" spans="1:8" ht="15.75" hidden="1" thickTop="1" x14ac:dyDescent="0.25">
      <c r="A808" s="2">
        <v>43</v>
      </c>
      <c r="B808" s="2" t="str">
        <f t="shared" si="19"/>
        <v>PREPARE_EAST_C_2_20</v>
      </c>
      <c r="C808" s="223" t="s">
        <v>46</v>
      </c>
      <c r="D808" s="223" t="s">
        <v>18</v>
      </c>
      <c r="E808" s="223" t="s">
        <v>4</v>
      </c>
      <c r="F808" s="224">
        <v>2</v>
      </c>
      <c r="G808" s="2">
        <v>20</v>
      </c>
      <c r="H808" s="195">
        <f>VLOOKUP(B808,'20'!$D$7:$K$120,8,0)</f>
        <v>22</v>
      </c>
    </row>
    <row r="809" spans="1:8" ht="15.75" hidden="1" thickTop="1" x14ac:dyDescent="0.25">
      <c r="A809" s="2">
        <v>43</v>
      </c>
      <c r="B809" s="2" t="str">
        <f t="shared" si="19"/>
        <v>PREPARE_EAST_I_1_20</v>
      </c>
      <c r="C809" s="223" t="s">
        <v>46</v>
      </c>
      <c r="D809" s="223" t="s">
        <v>18</v>
      </c>
      <c r="E809" s="223" t="s">
        <v>10</v>
      </c>
      <c r="F809" s="224">
        <v>1</v>
      </c>
      <c r="G809" s="2">
        <v>20</v>
      </c>
      <c r="H809" s="195">
        <f>VLOOKUP(B809,'20'!$D$7:$K$120,8,0)</f>
        <v>24</v>
      </c>
    </row>
    <row r="810" spans="1:8" ht="15.75" hidden="1" thickTop="1" x14ac:dyDescent="0.25">
      <c r="A810" s="2">
        <v>43</v>
      </c>
      <c r="B810" s="2" t="str">
        <f t="shared" si="19"/>
        <v>PREPARE_EAST_G_2_20</v>
      </c>
      <c r="C810" s="223" t="s">
        <v>46</v>
      </c>
      <c r="D810" s="223" t="s">
        <v>18</v>
      </c>
      <c r="E810" s="223" t="s">
        <v>8</v>
      </c>
      <c r="F810" s="224">
        <v>2</v>
      </c>
      <c r="G810" s="2">
        <v>20</v>
      </c>
      <c r="H810" s="195">
        <f>VLOOKUP(B810,'20'!$D$7:$K$120,8,0)</f>
        <v>26</v>
      </c>
    </row>
    <row r="811" spans="1:8" ht="15.75" hidden="1" thickTop="1" x14ac:dyDescent="0.25">
      <c r="A811" s="2">
        <v>43</v>
      </c>
      <c r="B811" s="2" t="str">
        <f t="shared" si="19"/>
        <v>PREPARE_EAST_B_1_20</v>
      </c>
      <c r="C811" s="223" t="s">
        <v>46</v>
      </c>
      <c r="D811" s="223" t="s">
        <v>18</v>
      </c>
      <c r="E811" s="223" t="s">
        <v>3</v>
      </c>
      <c r="F811" s="224">
        <v>1</v>
      </c>
      <c r="G811" s="2">
        <v>20</v>
      </c>
      <c r="H811" s="195">
        <f>VLOOKUP(B811,'20'!$D$7:$K$120,8,0)</f>
        <v>29</v>
      </c>
    </row>
    <row r="812" spans="1:8" ht="15.75" hidden="1" thickTop="1" x14ac:dyDescent="0.25">
      <c r="A812" s="2">
        <v>43</v>
      </c>
      <c r="B812" s="2" t="str">
        <f t="shared" si="19"/>
        <v>PREPARE_EAST_E_2_20</v>
      </c>
      <c r="C812" s="223" t="s">
        <v>46</v>
      </c>
      <c r="D812" s="223" t="s">
        <v>18</v>
      </c>
      <c r="E812" s="223" t="s">
        <v>6</v>
      </c>
      <c r="F812" s="224">
        <v>2</v>
      </c>
      <c r="G812" s="2">
        <v>20</v>
      </c>
      <c r="H812" s="195">
        <f>VLOOKUP(B812,'20'!$D$7:$K$120,8,0)</f>
        <v>31</v>
      </c>
    </row>
    <row r="813" spans="1:8" ht="15.75" hidden="1" thickTop="1" x14ac:dyDescent="0.25">
      <c r="A813" s="2">
        <v>43</v>
      </c>
      <c r="B813" s="2" t="str">
        <f t="shared" si="19"/>
        <v>PREPARE_EAST_D_1_20</v>
      </c>
      <c r="C813" s="223" t="s">
        <v>46</v>
      </c>
      <c r="D813" s="223" t="s">
        <v>18</v>
      </c>
      <c r="E813" s="223" t="s">
        <v>47</v>
      </c>
      <c r="F813" s="224">
        <v>1</v>
      </c>
      <c r="G813" s="2">
        <v>20</v>
      </c>
      <c r="H813" s="195">
        <f>VLOOKUP(B813,'20'!$D$7:$K$120,8,0)</f>
        <v>33</v>
      </c>
    </row>
    <row r="814" spans="1:8" ht="15.75" hidden="1" thickTop="1" x14ac:dyDescent="0.25">
      <c r="A814" s="2">
        <v>43</v>
      </c>
      <c r="B814" s="2" t="str">
        <f t="shared" si="19"/>
        <v>PREPARE_EAST_K_2_20</v>
      </c>
      <c r="C814" s="223" t="s">
        <v>46</v>
      </c>
      <c r="D814" s="223" t="s">
        <v>18</v>
      </c>
      <c r="E814" s="223" t="s">
        <v>12</v>
      </c>
      <c r="F814" s="224">
        <v>2</v>
      </c>
      <c r="G814" s="2">
        <v>20</v>
      </c>
      <c r="H814" s="195">
        <f>VLOOKUP(B814,'20'!$D$7:$K$120,8,0)</f>
        <v>36</v>
      </c>
    </row>
    <row r="815" spans="1:8" ht="15.75" hidden="1" thickTop="1" x14ac:dyDescent="0.25">
      <c r="A815" s="2">
        <v>43</v>
      </c>
      <c r="B815" s="2" t="str">
        <f t="shared" si="19"/>
        <v>PREPARE_WEST_H_1_20</v>
      </c>
      <c r="C815" s="223" t="s">
        <v>46</v>
      </c>
      <c r="D815" s="223" t="s">
        <v>19</v>
      </c>
      <c r="E815" s="223" t="s">
        <v>9</v>
      </c>
      <c r="F815" s="224">
        <v>1</v>
      </c>
      <c r="G815" s="2">
        <v>20</v>
      </c>
      <c r="H815" s="195">
        <f>VLOOKUP(B815,'20'!$D$7:$K$120,8,0)</f>
        <v>19</v>
      </c>
    </row>
    <row r="816" spans="1:8" ht="15.75" hidden="1" thickTop="1" x14ac:dyDescent="0.25">
      <c r="A816" s="2">
        <v>43</v>
      </c>
      <c r="B816" s="2" t="str">
        <f t="shared" si="19"/>
        <v>PREPARE_WEST_P_2_20</v>
      </c>
      <c r="C816" s="223" t="s">
        <v>46</v>
      </c>
      <c r="D816" s="223" t="s">
        <v>19</v>
      </c>
      <c r="E816" s="223" t="s">
        <v>41</v>
      </c>
      <c r="F816" s="224">
        <v>2</v>
      </c>
      <c r="G816" s="2">
        <v>20</v>
      </c>
      <c r="H816" s="195">
        <f>VLOOKUP(B816,'20'!$D$7:$K$120,8,0)</f>
        <v>21</v>
      </c>
    </row>
    <row r="817" spans="1:8" ht="15.75" hidden="1" thickTop="1" x14ac:dyDescent="0.25">
      <c r="A817" s="2">
        <v>43</v>
      </c>
      <c r="B817" s="2" t="str">
        <f t="shared" si="19"/>
        <v>PREPARE_WEST_O_1_20</v>
      </c>
      <c r="C817" s="223" t="s">
        <v>46</v>
      </c>
      <c r="D817" s="223" t="s">
        <v>19</v>
      </c>
      <c r="E817" s="223" t="s">
        <v>40</v>
      </c>
      <c r="F817" s="224">
        <v>1</v>
      </c>
      <c r="G817" s="2">
        <v>20</v>
      </c>
      <c r="H817" s="195">
        <f>VLOOKUP(B817,'20'!$D$7:$K$120,8,0)</f>
        <v>24</v>
      </c>
    </row>
    <row r="818" spans="1:8" ht="15.75" hidden="1" thickTop="1" x14ac:dyDescent="0.25">
      <c r="A818" s="2">
        <v>43</v>
      </c>
      <c r="B818" s="2" t="str">
        <f t="shared" si="19"/>
        <v>PREPARE_WEST_L_2_20</v>
      </c>
      <c r="C818" s="223" t="s">
        <v>46</v>
      </c>
      <c r="D818" s="223" t="s">
        <v>19</v>
      </c>
      <c r="E818" s="223" t="s">
        <v>13</v>
      </c>
      <c r="F818" s="224">
        <v>2</v>
      </c>
      <c r="G818" s="2">
        <v>20</v>
      </c>
      <c r="H818" s="195">
        <f>VLOOKUP(B818,'20'!$D$7:$K$120,8,0)</f>
        <v>26</v>
      </c>
    </row>
    <row r="819" spans="1:8" ht="15.75" hidden="1" thickTop="1" x14ac:dyDescent="0.25">
      <c r="A819" s="2">
        <v>43</v>
      </c>
      <c r="B819" s="2" t="str">
        <f t="shared" si="19"/>
        <v>PREPARE_WEST_N_1_20</v>
      </c>
      <c r="C819" s="223" t="s">
        <v>46</v>
      </c>
      <c r="D819" s="223" t="s">
        <v>19</v>
      </c>
      <c r="E819" s="223" t="s">
        <v>15</v>
      </c>
      <c r="F819" s="224">
        <v>1</v>
      </c>
      <c r="G819" s="2">
        <v>20</v>
      </c>
      <c r="H819" s="195">
        <f>VLOOKUP(B819,'20'!$D$7:$K$120,8,0)</f>
        <v>29</v>
      </c>
    </row>
    <row r="820" spans="1:8" ht="15.75" hidden="1" thickTop="1" x14ac:dyDescent="0.25">
      <c r="A820" s="2">
        <v>43</v>
      </c>
      <c r="B820" s="2" t="str">
        <f t="shared" si="19"/>
        <v>PREPARE_WEST_J_2_20</v>
      </c>
      <c r="C820" s="223" t="s">
        <v>46</v>
      </c>
      <c r="D820" s="223" t="s">
        <v>19</v>
      </c>
      <c r="E820" s="223" t="s">
        <v>11</v>
      </c>
      <c r="F820" s="224">
        <v>2</v>
      </c>
      <c r="G820" s="2">
        <v>20</v>
      </c>
      <c r="H820" s="195">
        <f>VLOOKUP(B820,'20'!$D$7:$K$120,8,0)</f>
        <v>31</v>
      </c>
    </row>
    <row r="821" spans="1:8" ht="15.75" hidden="1" thickTop="1" x14ac:dyDescent="0.25">
      <c r="A821" s="2">
        <v>43</v>
      </c>
      <c r="B821" s="2" t="str">
        <f t="shared" si="19"/>
        <v>PREPARE_WEST_Q_1_20</v>
      </c>
      <c r="C821" s="223" t="s">
        <v>46</v>
      </c>
      <c r="D821" s="223" t="s">
        <v>19</v>
      </c>
      <c r="E821" s="223" t="s">
        <v>59</v>
      </c>
      <c r="F821" s="224">
        <v>1</v>
      </c>
      <c r="G821" s="195">
        <v>20</v>
      </c>
      <c r="H821" s="195">
        <f>VLOOKUP(B821,'20'!$D$7:$K$120,8,0)</f>
        <v>33</v>
      </c>
    </row>
    <row r="822" spans="1:8" ht="15.75" hidden="1" thickTop="1" x14ac:dyDescent="0.25">
      <c r="A822" s="2">
        <v>43</v>
      </c>
      <c r="B822" s="2" t="str">
        <f t="shared" si="19"/>
        <v>PREPARE_WEST_F_2_20</v>
      </c>
      <c r="C822" s="223" t="s">
        <v>46</v>
      </c>
      <c r="D822" s="223" t="s">
        <v>19</v>
      </c>
      <c r="E822" s="223" t="s">
        <v>7</v>
      </c>
      <c r="F822" s="224">
        <v>2</v>
      </c>
      <c r="G822" s="2">
        <v>20</v>
      </c>
      <c r="H822" s="195">
        <f>VLOOKUP(B822,'20'!$D$7:$K$120,8,0)</f>
        <v>34</v>
      </c>
    </row>
    <row r="823" spans="1:8" ht="15.75" hidden="1" thickTop="1" x14ac:dyDescent="0.25">
      <c r="A823" s="2">
        <v>43</v>
      </c>
      <c r="B823" s="2" t="str">
        <f t="shared" si="19"/>
        <v>PREPARE_WEST_M_1_20</v>
      </c>
      <c r="C823" s="223" t="s">
        <v>46</v>
      </c>
      <c r="D823" s="223" t="s">
        <v>19</v>
      </c>
      <c r="E823" s="223" t="s">
        <v>14</v>
      </c>
      <c r="F823" s="224">
        <v>1</v>
      </c>
      <c r="G823" s="2">
        <v>20</v>
      </c>
      <c r="H823" s="195">
        <f>VLOOKUP(B823,'20'!$D$7:$K$120,8,0)</f>
        <v>36</v>
      </c>
    </row>
    <row r="824" spans="1:8" ht="15.75" hidden="1" thickTop="1" x14ac:dyDescent="0.25">
      <c r="A824" s="2">
        <v>43</v>
      </c>
      <c r="B824" s="2" t="str">
        <f t="shared" si="19"/>
        <v>SUPPLY_EAST_UNP_1_20</v>
      </c>
      <c r="C824" s="223" t="s">
        <v>0</v>
      </c>
      <c r="D824" s="223" t="s">
        <v>18</v>
      </c>
      <c r="E824" s="223" t="s">
        <v>42</v>
      </c>
      <c r="F824" s="224">
        <v>1</v>
      </c>
      <c r="G824" s="2">
        <v>20</v>
      </c>
      <c r="H824" s="195">
        <f>VLOOKUP(B824,'20'!$D$7:$K$120,8,0)</f>
        <v>0</v>
      </c>
    </row>
    <row r="825" spans="1:8" ht="15.75" hidden="1" thickTop="1" x14ac:dyDescent="0.25">
      <c r="A825" s="2">
        <v>43</v>
      </c>
      <c r="B825" s="2" t="str">
        <f t="shared" si="19"/>
        <v>SUPPLY_EAST_A_2_20</v>
      </c>
      <c r="C825" s="223" t="s">
        <v>0</v>
      </c>
      <c r="D825" s="223" t="s">
        <v>18</v>
      </c>
      <c r="E825" s="352" t="s">
        <v>2</v>
      </c>
      <c r="F825" s="224">
        <v>2</v>
      </c>
      <c r="G825" s="2">
        <v>20</v>
      </c>
      <c r="H825" s="195">
        <f>VLOOKUP(B825,'20'!$D$7:$K$120,8,0)</f>
        <v>2</v>
      </c>
    </row>
    <row r="826" spans="1:8" ht="15.75" hidden="1" thickTop="1" x14ac:dyDescent="0.25">
      <c r="A826" s="2">
        <v>43</v>
      </c>
      <c r="B826" s="2" t="str">
        <f t="shared" si="19"/>
        <v>SUPPLY_EAST_C/U_1_20</v>
      </c>
      <c r="C826" s="223" t="s">
        <v>0</v>
      </c>
      <c r="D826" s="223" t="s">
        <v>18</v>
      </c>
      <c r="E826" s="352" t="s">
        <v>67</v>
      </c>
      <c r="F826" s="224">
        <v>1</v>
      </c>
      <c r="G826" s="2">
        <v>20</v>
      </c>
      <c r="H826" s="195">
        <f>VLOOKUP(B826,'20'!$D$7:$K$120,8,0)</f>
        <v>3</v>
      </c>
    </row>
    <row r="827" spans="1:8" ht="15.75" hidden="1" thickTop="1" x14ac:dyDescent="0.25">
      <c r="A827" s="2">
        <v>43</v>
      </c>
      <c r="B827" s="2" t="str">
        <f t="shared" si="19"/>
        <v>SUPPLY_EAST_C_2_20</v>
      </c>
      <c r="C827" s="223" t="s">
        <v>0</v>
      </c>
      <c r="D827" s="223" t="s">
        <v>18</v>
      </c>
      <c r="E827" s="223" t="s">
        <v>4</v>
      </c>
      <c r="F827" s="224">
        <v>2</v>
      </c>
      <c r="G827" s="2">
        <v>20</v>
      </c>
      <c r="H827" s="195">
        <f>VLOOKUP(B827,'20'!$D$7:$K$120,8,0)</f>
        <v>4</v>
      </c>
    </row>
    <row r="828" spans="1:8" ht="15.75" hidden="1" thickTop="1" x14ac:dyDescent="0.25">
      <c r="A828" s="2">
        <v>43</v>
      </c>
      <c r="B828" s="2" t="str">
        <f t="shared" si="19"/>
        <v>SUPPLY_EAST_I_1_20</v>
      </c>
      <c r="C828" s="223" t="s">
        <v>0</v>
      </c>
      <c r="D828" s="223" t="s">
        <v>18</v>
      </c>
      <c r="E828" s="223" t="s">
        <v>10</v>
      </c>
      <c r="F828" s="224">
        <v>1</v>
      </c>
      <c r="G828" s="2">
        <v>20</v>
      </c>
      <c r="H828" s="195">
        <f>VLOOKUP(B828,'20'!$D$7:$K$120,8,0)</f>
        <v>6</v>
      </c>
    </row>
    <row r="829" spans="1:8" ht="15.75" hidden="1" thickTop="1" x14ac:dyDescent="0.25">
      <c r="A829" s="2">
        <v>43</v>
      </c>
      <c r="B829" s="2" t="str">
        <f t="shared" si="19"/>
        <v>SUPPLY_EAST_G_2_20</v>
      </c>
      <c r="C829" s="223" t="s">
        <v>0</v>
      </c>
      <c r="D829" s="223" t="s">
        <v>18</v>
      </c>
      <c r="E829" s="223" t="s">
        <v>8</v>
      </c>
      <c r="F829" s="224">
        <v>2</v>
      </c>
      <c r="G829" s="2">
        <v>20</v>
      </c>
      <c r="H829" s="195">
        <f>VLOOKUP(B829,'20'!$D$7:$K$120,8,0)</f>
        <v>8</v>
      </c>
    </row>
    <row r="830" spans="1:8" ht="15.75" hidden="1" thickTop="1" x14ac:dyDescent="0.25">
      <c r="A830" s="2">
        <v>43</v>
      </c>
      <c r="B830" s="2" t="str">
        <f t="shared" si="19"/>
        <v>SUPPLY_EAST_B_1_20</v>
      </c>
      <c r="C830" s="223" t="s">
        <v>0</v>
      </c>
      <c r="D830" s="223" t="s">
        <v>18</v>
      </c>
      <c r="E830" s="223" t="s">
        <v>3</v>
      </c>
      <c r="F830" s="224">
        <v>1</v>
      </c>
      <c r="G830" s="2">
        <v>20</v>
      </c>
      <c r="H830" s="195">
        <f>VLOOKUP(B830,'20'!$D$7:$K$120,8,0)</f>
        <v>11</v>
      </c>
    </row>
    <row r="831" spans="1:8" ht="15.75" hidden="1" thickTop="1" x14ac:dyDescent="0.25">
      <c r="A831" s="2">
        <v>43</v>
      </c>
      <c r="B831" s="2" t="str">
        <f t="shared" si="19"/>
        <v>SUPPLY_EAST_E_2_20</v>
      </c>
      <c r="C831" s="223" t="s">
        <v>0</v>
      </c>
      <c r="D831" s="223" t="s">
        <v>18</v>
      </c>
      <c r="E831" s="223" t="s">
        <v>6</v>
      </c>
      <c r="F831" s="224">
        <v>2</v>
      </c>
      <c r="G831" s="2">
        <v>20</v>
      </c>
      <c r="H831" s="195">
        <f>VLOOKUP(B831,'20'!$D$7:$K$120,8,0)</f>
        <v>13</v>
      </c>
    </row>
    <row r="832" spans="1:8" ht="15.75" hidden="1" thickTop="1" x14ac:dyDescent="0.25">
      <c r="A832" s="2">
        <v>43</v>
      </c>
      <c r="B832" s="2" t="str">
        <f t="shared" si="19"/>
        <v>SUPPLY_EAST_D_1_20</v>
      </c>
      <c r="C832" s="223" t="s">
        <v>0</v>
      </c>
      <c r="D832" s="223" t="s">
        <v>18</v>
      </c>
      <c r="E832" s="223" t="s">
        <v>47</v>
      </c>
      <c r="F832" s="224">
        <v>1</v>
      </c>
      <c r="G832" s="2">
        <v>20</v>
      </c>
      <c r="H832" s="195">
        <f>VLOOKUP(B832,'20'!$D$7:$K$120,8,0)</f>
        <v>15</v>
      </c>
    </row>
    <row r="833" spans="1:8" ht="15.75" hidden="1" thickTop="1" x14ac:dyDescent="0.25">
      <c r="A833" s="2">
        <v>43</v>
      </c>
      <c r="B833" s="2" t="str">
        <f t="shared" si="19"/>
        <v>SUPPLY_EAST_K_2_20</v>
      </c>
      <c r="C833" s="223" t="s">
        <v>0</v>
      </c>
      <c r="D833" s="223" t="s">
        <v>18</v>
      </c>
      <c r="E833" s="223" t="s">
        <v>12</v>
      </c>
      <c r="F833" s="224">
        <v>2</v>
      </c>
      <c r="G833" s="2">
        <v>20</v>
      </c>
      <c r="H833" s="195">
        <f>VLOOKUP(B833,'20'!$D$7:$K$120,8,0)</f>
        <v>18</v>
      </c>
    </row>
    <row r="834" spans="1:8" ht="15.75" hidden="1" thickTop="1" x14ac:dyDescent="0.25">
      <c r="A834" s="2">
        <v>43</v>
      </c>
      <c r="B834" s="2" t="str">
        <f t="shared" si="19"/>
        <v>SUPPLY_WEST_H_1_20</v>
      </c>
      <c r="C834" s="223" t="s">
        <v>0</v>
      </c>
      <c r="D834" s="223" t="s">
        <v>19</v>
      </c>
      <c r="E834" s="223" t="s">
        <v>9</v>
      </c>
      <c r="F834" s="224">
        <v>1</v>
      </c>
      <c r="G834" s="2">
        <v>20</v>
      </c>
      <c r="H834" s="195">
        <f>VLOOKUP(B834,'20'!$D$7:$K$120,8,0)</f>
        <v>0</v>
      </c>
    </row>
    <row r="835" spans="1:8" ht="15.75" hidden="1" thickTop="1" x14ac:dyDescent="0.25">
      <c r="A835" s="2">
        <v>43</v>
      </c>
      <c r="B835" s="2" t="str">
        <f t="shared" si="19"/>
        <v>SUPPLY_WEST_P_2_20</v>
      </c>
      <c r="C835" s="223" t="s">
        <v>0</v>
      </c>
      <c r="D835" s="223" t="s">
        <v>19</v>
      </c>
      <c r="E835" s="223" t="s">
        <v>41</v>
      </c>
      <c r="F835" s="224">
        <v>2</v>
      </c>
      <c r="G835" s="2">
        <v>20</v>
      </c>
      <c r="H835" s="195">
        <f>VLOOKUP(B835,'20'!$D$7:$K$120,8,0)</f>
        <v>3</v>
      </c>
    </row>
    <row r="836" spans="1:8" ht="15.75" hidden="1" thickTop="1" x14ac:dyDescent="0.25">
      <c r="A836" s="2">
        <v>43</v>
      </c>
      <c r="B836" s="2" t="str">
        <f t="shared" si="19"/>
        <v>SUPPLY_WEST_O_1_20</v>
      </c>
      <c r="C836" s="223" t="s">
        <v>0</v>
      </c>
      <c r="D836" s="223" t="s">
        <v>19</v>
      </c>
      <c r="E836" s="223" t="s">
        <v>40</v>
      </c>
      <c r="F836" s="224">
        <v>1</v>
      </c>
      <c r="G836" s="2">
        <v>20</v>
      </c>
      <c r="H836" s="195">
        <f>VLOOKUP(B836,'20'!$D$7:$K$120,8,0)</f>
        <v>6</v>
      </c>
    </row>
    <row r="837" spans="1:8" ht="15.75" hidden="1" thickTop="1" x14ac:dyDescent="0.25">
      <c r="A837" s="2">
        <v>43</v>
      </c>
      <c r="B837" s="2" t="str">
        <f t="shared" si="19"/>
        <v>SUPPLY_WEST_L_2_20</v>
      </c>
      <c r="C837" s="223" t="s">
        <v>0</v>
      </c>
      <c r="D837" s="223" t="s">
        <v>19</v>
      </c>
      <c r="E837" s="223" t="s">
        <v>13</v>
      </c>
      <c r="F837" s="224">
        <v>2</v>
      </c>
      <c r="G837" s="2">
        <v>20</v>
      </c>
      <c r="H837" s="195">
        <f>VLOOKUP(B837,'20'!$D$7:$K$120,8,0)</f>
        <v>8</v>
      </c>
    </row>
    <row r="838" spans="1:8" ht="15.75" hidden="1" thickTop="1" x14ac:dyDescent="0.25">
      <c r="A838" s="2">
        <v>43</v>
      </c>
      <c r="B838" s="2" t="str">
        <f t="shared" si="19"/>
        <v>SUPPLY_WEST_N_1_20</v>
      </c>
      <c r="C838" s="223" t="s">
        <v>0</v>
      </c>
      <c r="D838" s="223" t="s">
        <v>19</v>
      </c>
      <c r="E838" s="223" t="s">
        <v>15</v>
      </c>
      <c r="F838" s="224">
        <v>1</v>
      </c>
      <c r="G838" s="2">
        <v>20</v>
      </c>
      <c r="H838" s="195">
        <f>VLOOKUP(B838,'20'!$D$7:$K$120,8,0)</f>
        <v>11</v>
      </c>
    </row>
    <row r="839" spans="1:8" ht="15.75" hidden="1" thickTop="1" x14ac:dyDescent="0.25">
      <c r="A839" s="2">
        <v>43</v>
      </c>
      <c r="B839" s="2" t="str">
        <f t="shared" si="19"/>
        <v>SUPPLY_WEST_J_2_20</v>
      </c>
      <c r="C839" s="223" t="s">
        <v>0</v>
      </c>
      <c r="D839" s="223" t="s">
        <v>19</v>
      </c>
      <c r="E839" s="223" t="s">
        <v>11</v>
      </c>
      <c r="F839" s="224">
        <v>2</v>
      </c>
      <c r="G839" s="2">
        <v>20</v>
      </c>
      <c r="H839" s="195">
        <f>VLOOKUP(B839,'20'!$D$7:$K$120,8,0)</f>
        <v>13</v>
      </c>
    </row>
    <row r="840" spans="1:8" ht="15.75" hidden="1" thickTop="1" x14ac:dyDescent="0.25">
      <c r="A840" s="2">
        <v>43</v>
      </c>
      <c r="B840" s="2" t="str">
        <f t="shared" si="19"/>
        <v>SUPPLY_WEST_Q_1_20</v>
      </c>
      <c r="C840" s="223" t="s">
        <v>0</v>
      </c>
      <c r="D840" s="223" t="s">
        <v>19</v>
      </c>
      <c r="E840" s="223" t="s">
        <v>59</v>
      </c>
      <c r="F840" s="224">
        <v>1</v>
      </c>
      <c r="G840" s="195">
        <v>20</v>
      </c>
      <c r="H840" s="195">
        <f>VLOOKUP(B840,'20'!$D$7:$K$120,8,0)</f>
        <v>15</v>
      </c>
    </row>
    <row r="841" spans="1:8" ht="15.75" hidden="1" thickTop="1" x14ac:dyDescent="0.25">
      <c r="A841" s="2">
        <v>43</v>
      </c>
      <c r="B841" s="2" t="str">
        <f t="shared" si="19"/>
        <v>SUPPLY_WEST_F_2_20</v>
      </c>
      <c r="C841" s="223" t="s">
        <v>0</v>
      </c>
      <c r="D841" s="223" t="s">
        <v>19</v>
      </c>
      <c r="E841" s="223" t="s">
        <v>7</v>
      </c>
      <c r="F841" s="224">
        <v>2</v>
      </c>
      <c r="G841" s="2">
        <v>20</v>
      </c>
      <c r="H841" s="195">
        <f>VLOOKUP(B841,'20'!$D$7:$K$120,8,0)</f>
        <v>16</v>
      </c>
    </row>
    <row r="842" spans="1:8" ht="15.75" hidden="1" thickTop="1" x14ac:dyDescent="0.25">
      <c r="A842" s="2">
        <v>43</v>
      </c>
      <c r="B842" s="2" t="str">
        <f t="shared" si="19"/>
        <v>SUPPLY_WEST_M_1_20</v>
      </c>
      <c r="C842" s="223" t="s">
        <v>0</v>
      </c>
      <c r="D842" s="223" t="s">
        <v>19</v>
      </c>
      <c r="E842" s="223" t="s">
        <v>14</v>
      </c>
      <c r="F842" s="224">
        <v>1</v>
      </c>
      <c r="G842" s="2">
        <v>20</v>
      </c>
      <c r="H842" s="195">
        <f>VLOOKUP(B842,'20'!$D$7:$K$120,8,0)</f>
        <v>18</v>
      </c>
    </row>
    <row r="843" spans="1:8" ht="15.75" hidden="1" thickTop="1" x14ac:dyDescent="0.25">
      <c r="A843" s="2">
        <v>43</v>
      </c>
      <c r="B843" s="2" t="str">
        <f t="shared" si="19"/>
        <v>EMPTY_EAST_UNP_1_20</v>
      </c>
      <c r="C843" s="223" t="s">
        <v>32</v>
      </c>
      <c r="D843" s="223" t="s">
        <v>18</v>
      </c>
      <c r="E843" s="223" t="s">
        <v>42</v>
      </c>
      <c r="F843" s="224">
        <v>1</v>
      </c>
      <c r="G843" s="2">
        <v>20</v>
      </c>
      <c r="H843" s="195">
        <f>VLOOKUP(B843,'20'!$D$7:$K$120,8,0)</f>
        <v>16</v>
      </c>
    </row>
    <row r="844" spans="1:8" ht="15.75" hidden="1" thickTop="1" x14ac:dyDescent="0.25">
      <c r="A844" s="2">
        <v>43</v>
      </c>
      <c r="B844" s="2" t="str">
        <f t="shared" si="19"/>
        <v>EMPTY_EAST_A_2_20</v>
      </c>
      <c r="C844" s="223" t="s">
        <v>32</v>
      </c>
      <c r="D844" s="223" t="s">
        <v>18</v>
      </c>
      <c r="E844" s="352" t="s">
        <v>2</v>
      </c>
      <c r="F844" s="224">
        <v>2</v>
      </c>
      <c r="G844" s="2">
        <v>20</v>
      </c>
      <c r="H844" s="195">
        <f>VLOOKUP(B844,'20'!$D$7:$K$120,8,0)</f>
        <v>18</v>
      </c>
    </row>
    <row r="845" spans="1:8" ht="15.75" hidden="1" thickTop="1" x14ac:dyDescent="0.25">
      <c r="A845" s="2">
        <v>43</v>
      </c>
      <c r="B845" s="2" t="str">
        <f t="shared" si="19"/>
        <v>EMPTY_EAST_C/U_1_20</v>
      </c>
      <c r="C845" s="223" t="s">
        <v>32</v>
      </c>
      <c r="D845" s="223" t="s">
        <v>18</v>
      </c>
      <c r="E845" s="352" t="s">
        <v>67</v>
      </c>
      <c r="F845" s="224">
        <v>1</v>
      </c>
      <c r="G845" s="2">
        <v>20</v>
      </c>
      <c r="H845" s="195">
        <f>VLOOKUP(B845,'20'!$D$7:$K$120,8,0)</f>
        <v>19</v>
      </c>
    </row>
    <row r="846" spans="1:8" ht="15.75" hidden="1" thickTop="1" x14ac:dyDescent="0.25">
      <c r="A846" s="2">
        <v>43</v>
      </c>
      <c r="B846" s="2" t="str">
        <f t="shared" si="19"/>
        <v>EMPTY_EAST_C_2_20</v>
      </c>
      <c r="C846" s="223" t="s">
        <v>32</v>
      </c>
      <c r="D846" s="223" t="s">
        <v>18</v>
      </c>
      <c r="E846" s="223" t="s">
        <v>4</v>
      </c>
      <c r="F846" s="224">
        <v>2</v>
      </c>
      <c r="G846" s="2">
        <v>20</v>
      </c>
      <c r="H846" s="195">
        <f>VLOOKUP(B846,'20'!$D$7:$K$120,8,0)</f>
        <v>20</v>
      </c>
    </row>
    <row r="847" spans="1:8" ht="15.75" hidden="1" thickTop="1" x14ac:dyDescent="0.25">
      <c r="A847" s="2">
        <v>43</v>
      </c>
      <c r="B847" s="2" t="str">
        <f t="shared" si="19"/>
        <v>EMPTY_EAST_I_1_20</v>
      </c>
      <c r="C847" s="223" t="s">
        <v>32</v>
      </c>
      <c r="D847" s="223" t="s">
        <v>18</v>
      </c>
      <c r="E847" s="223" t="s">
        <v>10</v>
      </c>
      <c r="F847" s="224">
        <v>1</v>
      </c>
      <c r="G847" s="2">
        <v>20</v>
      </c>
      <c r="H847" s="195">
        <f>VLOOKUP(B847,'20'!$D$7:$K$120,8,0)</f>
        <v>22</v>
      </c>
    </row>
    <row r="848" spans="1:8" ht="15.75" hidden="1" thickTop="1" x14ac:dyDescent="0.25">
      <c r="A848" s="2">
        <v>43</v>
      </c>
      <c r="B848" s="2" t="str">
        <f t="shared" si="19"/>
        <v>EMPTY_EAST_G_2_20</v>
      </c>
      <c r="C848" s="223" t="s">
        <v>32</v>
      </c>
      <c r="D848" s="223" t="s">
        <v>18</v>
      </c>
      <c r="E848" s="223" t="s">
        <v>8</v>
      </c>
      <c r="F848" s="224">
        <v>2</v>
      </c>
      <c r="G848" s="2">
        <v>20</v>
      </c>
      <c r="H848" s="195">
        <f>VLOOKUP(B848,'20'!$D$7:$K$120,8,0)</f>
        <v>24</v>
      </c>
    </row>
    <row r="849" spans="1:8" ht="15.75" hidden="1" thickTop="1" x14ac:dyDescent="0.25">
      <c r="A849" s="2">
        <v>43</v>
      </c>
      <c r="B849" s="2" t="str">
        <f t="shared" si="19"/>
        <v>EMPTY_EAST_B_1_20</v>
      </c>
      <c r="C849" s="223" t="s">
        <v>32</v>
      </c>
      <c r="D849" s="223" t="s">
        <v>18</v>
      </c>
      <c r="E849" s="223" t="s">
        <v>3</v>
      </c>
      <c r="F849" s="224">
        <v>1</v>
      </c>
      <c r="G849" s="2">
        <v>20</v>
      </c>
      <c r="H849" s="195">
        <f>VLOOKUP(B849,'20'!$D$7:$K$120,8,0)</f>
        <v>27</v>
      </c>
    </row>
    <row r="850" spans="1:8" ht="15.75" hidden="1" thickTop="1" x14ac:dyDescent="0.25">
      <c r="A850" s="2">
        <v>43</v>
      </c>
      <c r="B850" s="2" t="str">
        <f t="shared" si="19"/>
        <v>EMPTY_EAST_E_2_20</v>
      </c>
      <c r="C850" s="223" t="s">
        <v>32</v>
      </c>
      <c r="D850" s="223" t="s">
        <v>18</v>
      </c>
      <c r="E850" s="223" t="s">
        <v>6</v>
      </c>
      <c r="F850" s="224">
        <v>2</v>
      </c>
      <c r="G850" s="2">
        <v>20</v>
      </c>
      <c r="H850" s="195">
        <f>VLOOKUP(B850,'20'!$D$7:$K$120,8,0)</f>
        <v>29</v>
      </c>
    </row>
    <row r="851" spans="1:8" ht="15.75" hidden="1" thickTop="1" x14ac:dyDescent="0.25">
      <c r="A851" s="2">
        <v>43</v>
      </c>
      <c r="B851" s="2" t="str">
        <f t="shared" si="19"/>
        <v>EMPTY_EAST_D_1_20</v>
      </c>
      <c r="C851" s="223" t="s">
        <v>32</v>
      </c>
      <c r="D851" s="223" t="s">
        <v>18</v>
      </c>
      <c r="E851" s="223" t="s">
        <v>47</v>
      </c>
      <c r="F851" s="224">
        <v>1</v>
      </c>
      <c r="G851" s="2">
        <v>20</v>
      </c>
      <c r="H851" s="195">
        <f>VLOOKUP(B851,'20'!$D$7:$K$120,8,0)</f>
        <v>31</v>
      </c>
    </row>
    <row r="852" spans="1:8" ht="15.75" hidden="1" thickTop="1" x14ac:dyDescent="0.25">
      <c r="A852" s="2">
        <v>43</v>
      </c>
      <c r="B852" s="2" t="str">
        <f t="shared" si="19"/>
        <v>EMPTY_EAST_K_2_20</v>
      </c>
      <c r="C852" s="223" t="s">
        <v>32</v>
      </c>
      <c r="D852" s="223" t="s">
        <v>18</v>
      </c>
      <c r="E852" s="223" t="s">
        <v>12</v>
      </c>
      <c r="F852" s="224">
        <v>2</v>
      </c>
      <c r="G852" s="2">
        <v>20</v>
      </c>
      <c r="H852" s="195">
        <f>VLOOKUP(B852,'20'!$D$7:$K$120,8,0)</f>
        <v>33</v>
      </c>
    </row>
    <row r="853" spans="1:8" ht="15.75" hidden="1" thickTop="1" x14ac:dyDescent="0.25">
      <c r="A853" s="2">
        <v>43</v>
      </c>
      <c r="B853" s="2" t="str">
        <f t="shared" si="19"/>
        <v>EMPTY_WEST_H_1_20</v>
      </c>
      <c r="C853" s="223" t="s">
        <v>32</v>
      </c>
      <c r="D853" s="223" t="s">
        <v>19</v>
      </c>
      <c r="E853" s="223" t="s">
        <v>9</v>
      </c>
      <c r="F853" s="224">
        <v>1</v>
      </c>
      <c r="G853" s="2">
        <v>20</v>
      </c>
      <c r="H853" s="195">
        <f>VLOOKUP(B853,'20'!$D$7:$K$120,8,0)</f>
        <v>17</v>
      </c>
    </row>
    <row r="854" spans="1:8" ht="15.75" hidden="1" thickTop="1" x14ac:dyDescent="0.25">
      <c r="A854" s="2">
        <v>43</v>
      </c>
      <c r="B854" s="2" t="str">
        <f t="shared" si="19"/>
        <v>EMPTY_WEST_P_2_20</v>
      </c>
      <c r="C854" s="223" t="s">
        <v>32</v>
      </c>
      <c r="D854" s="223" t="s">
        <v>19</v>
      </c>
      <c r="E854" s="223" t="s">
        <v>41</v>
      </c>
      <c r="F854" s="224">
        <v>2</v>
      </c>
      <c r="G854" s="2">
        <v>20</v>
      </c>
      <c r="H854" s="195">
        <f>VLOOKUP(B854,'20'!$D$7:$K$120,8,0)</f>
        <v>19</v>
      </c>
    </row>
    <row r="855" spans="1:8" ht="15.75" hidden="1" thickTop="1" x14ac:dyDescent="0.25">
      <c r="A855" s="2">
        <v>43</v>
      </c>
      <c r="B855" s="2" t="str">
        <f t="shared" si="19"/>
        <v>EMPTY_WEST_O_1_20</v>
      </c>
      <c r="C855" s="223" t="s">
        <v>32</v>
      </c>
      <c r="D855" s="223" t="s">
        <v>19</v>
      </c>
      <c r="E855" s="223" t="s">
        <v>40</v>
      </c>
      <c r="F855" s="224">
        <v>1</v>
      </c>
      <c r="G855" s="2">
        <v>20</v>
      </c>
      <c r="H855" s="195">
        <f>VLOOKUP(B855,'20'!$D$7:$K$120,8,0)</f>
        <v>21</v>
      </c>
    </row>
    <row r="856" spans="1:8" ht="15.75" hidden="1" thickTop="1" x14ac:dyDescent="0.25">
      <c r="A856" s="2">
        <v>43</v>
      </c>
      <c r="B856" s="2" t="str">
        <f t="shared" si="19"/>
        <v>EMPTY_WEST_L_2_20</v>
      </c>
      <c r="C856" s="223" t="s">
        <v>32</v>
      </c>
      <c r="D856" s="223" t="s">
        <v>19</v>
      </c>
      <c r="E856" s="223" t="s">
        <v>13</v>
      </c>
      <c r="F856" s="224">
        <v>2</v>
      </c>
      <c r="G856" s="2">
        <v>20</v>
      </c>
      <c r="H856" s="195">
        <f>VLOOKUP(B856,'20'!$D$7:$K$120,8,0)</f>
        <v>23</v>
      </c>
    </row>
    <row r="857" spans="1:8" ht="15.75" hidden="1" thickTop="1" x14ac:dyDescent="0.25">
      <c r="A857" s="2">
        <v>43</v>
      </c>
      <c r="B857" s="2" t="str">
        <f t="shared" si="19"/>
        <v>EMPTY_WEST_N_1_20</v>
      </c>
      <c r="C857" s="223" t="s">
        <v>32</v>
      </c>
      <c r="D857" s="223" t="s">
        <v>19</v>
      </c>
      <c r="E857" s="223" t="s">
        <v>15</v>
      </c>
      <c r="F857" s="224">
        <v>1</v>
      </c>
      <c r="G857" s="2">
        <v>20</v>
      </c>
      <c r="H857" s="195">
        <f>VLOOKUP(B857,'20'!$D$7:$K$120,8,0)</f>
        <v>26</v>
      </c>
    </row>
    <row r="858" spans="1:8" ht="15.75" hidden="1" thickTop="1" x14ac:dyDescent="0.25">
      <c r="A858" s="2">
        <v>43</v>
      </c>
      <c r="B858" s="2" t="str">
        <f t="shared" si="19"/>
        <v>EMPTY_WEST_J_2_20</v>
      </c>
      <c r="C858" s="223" t="s">
        <v>32</v>
      </c>
      <c r="D858" s="223" t="s">
        <v>19</v>
      </c>
      <c r="E858" s="223" t="s">
        <v>11</v>
      </c>
      <c r="F858" s="224">
        <v>2</v>
      </c>
      <c r="G858" s="2">
        <v>20</v>
      </c>
      <c r="H858" s="195">
        <f>VLOOKUP(B858,'20'!$D$7:$K$120,8,0)</f>
        <v>28</v>
      </c>
    </row>
    <row r="859" spans="1:8" ht="15.75" hidden="1" thickTop="1" x14ac:dyDescent="0.25">
      <c r="A859" s="2">
        <v>43</v>
      </c>
      <c r="B859" s="2" t="str">
        <f t="shared" si="19"/>
        <v>EMPTY_WEST_Q_1_20</v>
      </c>
      <c r="C859" s="223" t="s">
        <v>32</v>
      </c>
      <c r="D859" s="223" t="s">
        <v>19</v>
      </c>
      <c r="E859" s="223" t="s">
        <v>59</v>
      </c>
      <c r="F859" s="224">
        <v>1</v>
      </c>
      <c r="G859" s="195">
        <v>20</v>
      </c>
      <c r="H859" s="195">
        <f>VLOOKUP(B859,'20'!$D$7:$K$120,8,0)</f>
        <v>30</v>
      </c>
    </row>
    <row r="860" spans="1:8" ht="15.75" hidden="1" thickTop="1" x14ac:dyDescent="0.25">
      <c r="A860" s="2">
        <v>43</v>
      </c>
      <c r="B860" s="2" t="str">
        <f t="shared" si="19"/>
        <v>EMPTY_WEST_F_2_20</v>
      </c>
      <c r="C860" s="223" t="s">
        <v>32</v>
      </c>
      <c r="D860" s="223" t="s">
        <v>19</v>
      </c>
      <c r="E860" s="223" t="s">
        <v>7</v>
      </c>
      <c r="F860" s="224">
        <v>2</v>
      </c>
      <c r="G860" s="2">
        <v>20</v>
      </c>
      <c r="H860" s="195">
        <f>VLOOKUP(B860,'20'!$D$7:$K$120,8,0)</f>
        <v>32</v>
      </c>
    </row>
    <row r="861" spans="1:8" ht="15.75" hidden="1" thickTop="1" x14ac:dyDescent="0.25">
      <c r="A861" s="2">
        <v>43</v>
      </c>
      <c r="B861" s="2" t="str">
        <f t="shared" si="19"/>
        <v>EMPTY_WEST_M_1_20</v>
      </c>
      <c r="C861" s="223" t="s">
        <v>32</v>
      </c>
      <c r="D861" s="223" t="s">
        <v>19</v>
      </c>
      <c r="E861" s="223" t="s">
        <v>14</v>
      </c>
      <c r="F861" s="224">
        <v>1</v>
      </c>
      <c r="G861" s="2">
        <v>20</v>
      </c>
      <c r="H861" s="195">
        <f>VLOOKUP(B861,'20'!$D$7:$K$120,8,0)</f>
        <v>34</v>
      </c>
    </row>
    <row r="862" spans="1:8" ht="15.75" hidden="1" thickTop="1" x14ac:dyDescent="0.25">
      <c r="A862" s="2">
        <v>43</v>
      </c>
      <c r="B862" s="2" t="str">
        <f t="shared" si="19"/>
        <v>SORTING_EAST_UNP_1_21</v>
      </c>
      <c r="C862" s="223" t="s">
        <v>45</v>
      </c>
      <c r="D862" s="223" t="s">
        <v>18</v>
      </c>
      <c r="E862" s="223" t="s">
        <v>42</v>
      </c>
      <c r="F862" s="224">
        <v>1</v>
      </c>
      <c r="G862" s="2">
        <v>21</v>
      </c>
      <c r="H862" s="195">
        <f>VLOOKUP(B862,'21'!$D$7:$K$120,8,0)</f>
        <v>0</v>
      </c>
    </row>
    <row r="863" spans="1:8" ht="15.75" hidden="1" thickTop="1" x14ac:dyDescent="0.25">
      <c r="A863" s="2">
        <v>43</v>
      </c>
      <c r="B863" s="2" t="str">
        <f t="shared" si="19"/>
        <v>SORTING_EAST_A_2_21</v>
      </c>
      <c r="C863" s="223" t="s">
        <v>45</v>
      </c>
      <c r="D863" s="223" t="s">
        <v>18</v>
      </c>
      <c r="E863" s="352" t="s">
        <v>2</v>
      </c>
      <c r="F863" s="224">
        <v>2</v>
      </c>
      <c r="G863" s="2">
        <v>21</v>
      </c>
      <c r="H863" s="195">
        <f>VLOOKUP(B863,'21'!$D$7:$K$120,8,0)</f>
        <v>2</v>
      </c>
    </row>
    <row r="864" spans="1:8" ht="15.75" hidden="1" thickTop="1" x14ac:dyDescent="0.25">
      <c r="A864" s="2">
        <v>43</v>
      </c>
      <c r="B864" s="2" t="str">
        <f t="shared" si="19"/>
        <v>SORTING_EAST_C/U_1_21</v>
      </c>
      <c r="C864" s="223" t="s">
        <v>45</v>
      </c>
      <c r="D864" s="223" t="s">
        <v>18</v>
      </c>
      <c r="E864" s="352" t="s">
        <v>67</v>
      </c>
      <c r="F864" s="224">
        <v>1</v>
      </c>
      <c r="G864" s="2">
        <v>21</v>
      </c>
      <c r="H864" s="195">
        <f>VLOOKUP(B864,'21'!$D$7:$K$120,8,0)</f>
        <v>4</v>
      </c>
    </row>
    <row r="865" spans="1:8" ht="15.75" hidden="1" thickTop="1" x14ac:dyDescent="0.25">
      <c r="A865" s="2">
        <v>43</v>
      </c>
      <c r="B865" s="2" t="str">
        <f t="shared" si="19"/>
        <v>SORTING_EAST_C_2_21</v>
      </c>
      <c r="C865" s="223" t="s">
        <v>45</v>
      </c>
      <c r="D865" s="223" t="s">
        <v>18</v>
      </c>
      <c r="E865" s="223" t="s">
        <v>4</v>
      </c>
      <c r="F865" s="224">
        <v>2</v>
      </c>
      <c r="G865" s="2">
        <v>21</v>
      </c>
      <c r="H865" s="195">
        <f>VLOOKUP(B865,'21'!$D$7:$K$120,8,0)</f>
        <v>5</v>
      </c>
    </row>
    <row r="866" spans="1:8" ht="15.75" hidden="1" thickTop="1" x14ac:dyDescent="0.25">
      <c r="A866" s="2">
        <v>43</v>
      </c>
      <c r="B866" s="2" t="str">
        <f t="shared" si="19"/>
        <v>SORTING_EAST_I_1_21</v>
      </c>
      <c r="C866" s="223" t="s">
        <v>45</v>
      </c>
      <c r="D866" s="223" t="s">
        <v>18</v>
      </c>
      <c r="E866" s="223" t="s">
        <v>10</v>
      </c>
      <c r="F866" s="224">
        <v>1</v>
      </c>
      <c r="G866" s="2">
        <v>21</v>
      </c>
      <c r="H866" s="195">
        <f>VLOOKUP(B866,'21'!$D$7:$K$120,8,0)</f>
        <v>7</v>
      </c>
    </row>
    <row r="867" spans="1:8" ht="15.75" hidden="1" thickTop="1" x14ac:dyDescent="0.25">
      <c r="A867" s="2">
        <v>43</v>
      </c>
      <c r="B867" s="2" t="str">
        <f t="shared" ref="B867:B933" si="20">C867&amp;"_"&amp;D867&amp;"_"&amp;E867&amp;"_"&amp;F867&amp;"_"&amp;G867</f>
        <v>SORTING_EAST_G_2_21</v>
      </c>
      <c r="C867" s="223" t="s">
        <v>45</v>
      </c>
      <c r="D867" s="223" t="s">
        <v>18</v>
      </c>
      <c r="E867" s="223" t="s">
        <v>8</v>
      </c>
      <c r="F867" s="224">
        <v>2</v>
      </c>
      <c r="G867" s="2">
        <v>21</v>
      </c>
      <c r="H867" s="195">
        <f>VLOOKUP(B867,'21'!$D$7:$K$120,8,0)</f>
        <v>9</v>
      </c>
    </row>
    <row r="868" spans="1:8" ht="15.75" hidden="1" thickTop="1" x14ac:dyDescent="0.25">
      <c r="A868" s="2">
        <v>43</v>
      </c>
      <c r="B868" s="2" t="str">
        <f t="shared" si="20"/>
        <v>SORTING_EAST_B_1_21</v>
      </c>
      <c r="C868" s="223" t="s">
        <v>45</v>
      </c>
      <c r="D868" s="223" t="s">
        <v>18</v>
      </c>
      <c r="E868" s="223" t="s">
        <v>3</v>
      </c>
      <c r="F868" s="224">
        <v>1</v>
      </c>
      <c r="G868" s="2">
        <v>21</v>
      </c>
      <c r="H868" s="195">
        <f>VLOOKUP(B868,'21'!$D$7:$K$120,8,0)</f>
        <v>11</v>
      </c>
    </row>
    <row r="869" spans="1:8" ht="15.75" hidden="1" thickTop="1" x14ac:dyDescent="0.25">
      <c r="A869" s="2">
        <v>43</v>
      </c>
      <c r="B869" s="2" t="str">
        <f t="shared" si="20"/>
        <v>SORTING_EAST_E_2_21</v>
      </c>
      <c r="C869" s="223" t="s">
        <v>45</v>
      </c>
      <c r="D869" s="223" t="s">
        <v>18</v>
      </c>
      <c r="E869" s="223" t="s">
        <v>6</v>
      </c>
      <c r="F869" s="224">
        <v>2</v>
      </c>
      <c r="G869" s="2">
        <v>21</v>
      </c>
      <c r="H869" s="195">
        <f>VLOOKUP(B869,'21'!$D$7:$K$120,8,0)</f>
        <v>13</v>
      </c>
    </row>
    <row r="870" spans="1:8" ht="15.75" hidden="1" thickTop="1" x14ac:dyDescent="0.25">
      <c r="A870" s="2">
        <v>43</v>
      </c>
      <c r="B870" s="2" t="str">
        <f t="shared" si="20"/>
        <v>SORTING_EAST_D_1_21</v>
      </c>
      <c r="C870" s="223" t="s">
        <v>45</v>
      </c>
      <c r="D870" s="223" t="s">
        <v>18</v>
      </c>
      <c r="E870" s="223" t="s">
        <v>47</v>
      </c>
      <c r="F870" s="224">
        <v>1</v>
      </c>
      <c r="G870" s="2">
        <v>21</v>
      </c>
      <c r="H870" s="195">
        <f>VLOOKUP(B870,'21'!$D$7:$K$120,8,0)</f>
        <v>15</v>
      </c>
    </row>
    <row r="871" spans="1:8" ht="15.75" hidden="1" thickTop="1" x14ac:dyDescent="0.25">
      <c r="A871" s="2">
        <v>43</v>
      </c>
      <c r="B871" s="2" t="str">
        <f t="shared" si="20"/>
        <v>SORTING_EAST_K_2_21</v>
      </c>
      <c r="C871" s="223" t="s">
        <v>45</v>
      </c>
      <c r="D871" s="223" t="s">
        <v>18</v>
      </c>
      <c r="E871" s="223" t="s">
        <v>12</v>
      </c>
      <c r="F871" s="224">
        <v>2</v>
      </c>
      <c r="G871" s="2">
        <v>21</v>
      </c>
      <c r="H871" s="195">
        <f>VLOOKUP(B871,'21'!$D$7:$K$120,8,0)</f>
        <v>18</v>
      </c>
    </row>
    <row r="872" spans="1:8" ht="15.75" hidden="1" thickTop="1" x14ac:dyDescent="0.25">
      <c r="A872" s="2">
        <v>43</v>
      </c>
      <c r="B872" s="2" t="str">
        <f t="shared" si="20"/>
        <v>SORTING_WEST_H_1_21</v>
      </c>
      <c r="C872" s="223" t="s">
        <v>45</v>
      </c>
      <c r="D872" s="223" t="s">
        <v>19</v>
      </c>
      <c r="E872" s="223" t="s">
        <v>9</v>
      </c>
      <c r="F872" s="224">
        <v>1</v>
      </c>
      <c r="G872" s="2">
        <v>21</v>
      </c>
      <c r="H872" s="195">
        <f>VLOOKUP(B872,'21'!$D$7:$K$120,8,0)</f>
        <v>0</v>
      </c>
    </row>
    <row r="873" spans="1:8" ht="15.75" hidden="1" thickTop="1" x14ac:dyDescent="0.25">
      <c r="A873" s="2">
        <v>43</v>
      </c>
      <c r="B873" s="2" t="str">
        <f t="shared" si="20"/>
        <v>SORTING_WEST_P_2_21</v>
      </c>
      <c r="C873" s="223" t="s">
        <v>45</v>
      </c>
      <c r="D873" s="223" t="s">
        <v>19</v>
      </c>
      <c r="E873" s="223" t="s">
        <v>41</v>
      </c>
      <c r="F873" s="224">
        <v>2</v>
      </c>
      <c r="G873" s="2">
        <v>21</v>
      </c>
      <c r="H873" s="195">
        <f>VLOOKUP(B873,'21'!$D$7:$K$120,8,0)</f>
        <v>2</v>
      </c>
    </row>
    <row r="874" spans="1:8" ht="15.75" hidden="1" thickTop="1" x14ac:dyDescent="0.25">
      <c r="A874" s="2">
        <v>43</v>
      </c>
      <c r="B874" s="2" t="str">
        <f t="shared" si="20"/>
        <v>SORTING_WEST_O_1_21</v>
      </c>
      <c r="C874" s="223" t="s">
        <v>45</v>
      </c>
      <c r="D874" s="223" t="s">
        <v>19</v>
      </c>
      <c r="E874" s="223" t="s">
        <v>40</v>
      </c>
      <c r="F874" s="224">
        <v>1</v>
      </c>
      <c r="G874" s="2">
        <v>21</v>
      </c>
      <c r="H874" s="195">
        <f>VLOOKUP(B874,'21'!$D$7:$K$120,8,0)</f>
        <v>5</v>
      </c>
    </row>
    <row r="875" spans="1:8" ht="15.75" hidden="1" thickTop="1" x14ac:dyDescent="0.25">
      <c r="A875" s="2">
        <v>43</v>
      </c>
      <c r="B875" s="2" t="str">
        <f t="shared" si="20"/>
        <v>SORTING_WEST_L_2_21</v>
      </c>
      <c r="C875" s="223" t="s">
        <v>45</v>
      </c>
      <c r="D875" s="223" t="s">
        <v>19</v>
      </c>
      <c r="E875" s="223" t="s">
        <v>13</v>
      </c>
      <c r="F875" s="224">
        <v>2</v>
      </c>
      <c r="G875" s="2">
        <v>21</v>
      </c>
      <c r="H875" s="195">
        <f>VLOOKUP(B875,'21'!$D$7:$K$120,8,0)</f>
        <v>7</v>
      </c>
    </row>
    <row r="876" spans="1:8" ht="15.75" hidden="1" thickTop="1" x14ac:dyDescent="0.25">
      <c r="A876" s="2">
        <v>43</v>
      </c>
      <c r="B876" s="2" t="str">
        <f t="shared" si="20"/>
        <v>SORTING_WEST_N_1_21</v>
      </c>
      <c r="C876" s="223" t="s">
        <v>45</v>
      </c>
      <c r="D876" s="223" t="s">
        <v>19</v>
      </c>
      <c r="E876" s="223" t="s">
        <v>15</v>
      </c>
      <c r="F876" s="224">
        <v>1</v>
      </c>
      <c r="G876" s="2">
        <v>21</v>
      </c>
      <c r="H876" s="195">
        <f>VLOOKUP(B876,'21'!$D$7:$K$120,8,0)</f>
        <v>9</v>
      </c>
    </row>
    <row r="877" spans="1:8" ht="15.75" hidden="1" thickTop="1" x14ac:dyDescent="0.25">
      <c r="A877" s="2">
        <v>43</v>
      </c>
      <c r="B877" s="2" t="str">
        <f t="shared" si="20"/>
        <v>SORTING_WEST_J_2_21</v>
      </c>
      <c r="C877" s="223" t="s">
        <v>45</v>
      </c>
      <c r="D877" s="223" t="s">
        <v>19</v>
      </c>
      <c r="E877" s="223" t="s">
        <v>11</v>
      </c>
      <c r="F877" s="224">
        <v>2</v>
      </c>
      <c r="G877" s="2">
        <v>21</v>
      </c>
      <c r="H877" s="195">
        <f>VLOOKUP(B877,'21'!$D$7:$K$120,8,0)</f>
        <v>11</v>
      </c>
    </row>
    <row r="878" spans="1:8" ht="15.75" hidden="1" thickTop="1" x14ac:dyDescent="0.25">
      <c r="A878" s="2">
        <v>43</v>
      </c>
      <c r="B878" s="2" t="str">
        <f t="shared" si="20"/>
        <v>SORTING_WEST_Q_1_21</v>
      </c>
      <c r="C878" s="223" t="s">
        <v>45</v>
      </c>
      <c r="D878" s="223" t="s">
        <v>19</v>
      </c>
      <c r="E878" s="223" t="s">
        <v>59</v>
      </c>
      <c r="F878" s="224">
        <v>1</v>
      </c>
      <c r="G878" s="195">
        <v>21</v>
      </c>
      <c r="H878" s="195">
        <f>VLOOKUP(B878,'21'!$D$7:$K$120,8,0)</f>
        <v>13</v>
      </c>
    </row>
    <row r="879" spans="1:8" ht="15.75" hidden="1" thickTop="1" x14ac:dyDescent="0.25">
      <c r="A879" s="2">
        <v>43</v>
      </c>
      <c r="B879" s="2" t="str">
        <f t="shared" si="20"/>
        <v>SORTING_WEST_F_2_21</v>
      </c>
      <c r="C879" s="223" t="s">
        <v>45</v>
      </c>
      <c r="D879" s="223" t="s">
        <v>19</v>
      </c>
      <c r="E879" s="223" t="s">
        <v>7</v>
      </c>
      <c r="F879" s="224">
        <v>2</v>
      </c>
      <c r="G879" s="2">
        <v>21</v>
      </c>
      <c r="H879" s="195">
        <f>VLOOKUP(B879,'21'!$D$7:$K$120,8,0)</f>
        <v>16</v>
      </c>
    </row>
    <row r="880" spans="1:8" ht="15.75" hidden="1" thickTop="1" x14ac:dyDescent="0.25">
      <c r="A880" s="2">
        <v>43</v>
      </c>
      <c r="B880" s="2" t="str">
        <f t="shared" si="20"/>
        <v>SORTING_WEST_M_1_21</v>
      </c>
      <c r="C880" s="223" t="s">
        <v>45</v>
      </c>
      <c r="D880" s="223" t="s">
        <v>19</v>
      </c>
      <c r="E880" s="223" t="s">
        <v>14</v>
      </c>
      <c r="F880" s="224">
        <v>1</v>
      </c>
      <c r="G880" s="2">
        <v>21</v>
      </c>
      <c r="H880" s="195">
        <f>VLOOKUP(B880,'21'!$D$7:$K$120,8,0)</f>
        <v>18</v>
      </c>
    </row>
    <row r="881" spans="1:8" ht="15.75" hidden="1" thickTop="1" x14ac:dyDescent="0.25">
      <c r="A881" s="2">
        <v>43</v>
      </c>
      <c r="B881" s="2" t="str">
        <f t="shared" si="20"/>
        <v>TRANSFER_EAST_UNP_1_21</v>
      </c>
      <c r="C881" s="223" t="s">
        <v>21</v>
      </c>
      <c r="D881" s="223" t="s">
        <v>18</v>
      </c>
      <c r="E881" s="223" t="s">
        <v>42</v>
      </c>
      <c r="F881" s="224">
        <v>1</v>
      </c>
      <c r="G881" s="2">
        <v>21</v>
      </c>
      <c r="H881" s="195">
        <f>VLOOKUP(B881,'21'!$D$7:$K$120,8,0)</f>
        <v>2</v>
      </c>
    </row>
    <row r="882" spans="1:8" ht="15.75" hidden="1" thickTop="1" x14ac:dyDescent="0.25">
      <c r="A882" s="2">
        <v>43</v>
      </c>
      <c r="B882" s="2" t="str">
        <f t="shared" si="20"/>
        <v>TRANSFER_EAST_A_2_21</v>
      </c>
      <c r="C882" s="223" t="s">
        <v>21</v>
      </c>
      <c r="D882" s="223" t="s">
        <v>18</v>
      </c>
      <c r="E882" s="352" t="s">
        <v>2</v>
      </c>
      <c r="F882" s="224">
        <v>2</v>
      </c>
      <c r="G882" s="2">
        <v>21</v>
      </c>
      <c r="H882" s="195">
        <f>VLOOKUP(B882,'21'!$D$7:$K$120,8,0)</f>
        <v>4</v>
      </c>
    </row>
    <row r="883" spans="1:8" ht="15.75" hidden="1" thickTop="1" x14ac:dyDescent="0.25">
      <c r="A883" s="2">
        <v>43</v>
      </c>
      <c r="B883" s="2" t="str">
        <f t="shared" si="20"/>
        <v>TRANSFER_EAST_C/U_1_21</v>
      </c>
      <c r="C883" s="223" t="s">
        <v>21</v>
      </c>
      <c r="D883" s="223" t="s">
        <v>18</v>
      </c>
      <c r="E883" s="352" t="s">
        <v>67</v>
      </c>
      <c r="F883" s="224">
        <v>1</v>
      </c>
      <c r="G883" s="2">
        <v>21</v>
      </c>
      <c r="H883" s="195">
        <f>VLOOKUP(B883,'21'!$D$7:$K$120,8,0)</f>
        <v>5</v>
      </c>
    </row>
    <row r="884" spans="1:8" ht="15.75" hidden="1" thickTop="1" x14ac:dyDescent="0.25">
      <c r="A884" s="2">
        <v>43</v>
      </c>
      <c r="B884" s="2" t="str">
        <f t="shared" si="20"/>
        <v>TRANSFER_EAST_C_2_21</v>
      </c>
      <c r="C884" s="223" t="s">
        <v>21</v>
      </c>
      <c r="D884" s="223" t="s">
        <v>18</v>
      </c>
      <c r="E884" s="223" t="s">
        <v>4</v>
      </c>
      <c r="F884" s="224">
        <v>2</v>
      </c>
      <c r="G884" s="2">
        <v>21</v>
      </c>
      <c r="H884" s="195">
        <f>VLOOKUP(B884,'21'!$D$7:$K$120,8,0)</f>
        <v>7</v>
      </c>
    </row>
    <row r="885" spans="1:8" ht="15.75" hidden="1" thickTop="1" x14ac:dyDescent="0.25">
      <c r="A885" s="2">
        <v>43</v>
      </c>
      <c r="B885" s="2" t="str">
        <f t="shared" si="20"/>
        <v>TRANSFER_EAST_I_1_21</v>
      </c>
      <c r="C885" s="223" t="s">
        <v>21</v>
      </c>
      <c r="D885" s="223" t="s">
        <v>18</v>
      </c>
      <c r="E885" s="223" t="s">
        <v>10</v>
      </c>
      <c r="F885" s="224">
        <v>1</v>
      </c>
      <c r="G885" s="2">
        <v>21</v>
      </c>
      <c r="H885" s="195">
        <f>VLOOKUP(B885,'21'!$D$7:$K$120,8,0)</f>
        <v>9</v>
      </c>
    </row>
    <row r="886" spans="1:8" ht="15.75" hidden="1" thickTop="1" x14ac:dyDescent="0.25">
      <c r="A886" s="2">
        <v>43</v>
      </c>
      <c r="B886" s="2" t="str">
        <f t="shared" si="20"/>
        <v>TRANSFER_EAST_G_2_21</v>
      </c>
      <c r="C886" s="223" t="s">
        <v>21</v>
      </c>
      <c r="D886" s="223" t="s">
        <v>18</v>
      </c>
      <c r="E886" s="223" t="s">
        <v>8</v>
      </c>
      <c r="F886" s="224">
        <v>2</v>
      </c>
      <c r="G886" s="2">
        <v>21</v>
      </c>
      <c r="H886" s="195">
        <f>VLOOKUP(B886,'21'!$D$7:$K$120,8,0)</f>
        <v>11</v>
      </c>
    </row>
    <row r="887" spans="1:8" ht="15.75" hidden="1" thickTop="1" x14ac:dyDescent="0.25">
      <c r="A887" s="2">
        <v>43</v>
      </c>
      <c r="B887" s="2" t="str">
        <f t="shared" si="20"/>
        <v>TRANSFER_EAST_B_1_21</v>
      </c>
      <c r="C887" s="223" t="s">
        <v>21</v>
      </c>
      <c r="D887" s="223" t="s">
        <v>18</v>
      </c>
      <c r="E887" s="223" t="s">
        <v>3</v>
      </c>
      <c r="F887" s="224">
        <v>1</v>
      </c>
      <c r="G887" s="2">
        <v>21</v>
      </c>
      <c r="H887" s="195">
        <f>VLOOKUP(B887,'21'!$D$7:$K$120,8,0)</f>
        <v>13</v>
      </c>
    </row>
    <row r="888" spans="1:8" ht="15.75" hidden="1" thickTop="1" x14ac:dyDescent="0.25">
      <c r="A888" s="2">
        <v>43</v>
      </c>
      <c r="B888" s="2" t="str">
        <f t="shared" si="20"/>
        <v>TRANSFER_EAST_E_2_21</v>
      </c>
      <c r="C888" s="223" t="s">
        <v>21</v>
      </c>
      <c r="D888" s="223" t="s">
        <v>18</v>
      </c>
      <c r="E888" s="223" t="s">
        <v>6</v>
      </c>
      <c r="F888" s="224">
        <v>2</v>
      </c>
      <c r="G888" s="2">
        <v>21</v>
      </c>
      <c r="H888" s="195">
        <f>VLOOKUP(B888,'21'!$D$7:$K$120,8,0)</f>
        <v>15</v>
      </c>
    </row>
    <row r="889" spans="1:8" ht="15.75" hidden="1" thickTop="1" x14ac:dyDescent="0.25">
      <c r="A889" s="2">
        <v>43</v>
      </c>
      <c r="B889" s="2" t="str">
        <f t="shared" si="20"/>
        <v>TRANSFER_EAST_D_1_21</v>
      </c>
      <c r="C889" s="223" t="s">
        <v>21</v>
      </c>
      <c r="D889" s="223" t="s">
        <v>18</v>
      </c>
      <c r="E889" s="223" t="s">
        <v>47</v>
      </c>
      <c r="F889" s="224">
        <v>1</v>
      </c>
      <c r="G889" s="2">
        <v>21</v>
      </c>
      <c r="H889" s="195">
        <f>VLOOKUP(B889,'21'!$D$7:$K$120,8,0)</f>
        <v>18</v>
      </c>
    </row>
    <row r="890" spans="1:8" ht="15.75" hidden="1" thickTop="1" x14ac:dyDescent="0.25">
      <c r="A890" s="2">
        <v>43</v>
      </c>
      <c r="B890" s="2" t="str">
        <f t="shared" si="20"/>
        <v>TRANSFER_EAST_K_2_21</v>
      </c>
      <c r="C890" s="223" t="s">
        <v>21</v>
      </c>
      <c r="D890" s="223" t="s">
        <v>18</v>
      </c>
      <c r="E890" s="223" t="s">
        <v>12</v>
      </c>
      <c r="F890" s="224">
        <v>2</v>
      </c>
      <c r="G890" s="2">
        <v>21</v>
      </c>
      <c r="H890" s="195">
        <f>VLOOKUP(B890,'21'!$D$7:$K$120,8,0)</f>
        <v>21</v>
      </c>
    </row>
    <row r="891" spans="1:8" ht="15.75" hidden="1" thickTop="1" x14ac:dyDescent="0.25">
      <c r="A891" s="2">
        <v>43</v>
      </c>
      <c r="B891" s="2" t="str">
        <f t="shared" si="20"/>
        <v>TRANSFER_WEST_H_1_21</v>
      </c>
      <c r="C891" s="223" t="s">
        <v>21</v>
      </c>
      <c r="D891" s="223" t="s">
        <v>19</v>
      </c>
      <c r="E891" s="223" t="s">
        <v>9</v>
      </c>
      <c r="F891" s="224">
        <v>1</v>
      </c>
      <c r="G891" s="2">
        <v>21</v>
      </c>
      <c r="H891" s="195">
        <f>VLOOKUP(B891,'21'!$D$7:$K$120,8,0)</f>
        <v>2</v>
      </c>
    </row>
    <row r="892" spans="1:8" ht="15.75" hidden="1" thickTop="1" x14ac:dyDescent="0.25">
      <c r="A892" s="2">
        <v>43</v>
      </c>
      <c r="B892" s="2" t="str">
        <f t="shared" si="20"/>
        <v>TRANSFER_WEST_P_2_21</v>
      </c>
      <c r="C892" s="223" t="s">
        <v>21</v>
      </c>
      <c r="D892" s="223" t="s">
        <v>19</v>
      </c>
      <c r="E892" s="223" t="s">
        <v>41</v>
      </c>
      <c r="F892" s="224">
        <v>2</v>
      </c>
      <c r="G892" s="2">
        <v>21</v>
      </c>
      <c r="H892" s="195">
        <f>VLOOKUP(B892,'21'!$D$7:$K$120,8,0)</f>
        <v>5</v>
      </c>
    </row>
    <row r="893" spans="1:8" ht="15.75" hidden="1" thickTop="1" x14ac:dyDescent="0.25">
      <c r="A893" s="2">
        <v>43</v>
      </c>
      <c r="B893" s="2" t="str">
        <f t="shared" si="20"/>
        <v>TRANSFER_WEST_O_1_21</v>
      </c>
      <c r="C893" s="223" t="s">
        <v>21</v>
      </c>
      <c r="D893" s="223" t="s">
        <v>19</v>
      </c>
      <c r="E893" s="223" t="s">
        <v>40</v>
      </c>
      <c r="F893" s="224">
        <v>1</v>
      </c>
      <c r="G893" s="2">
        <v>21</v>
      </c>
      <c r="H893" s="195">
        <f>VLOOKUP(B893,'21'!$D$7:$K$120,8,0)</f>
        <v>7</v>
      </c>
    </row>
    <row r="894" spans="1:8" ht="15.75" hidden="1" thickTop="1" x14ac:dyDescent="0.25">
      <c r="A894" s="2">
        <v>43</v>
      </c>
      <c r="B894" s="2" t="str">
        <f t="shared" si="20"/>
        <v>TRANSFER_WEST_L_2_21</v>
      </c>
      <c r="C894" s="223" t="s">
        <v>21</v>
      </c>
      <c r="D894" s="223" t="s">
        <v>19</v>
      </c>
      <c r="E894" s="223" t="s">
        <v>13</v>
      </c>
      <c r="F894" s="224">
        <v>2</v>
      </c>
      <c r="G894" s="2">
        <v>21</v>
      </c>
      <c r="H894" s="195">
        <f>VLOOKUP(B894,'21'!$D$7:$K$120,8,0)</f>
        <v>9</v>
      </c>
    </row>
    <row r="895" spans="1:8" ht="15.75" hidden="1" thickTop="1" x14ac:dyDescent="0.25">
      <c r="A895" s="2">
        <v>43</v>
      </c>
      <c r="B895" s="2" t="str">
        <f t="shared" si="20"/>
        <v>TRANSFER_WEST_N_1_21</v>
      </c>
      <c r="C895" s="223" t="s">
        <v>21</v>
      </c>
      <c r="D895" s="223" t="s">
        <v>19</v>
      </c>
      <c r="E895" s="223" t="s">
        <v>15</v>
      </c>
      <c r="F895" s="224">
        <v>1</v>
      </c>
      <c r="G895" s="2">
        <v>21</v>
      </c>
      <c r="H895" s="195">
        <f>VLOOKUP(B895,'21'!$D$7:$K$120,8,0)</f>
        <v>11</v>
      </c>
    </row>
    <row r="896" spans="1:8" ht="15.75" hidden="1" thickTop="1" x14ac:dyDescent="0.25">
      <c r="A896" s="2">
        <v>43</v>
      </c>
      <c r="B896" s="2" t="str">
        <f t="shared" si="20"/>
        <v>TRANSFER_WEST_J_2_21</v>
      </c>
      <c r="C896" s="223" t="s">
        <v>21</v>
      </c>
      <c r="D896" s="223" t="s">
        <v>19</v>
      </c>
      <c r="E896" s="223" t="s">
        <v>11</v>
      </c>
      <c r="F896" s="224">
        <v>2</v>
      </c>
      <c r="G896" s="2">
        <v>21</v>
      </c>
      <c r="H896" s="195">
        <f>VLOOKUP(B896,'21'!$D$7:$K$120,8,0)</f>
        <v>13</v>
      </c>
    </row>
    <row r="897" spans="1:8" ht="15.75" hidden="1" thickTop="1" x14ac:dyDescent="0.25">
      <c r="A897" s="2">
        <v>43</v>
      </c>
      <c r="B897" s="2" t="str">
        <f t="shared" si="20"/>
        <v>TRANSFER_WEST_Q_1_21</v>
      </c>
      <c r="C897" s="223" t="s">
        <v>21</v>
      </c>
      <c r="D897" s="223" t="s">
        <v>19</v>
      </c>
      <c r="E897" s="223" t="s">
        <v>59</v>
      </c>
      <c r="F897" s="224">
        <v>1</v>
      </c>
      <c r="G897" s="195">
        <v>21</v>
      </c>
      <c r="H897" s="195">
        <f>VLOOKUP(B897,'21'!$D$7:$K$120,8,0)</f>
        <v>16</v>
      </c>
    </row>
    <row r="898" spans="1:8" ht="15.75" hidden="1" thickTop="1" x14ac:dyDescent="0.25">
      <c r="A898" s="2">
        <v>43</v>
      </c>
      <c r="B898" s="2" t="str">
        <f t="shared" si="20"/>
        <v>TRANSFER_WEST_F_2_21</v>
      </c>
      <c r="C898" s="223" t="s">
        <v>21</v>
      </c>
      <c r="D898" s="223" t="s">
        <v>19</v>
      </c>
      <c r="E898" s="223" t="s">
        <v>7</v>
      </c>
      <c r="F898" s="224">
        <v>2</v>
      </c>
      <c r="G898" s="2">
        <v>21</v>
      </c>
      <c r="H898" s="195">
        <f>VLOOKUP(B898,'21'!$D$7:$K$120,8,0)</f>
        <v>18</v>
      </c>
    </row>
    <row r="899" spans="1:8" ht="15.75" hidden="1" thickTop="1" x14ac:dyDescent="0.25">
      <c r="A899" s="2">
        <v>43</v>
      </c>
      <c r="B899" s="2" t="str">
        <f t="shared" si="20"/>
        <v>TRANSFER_WEST_M_1_21</v>
      </c>
      <c r="C899" s="223" t="s">
        <v>21</v>
      </c>
      <c r="D899" s="223" t="s">
        <v>19</v>
      </c>
      <c r="E899" s="223" t="s">
        <v>14</v>
      </c>
      <c r="F899" s="224">
        <v>1</v>
      </c>
      <c r="G899" s="2">
        <v>21</v>
      </c>
      <c r="H899" s="195">
        <f>VLOOKUP(B899,'21'!$D$7:$K$120,8,0)</f>
        <v>21</v>
      </c>
    </row>
    <row r="900" spans="1:8" ht="15.75" hidden="1" thickTop="1" x14ac:dyDescent="0.25">
      <c r="A900" s="2">
        <v>43</v>
      </c>
      <c r="B900" s="2" t="str">
        <f t="shared" si="20"/>
        <v>PREPARE_EAST_UNP_1_21</v>
      </c>
      <c r="C900" s="223" t="s">
        <v>46</v>
      </c>
      <c r="D900" s="223" t="s">
        <v>18</v>
      </c>
      <c r="E900" s="223" t="s">
        <v>42</v>
      </c>
      <c r="F900" s="224">
        <v>1</v>
      </c>
      <c r="G900" s="2">
        <v>21</v>
      </c>
      <c r="H900" s="195">
        <f>VLOOKUP(B900,'21'!$D$7:$K$120,8,0)</f>
        <v>19</v>
      </c>
    </row>
    <row r="901" spans="1:8" ht="15.75" hidden="1" thickTop="1" x14ac:dyDescent="0.25">
      <c r="A901" s="2">
        <v>43</v>
      </c>
      <c r="B901" s="2" t="str">
        <f t="shared" si="20"/>
        <v>PREPARE_EAST_A_2_21</v>
      </c>
      <c r="C901" s="223" t="s">
        <v>46</v>
      </c>
      <c r="D901" s="223" t="s">
        <v>18</v>
      </c>
      <c r="E901" s="352" t="s">
        <v>2</v>
      </c>
      <c r="F901" s="224">
        <v>2</v>
      </c>
      <c r="G901" s="2">
        <v>21</v>
      </c>
      <c r="H901" s="195">
        <f>VLOOKUP(B901,'21'!$D$7:$K$120,8,0)</f>
        <v>21</v>
      </c>
    </row>
    <row r="902" spans="1:8" ht="15.75" hidden="1" thickTop="1" x14ac:dyDescent="0.25">
      <c r="A902" s="2">
        <v>43</v>
      </c>
      <c r="B902" s="2" t="str">
        <f t="shared" si="20"/>
        <v>PREPARE_EAST_C/U_1_21</v>
      </c>
      <c r="C902" s="223" t="s">
        <v>46</v>
      </c>
      <c r="D902" s="223" t="s">
        <v>18</v>
      </c>
      <c r="E902" s="352" t="s">
        <v>67</v>
      </c>
      <c r="F902" s="224">
        <v>1</v>
      </c>
      <c r="G902" s="2">
        <v>21</v>
      </c>
      <c r="H902" s="195">
        <f>VLOOKUP(B902,'21'!$D$7:$K$120,8,0)</f>
        <v>21</v>
      </c>
    </row>
    <row r="903" spans="1:8" ht="15.75" hidden="1" thickTop="1" x14ac:dyDescent="0.25">
      <c r="A903" s="2">
        <v>43</v>
      </c>
      <c r="B903" s="2" t="str">
        <f t="shared" si="20"/>
        <v>PREPARE_EAST_C_2_21</v>
      </c>
      <c r="C903" s="223" t="s">
        <v>46</v>
      </c>
      <c r="D903" s="223" t="s">
        <v>18</v>
      </c>
      <c r="E903" s="223" t="s">
        <v>4</v>
      </c>
      <c r="F903" s="224">
        <v>2</v>
      </c>
      <c r="G903" s="2">
        <v>21</v>
      </c>
      <c r="H903" s="195">
        <f>VLOOKUP(B903,'21'!$D$7:$K$120,8,0)</f>
        <v>23</v>
      </c>
    </row>
    <row r="904" spans="1:8" ht="15.75" hidden="1" thickTop="1" x14ac:dyDescent="0.25">
      <c r="A904" s="2">
        <v>43</v>
      </c>
      <c r="B904" s="2" t="str">
        <f t="shared" si="20"/>
        <v>PREPARE_EAST_I_1_21</v>
      </c>
      <c r="C904" s="223" t="s">
        <v>46</v>
      </c>
      <c r="D904" s="223" t="s">
        <v>18</v>
      </c>
      <c r="E904" s="223" t="s">
        <v>10</v>
      </c>
      <c r="F904" s="224">
        <v>1</v>
      </c>
      <c r="G904" s="2">
        <v>21</v>
      </c>
      <c r="H904" s="195">
        <f>VLOOKUP(B904,'21'!$D$7:$K$120,8,0)</f>
        <v>25</v>
      </c>
    </row>
    <row r="905" spans="1:8" ht="15.75" hidden="1" thickTop="1" x14ac:dyDescent="0.25">
      <c r="A905" s="2">
        <v>43</v>
      </c>
      <c r="B905" s="2" t="str">
        <f t="shared" si="20"/>
        <v>PREPARE_EAST_G_2_21</v>
      </c>
      <c r="C905" s="223" t="s">
        <v>46</v>
      </c>
      <c r="D905" s="223" t="s">
        <v>18</v>
      </c>
      <c r="E905" s="223" t="s">
        <v>8</v>
      </c>
      <c r="F905" s="224">
        <v>2</v>
      </c>
      <c r="G905" s="2">
        <v>21</v>
      </c>
      <c r="H905" s="195">
        <f>VLOOKUP(B905,'21'!$D$7:$K$120,8,0)</f>
        <v>27</v>
      </c>
    </row>
    <row r="906" spans="1:8" ht="15.75" hidden="1" thickTop="1" x14ac:dyDescent="0.25">
      <c r="A906" s="2">
        <v>43</v>
      </c>
      <c r="B906" s="2" t="str">
        <f t="shared" si="20"/>
        <v>PREPARE_EAST_B_1_21</v>
      </c>
      <c r="C906" s="223" t="s">
        <v>46</v>
      </c>
      <c r="D906" s="223" t="s">
        <v>18</v>
      </c>
      <c r="E906" s="223" t="s">
        <v>3</v>
      </c>
      <c r="F906" s="224">
        <v>1</v>
      </c>
      <c r="G906" s="2">
        <v>21</v>
      </c>
      <c r="H906" s="195">
        <f>VLOOKUP(B906,'21'!$D$7:$K$120,8,0)</f>
        <v>30</v>
      </c>
    </row>
    <row r="907" spans="1:8" ht="15.75" hidden="1" thickTop="1" x14ac:dyDescent="0.25">
      <c r="A907" s="2">
        <v>43</v>
      </c>
      <c r="B907" s="2" t="str">
        <f t="shared" si="20"/>
        <v>PREPARE_EAST_E_2_21</v>
      </c>
      <c r="C907" s="223" t="s">
        <v>46</v>
      </c>
      <c r="D907" s="223" t="s">
        <v>18</v>
      </c>
      <c r="E907" s="223" t="s">
        <v>6</v>
      </c>
      <c r="F907" s="224">
        <v>2</v>
      </c>
      <c r="G907" s="2">
        <v>21</v>
      </c>
      <c r="H907" s="195">
        <f>VLOOKUP(B907,'21'!$D$7:$K$120,8,0)</f>
        <v>33</v>
      </c>
    </row>
    <row r="908" spans="1:8" ht="15.75" hidden="1" thickTop="1" x14ac:dyDescent="0.25">
      <c r="A908" s="2">
        <v>43</v>
      </c>
      <c r="B908" s="2" t="str">
        <f t="shared" si="20"/>
        <v>PREPARE_EAST_D_1_21</v>
      </c>
      <c r="C908" s="223" t="s">
        <v>46</v>
      </c>
      <c r="D908" s="223" t="s">
        <v>18</v>
      </c>
      <c r="E908" s="223" t="s">
        <v>47</v>
      </c>
      <c r="F908" s="224">
        <v>1</v>
      </c>
      <c r="G908" s="2">
        <v>21</v>
      </c>
      <c r="H908" s="195">
        <f>VLOOKUP(B908,'21'!$D$7:$K$120,8,0)</f>
        <v>35</v>
      </c>
    </row>
    <row r="909" spans="1:8" ht="15.75" hidden="1" thickTop="1" x14ac:dyDescent="0.25">
      <c r="A909" s="2">
        <v>43</v>
      </c>
      <c r="B909" s="2" t="str">
        <f t="shared" si="20"/>
        <v>PREPARE_EAST_K_2_21</v>
      </c>
      <c r="C909" s="223" t="s">
        <v>46</v>
      </c>
      <c r="D909" s="223" t="s">
        <v>18</v>
      </c>
      <c r="E909" s="223" t="s">
        <v>12</v>
      </c>
      <c r="F909" s="224">
        <v>2</v>
      </c>
      <c r="G909" s="2">
        <v>21</v>
      </c>
      <c r="H909" s="195">
        <f>VLOOKUP(B909,'21'!$D$7:$K$120,8,0)</f>
        <v>38</v>
      </c>
    </row>
    <row r="910" spans="1:8" ht="15.75" hidden="1" thickTop="1" x14ac:dyDescent="0.25">
      <c r="A910" s="2">
        <v>43</v>
      </c>
      <c r="B910" s="2" t="str">
        <f t="shared" si="20"/>
        <v>PREPARE_WEST_H_1_21</v>
      </c>
      <c r="C910" s="223" t="s">
        <v>46</v>
      </c>
      <c r="D910" s="223" t="s">
        <v>19</v>
      </c>
      <c r="E910" s="223" t="s">
        <v>9</v>
      </c>
      <c r="F910" s="224">
        <v>1</v>
      </c>
      <c r="G910" s="2">
        <v>21</v>
      </c>
      <c r="H910" s="195">
        <f>VLOOKUP(B910,'21'!$D$7:$K$120,8,0)</f>
        <v>20</v>
      </c>
    </row>
    <row r="911" spans="1:8" ht="15.75" hidden="1" thickTop="1" x14ac:dyDescent="0.25">
      <c r="A911" s="2">
        <v>43</v>
      </c>
      <c r="B911" s="2" t="str">
        <f t="shared" si="20"/>
        <v>PREPARE_WEST_P_2_21</v>
      </c>
      <c r="C911" s="223" t="s">
        <v>46</v>
      </c>
      <c r="D911" s="223" t="s">
        <v>19</v>
      </c>
      <c r="E911" s="223" t="s">
        <v>41</v>
      </c>
      <c r="F911" s="224">
        <v>2</v>
      </c>
      <c r="G911" s="2">
        <v>21</v>
      </c>
      <c r="H911" s="195">
        <f>VLOOKUP(B911,'21'!$D$7:$K$120,8,0)</f>
        <v>22</v>
      </c>
    </row>
    <row r="912" spans="1:8" ht="15.75" hidden="1" thickTop="1" x14ac:dyDescent="0.25">
      <c r="A912" s="2">
        <v>43</v>
      </c>
      <c r="B912" s="2" t="str">
        <f t="shared" si="20"/>
        <v>PREPARE_WEST_O_1_21</v>
      </c>
      <c r="C912" s="223" t="s">
        <v>46</v>
      </c>
      <c r="D912" s="223" t="s">
        <v>19</v>
      </c>
      <c r="E912" s="223" t="s">
        <v>40</v>
      </c>
      <c r="F912" s="224">
        <v>1</v>
      </c>
      <c r="G912" s="2">
        <v>21</v>
      </c>
      <c r="H912" s="195">
        <f>VLOOKUP(B912,'21'!$D$7:$K$120,8,0)</f>
        <v>25</v>
      </c>
    </row>
    <row r="913" spans="1:8" ht="15.75" hidden="1" thickTop="1" x14ac:dyDescent="0.25">
      <c r="A913" s="2">
        <v>43</v>
      </c>
      <c r="B913" s="2" t="str">
        <f t="shared" si="20"/>
        <v>PREPARE_WEST_L_2_21</v>
      </c>
      <c r="C913" s="223" t="s">
        <v>46</v>
      </c>
      <c r="D913" s="223" t="s">
        <v>19</v>
      </c>
      <c r="E913" s="223" t="s">
        <v>13</v>
      </c>
      <c r="F913" s="224">
        <v>2</v>
      </c>
      <c r="G913" s="2">
        <v>21</v>
      </c>
      <c r="H913" s="195">
        <f>VLOOKUP(B913,'21'!$D$7:$K$120,8,0)</f>
        <v>27</v>
      </c>
    </row>
    <row r="914" spans="1:8" ht="15.75" hidden="1" thickTop="1" x14ac:dyDescent="0.25">
      <c r="A914" s="2">
        <v>43</v>
      </c>
      <c r="B914" s="2" t="str">
        <f t="shared" si="20"/>
        <v>PREPARE_WEST_N_1_21</v>
      </c>
      <c r="C914" s="223" t="s">
        <v>46</v>
      </c>
      <c r="D914" s="223" t="s">
        <v>19</v>
      </c>
      <c r="E914" s="223" t="s">
        <v>15</v>
      </c>
      <c r="F914" s="224">
        <v>1</v>
      </c>
      <c r="G914" s="2">
        <v>21</v>
      </c>
      <c r="H914" s="195">
        <f>VLOOKUP(B914,'21'!$D$7:$K$120,8,0)</f>
        <v>29</v>
      </c>
    </row>
    <row r="915" spans="1:8" ht="15.75" hidden="1" thickTop="1" x14ac:dyDescent="0.25">
      <c r="A915" s="2">
        <v>43</v>
      </c>
      <c r="B915" s="2" t="str">
        <f t="shared" si="20"/>
        <v>PREPARE_WEST_J_2_21</v>
      </c>
      <c r="C915" s="223" t="s">
        <v>46</v>
      </c>
      <c r="D915" s="223" t="s">
        <v>19</v>
      </c>
      <c r="E915" s="223" t="s">
        <v>11</v>
      </c>
      <c r="F915" s="224">
        <v>2</v>
      </c>
      <c r="G915" s="2">
        <v>21</v>
      </c>
      <c r="H915" s="195">
        <f>VLOOKUP(B915,'21'!$D$7:$K$120,8,0)</f>
        <v>32</v>
      </c>
    </row>
    <row r="916" spans="1:8" ht="15.75" hidden="1" thickTop="1" x14ac:dyDescent="0.25">
      <c r="A916" s="2">
        <v>43</v>
      </c>
      <c r="B916" s="2" t="str">
        <f t="shared" si="20"/>
        <v>PREPARE_WEST_Q_1_21</v>
      </c>
      <c r="C916" s="223" t="s">
        <v>46</v>
      </c>
      <c r="D916" s="223" t="s">
        <v>19</v>
      </c>
      <c r="E916" s="223" t="s">
        <v>59</v>
      </c>
      <c r="F916" s="224">
        <v>1</v>
      </c>
      <c r="G916" s="195">
        <v>21</v>
      </c>
      <c r="H916" s="195">
        <f>VLOOKUP(B916,'21'!$D$7:$K$120,8,0)</f>
        <v>34</v>
      </c>
    </row>
    <row r="917" spans="1:8" ht="15.75" hidden="1" thickTop="1" x14ac:dyDescent="0.25">
      <c r="A917" s="2">
        <v>43</v>
      </c>
      <c r="B917" s="2" t="str">
        <f t="shared" si="20"/>
        <v>PREPARE_WEST_F_2_21</v>
      </c>
      <c r="C917" s="223" t="s">
        <v>46</v>
      </c>
      <c r="D917" s="223" t="s">
        <v>19</v>
      </c>
      <c r="E917" s="223" t="s">
        <v>7</v>
      </c>
      <c r="F917" s="224">
        <v>2</v>
      </c>
      <c r="G917" s="2">
        <v>21</v>
      </c>
      <c r="H917" s="195">
        <f>VLOOKUP(B917,'21'!$D$7:$K$120,8,0)</f>
        <v>35</v>
      </c>
    </row>
    <row r="918" spans="1:8" ht="15.75" hidden="1" thickTop="1" x14ac:dyDescent="0.25">
      <c r="A918" s="2">
        <v>43</v>
      </c>
      <c r="B918" s="2" t="str">
        <f t="shared" si="20"/>
        <v>PREPARE_WEST_M_1_21</v>
      </c>
      <c r="C918" s="223" t="s">
        <v>46</v>
      </c>
      <c r="D918" s="223" t="s">
        <v>19</v>
      </c>
      <c r="E918" s="223" t="s">
        <v>14</v>
      </c>
      <c r="F918" s="224">
        <v>1</v>
      </c>
      <c r="G918" s="2">
        <v>21</v>
      </c>
      <c r="H918" s="195">
        <f>VLOOKUP(B918,'21'!$D$7:$K$120,8,0)</f>
        <v>37</v>
      </c>
    </row>
    <row r="919" spans="1:8" ht="15.75" hidden="1" thickTop="1" x14ac:dyDescent="0.25">
      <c r="A919" s="2">
        <v>43</v>
      </c>
      <c r="B919" s="2" t="str">
        <f t="shared" si="20"/>
        <v>SUPPLY_EAST_UNP_1_21</v>
      </c>
      <c r="C919" s="223" t="s">
        <v>0</v>
      </c>
      <c r="D919" s="223" t="s">
        <v>18</v>
      </c>
      <c r="E919" s="223" t="s">
        <v>42</v>
      </c>
      <c r="F919" s="224">
        <v>1</v>
      </c>
      <c r="G919" s="2">
        <v>21</v>
      </c>
      <c r="H919" s="195">
        <f>VLOOKUP(B919,'21'!$D$7:$K$120,8,0)</f>
        <v>0</v>
      </c>
    </row>
    <row r="920" spans="1:8" ht="15.75" hidden="1" thickTop="1" x14ac:dyDescent="0.25">
      <c r="A920" s="2">
        <v>43</v>
      </c>
      <c r="B920" s="2" t="str">
        <f t="shared" si="20"/>
        <v>SUPPLY_EAST_A_2_21</v>
      </c>
      <c r="C920" s="223" t="s">
        <v>0</v>
      </c>
      <c r="D920" s="223" t="s">
        <v>18</v>
      </c>
      <c r="E920" s="352" t="s">
        <v>2</v>
      </c>
      <c r="F920" s="224">
        <v>2</v>
      </c>
      <c r="G920" s="2">
        <v>21</v>
      </c>
      <c r="H920" s="195">
        <f>VLOOKUP(B920,'21'!$D$7:$K$120,8,0)</f>
        <v>2</v>
      </c>
    </row>
    <row r="921" spans="1:8" ht="15.75" hidden="1" thickTop="1" x14ac:dyDescent="0.25">
      <c r="A921" s="2">
        <v>43</v>
      </c>
      <c r="B921" s="2" t="str">
        <f t="shared" si="20"/>
        <v>SUPPLY_EAST_C/U_1_21</v>
      </c>
      <c r="C921" s="223" t="s">
        <v>0</v>
      </c>
      <c r="D921" s="223" t="s">
        <v>18</v>
      </c>
      <c r="E921" s="352" t="s">
        <v>67</v>
      </c>
      <c r="F921" s="224">
        <v>1</v>
      </c>
      <c r="G921" s="2">
        <v>21</v>
      </c>
      <c r="H921" s="195">
        <f>VLOOKUP(B921,'21'!$D$7:$K$120,8,0)</f>
        <v>3</v>
      </c>
    </row>
    <row r="922" spans="1:8" ht="15.75" hidden="1" thickTop="1" x14ac:dyDescent="0.25">
      <c r="A922" s="2">
        <v>43</v>
      </c>
      <c r="B922" s="2" t="str">
        <f t="shared" si="20"/>
        <v>SUPPLY_EAST_C_2_21</v>
      </c>
      <c r="C922" s="223" t="s">
        <v>0</v>
      </c>
      <c r="D922" s="223" t="s">
        <v>18</v>
      </c>
      <c r="E922" s="223" t="s">
        <v>4</v>
      </c>
      <c r="F922" s="224">
        <v>2</v>
      </c>
      <c r="G922" s="2">
        <v>21</v>
      </c>
      <c r="H922" s="195">
        <f>VLOOKUP(B922,'21'!$D$7:$K$120,8,0)</f>
        <v>4</v>
      </c>
    </row>
    <row r="923" spans="1:8" ht="15.75" hidden="1" thickTop="1" x14ac:dyDescent="0.25">
      <c r="A923" s="2">
        <v>43</v>
      </c>
      <c r="B923" s="2" t="str">
        <f t="shared" si="20"/>
        <v>SUPPLY_EAST_I_1_21</v>
      </c>
      <c r="C923" s="223" t="s">
        <v>0</v>
      </c>
      <c r="D923" s="223" t="s">
        <v>18</v>
      </c>
      <c r="E923" s="223" t="s">
        <v>10</v>
      </c>
      <c r="F923" s="224">
        <v>1</v>
      </c>
      <c r="G923" s="2">
        <v>21</v>
      </c>
      <c r="H923" s="195">
        <f>VLOOKUP(B923,'21'!$D$7:$K$120,8,0)</f>
        <v>6</v>
      </c>
    </row>
    <row r="924" spans="1:8" ht="15.75" hidden="1" thickTop="1" x14ac:dyDescent="0.25">
      <c r="A924" s="2">
        <v>43</v>
      </c>
      <c r="B924" s="2" t="str">
        <f t="shared" si="20"/>
        <v>SUPPLY_EAST_G_2_21</v>
      </c>
      <c r="C924" s="223" t="s">
        <v>0</v>
      </c>
      <c r="D924" s="223" t="s">
        <v>18</v>
      </c>
      <c r="E924" s="223" t="s">
        <v>8</v>
      </c>
      <c r="F924" s="224">
        <v>2</v>
      </c>
      <c r="G924" s="2">
        <v>21</v>
      </c>
      <c r="H924" s="195">
        <f>VLOOKUP(B924,'21'!$D$7:$K$120,8,0)</f>
        <v>8</v>
      </c>
    </row>
    <row r="925" spans="1:8" ht="15.75" hidden="1" thickTop="1" x14ac:dyDescent="0.25">
      <c r="A925" s="2">
        <v>43</v>
      </c>
      <c r="B925" s="2" t="str">
        <f t="shared" si="20"/>
        <v>SUPPLY_EAST_B_1_21</v>
      </c>
      <c r="C925" s="223" t="s">
        <v>0</v>
      </c>
      <c r="D925" s="223" t="s">
        <v>18</v>
      </c>
      <c r="E925" s="223" t="s">
        <v>3</v>
      </c>
      <c r="F925" s="224">
        <v>1</v>
      </c>
      <c r="G925" s="2">
        <v>21</v>
      </c>
      <c r="H925" s="195">
        <f>VLOOKUP(B925,'21'!$D$7:$K$120,8,0)</f>
        <v>11</v>
      </c>
    </row>
    <row r="926" spans="1:8" ht="15.75" hidden="1" thickTop="1" x14ac:dyDescent="0.25">
      <c r="A926" s="2">
        <v>43</v>
      </c>
      <c r="B926" s="2" t="str">
        <f t="shared" si="20"/>
        <v>SUPPLY_EAST_E_2_21</v>
      </c>
      <c r="C926" s="223" t="s">
        <v>0</v>
      </c>
      <c r="D926" s="223" t="s">
        <v>18</v>
      </c>
      <c r="E926" s="223" t="s">
        <v>6</v>
      </c>
      <c r="F926" s="224">
        <v>2</v>
      </c>
      <c r="G926" s="2">
        <v>21</v>
      </c>
      <c r="H926" s="195">
        <f>VLOOKUP(B926,'21'!$D$7:$K$120,8,0)</f>
        <v>14</v>
      </c>
    </row>
    <row r="927" spans="1:8" ht="15.75" hidden="1" thickTop="1" x14ac:dyDescent="0.25">
      <c r="A927" s="2">
        <v>43</v>
      </c>
      <c r="B927" s="2" t="str">
        <f t="shared" si="20"/>
        <v>SUPPLY_EAST_D_1_21</v>
      </c>
      <c r="C927" s="223" t="s">
        <v>0</v>
      </c>
      <c r="D927" s="223" t="s">
        <v>18</v>
      </c>
      <c r="E927" s="223" t="s">
        <v>47</v>
      </c>
      <c r="F927" s="224">
        <v>1</v>
      </c>
      <c r="G927" s="2">
        <v>21</v>
      </c>
      <c r="H927" s="195">
        <f>VLOOKUP(B927,'21'!$D$7:$K$120,8,0)</f>
        <v>16</v>
      </c>
    </row>
    <row r="928" spans="1:8" ht="15.75" hidden="1" thickTop="1" x14ac:dyDescent="0.25">
      <c r="A928" s="2">
        <v>43</v>
      </c>
      <c r="B928" s="2" t="str">
        <f t="shared" si="20"/>
        <v>SUPPLY_EAST_K_2_21</v>
      </c>
      <c r="C928" s="223" t="s">
        <v>0</v>
      </c>
      <c r="D928" s="223" t="s">
        <v>18</v>
      </c>
      <c r="E928" s="223" t="s">
        <v>12</v>
      </c>
      <c r="F928" s="224">
        <v>2</v>
      </c>
      <c r="G928" s="2">
        <v>21</v>
      </c>
      <c r="H928" s="195">
        <f>VLOOKUP(B928,'21'!$D$7:$K$120,8,0)</f>
        <v>19</v>
      </c>
    </row>
    <row r="929" spans="1:8" ht="15.75" hidden="1" thickTop="1" x14ac:dyDescent="0.25">
      <c r="A929" s="2">
        <v>43</v>
      </c>
      <c r="B929" s="2" t="str">
        <f t="shared" si="20"/>
        <v>SUPPLY_WEST_H_1_21</v>
      </c>
      <c r="C929" s="223" t="s">
        <v>0</v>
      </c>
      <c r="D929" s="223" t="s">
        <v>19</v>
      </c>
      <c r="E929" s="223" t="s">
        <v>9</v>
      </c>
      <c r="F929" s="224">
        <v>1</v>
      </c>
      <c r="G929" s="2">
        <v>21</v>
      </c>
      <c r="H929" s="195">
        <f>VLOOKUP(B929,'21'!$D$7:$K$120,8,0)</f>
        <v>0</v>
      </c>
    </row>
    <row r="930" spans="1:8" ht="15.75" hidden="1" thickTop="1" x14ac:dyDescent="0.25">
      <c r="A930" s="2">
        <v>43</v>
      </c>
      <c r="B930" s="2" t="str">
        <f t="shared" si="20"/>
        <v>SUPPLY_WEST_P_2_21</v>
      </c>
      <c r="C930" s="223" t="s">
        <v>0</v>
      </c>
      <c r="D930" s="223" t="s">
        <v>19</v>
      </c>
      <c r="E930" s="223" t="s">
        <v>41</v>
      </c>
      <c r="F930" s="224">
        <v>2</v>
      </c>
      <c r="G930" s="2">
        <v>21</v>
      </c>
      <c r="H930" s="195">
        <f>VLOOKUP(B930,'21'!$D$7:$K$120,8,0)</f>
        <v>3</v>
      </c>
    </row>
    <row r="931" spans="1:8" ht="15.75" hidden="1" thickTop="1" x14ac:dyDescent="0.25">
      <c r="A931" s="2">
        <v>43</v>
      </c>
      <c r="B931" s="2" t="str">
        <f t="shared" si="20"/>
        <v>SUPPLY_WEST_O_1_21</v>
      </c>
      <c r="C931" s="223" t="s">
        <v>0</v>
      </c>
      <c r="D931" s="223" t="s">
        <v>19</v>
      </c>
      <c r="E931" s="223" t="s">
        <v>40</v>
      </c>
      <c r="F931" s="224">
        <v>1</v>
      </c>
      <c r="G931" s="2">
        <v>21</v>
      </c>
      <c r="H931" s="195">
        <f>VLOOKUP(B931,'21'!$D$7:$K$120,8,0)</f>
        <v>6</v>
      </c>
    </row>
    <row r="932" spans="1:8" ht="15.75" hidden="1" thickTop="1" x14ac:dyDescent="0.25">
      <c r="A932" s="2">
        <v>43</v>
      </c>
      <c r="B932" s="2" t="str">
        <f t="shared" si="20"/>
        <v>SUPPLY_WEST_L_2_21</v>
      </c>
      <c r="C932" s="223" t="s">
        <v>0</v>
      </c>
      <c r="D932" s="223" t="s">
        <v>19</v>
      </c>
      <c r="E932" s="223" t="s">
        <v>13</v>
      </c>
      <c r="F932" s="224">
        <v>2</v>
      </c>
      <c r="G932" s="2">
        <v>21</v>
      </c>
      <c r="H932" s="195">
        <f>VLOOKUP(B932,'21'!$D$7:$K$120,8,0)</f>
        <v>8</v>
      </c>
    </row>
    <row r="933" spans="1:8" ht="15.75" hidden="1" thickTop="1" x14ac:dyDescent="0.25">
      <c r="A933" s="2">
        <v>43</v>
      </c>
      <c r="B933" s="2" t="str">
        <f t="shared" si="20"/>
        <v>SUPPLY_WEST_N_1_21</v>
      </c>
      <c r="C933" s="223" t="s">
        <v>0</v>
      </c>
      <c r="D933" s="223" t="s">
        <v>19</v>
      </c>
      <c r="E933" s="223" t="s">
        <v>15</v>
      </c>
      <c r="F933" s="224">
        <v>1</v>
      </c>
      <c r="G933" s="2">
        <v>21</v>
      </c>
      <c r="H933" s="195">
        <f>VLOOKUP(B933,'21'!$D$7:$K$120,8,0)</f>
        <v>11</v>
      </c>
    </row>
    <row r="934" spans="1:8" ht="15.75" hidden="1" thickTop="1" x14ac:dyDescent="0.25">
      <c r="A934" s="2">
        <v>43</v>
      </c>
      <c r="B934" s="2" t="str">
        <f t="shared" ref="B934:B997" si="21">C934&amp;"_"&amp;D934&amp;"_"&amp;E934&amp;"_"&amp;F934&amp;"_"&amp;G934</f>
        <v>SUPPLY_WEST_J_2_21</v>
      </c>
      <c r="C934" s="223" t="s">
        <v>0</v>
      </c>
      <c r="D934" s="223" t="s">
        <v>19</v>
      </c>
      <c r="E934" s="223" t="s">
        <v>11</v>
      </c>
      <c r="F934" s="224">
        <v>2</v>
      </c>
      <c r="G934" s="2">
        <v>21</v>
      </c>
      <c r="H934" s="195">
        <f>VLOOKUP(B934,'21'!$D$7:$K$120,8,0)</f>
        <v>13</v>
      </c>
    </row>
    <row r="935" spans="1:8" ht="15.75" hidden="1" thickTop="1" x14ac:dyDescent="0.25">
      <c r="A935" s="2">
        <v>43</v>
      </c>
      <c r="B935" s="2" t="str">
        <f t="shared" si="21"/>
        <v>SUPPLY_WEST_Q_1_21</v>
      </c>
      <c r="C935" s="223" t="s">
        <v>0</v>
      </c>
      <c r="D935" s="223" t="s">
        <v>19</v>
      </c>
      <c r="E935" s="223" t="s">
        <v>59</v>
      </c>
      <c r="F935" s="224">
        <v>1</v>
      </c>
      <c r="G935" s="195">
        <v>21</v>
      </c>
      <c r="H935" s="195">
        <f>VLOOKUP(B935,'21'!$D$7:$K$120,8,0)</f>
        <v>15</v>
      </c>
    </row>
    <row r="936" spans="1:8" ht="15.75" hidden="1" thickTop="1" x14ac:dyDescent="0.25">
      <c r="A936" s="2">
        <v>43</v>
      </c>
      <c r="B936" s="2" t="str">
        <f t="shared" si="21"/>
        <v>SUPPLY_WEST_F_2_21</v>
      </c>
      <c r="C936" s="223" t="s">
        <v>0</v>
      </c>
      <c r="D936" s="223" t="s">
        <v>19</v>
      </c>
      <c r="E936" s="223" t="s">
        <v>7</v>
      </c>
      <c r="F936" s="224">
        <v>2</v>
      </c>
      <c r="G936" s="2">
        <v>21</v>
      </c>
      <c r="H936" s="195">
        <f>VLOOKUP(B936,'21'!$D$7:$K$120,8,0)</f>
        <v>16</v>
      </c>
    </row>
    <row r="937" spans="1:8" ht="15.75" hidden="1" thickTop="1" x14ac:dyDescent="0.25">
      <c r="A937" s="2">
        <v>43</v>
      </c>
      <c r="B937" s="2" t="str">
        <f t="shared" si="21"/>
        <v>SUPPLY_WEST_M_1_21</v>
      </c>
      <c r="C937" s="223" t="s">
        <v>0</v>
      </c>
      <c r="D937" s="223" t="s">
        <v>19</v>
      </c>
      <c r="E937" s="223" t="s">
        <v>14</v>
      </c>
      <c r="F937" s="224">
        <v>1</v>
      </c>
      <c r="G937" s="2">
        <v>21</v>
      </c>
      <c r="H937" s="195">
        <f>VLOOKUP(B937,'21'!$D$7:$K$120,8,0)</f>
        <v>19</v>
      </c>
    </row>
    <row r="938" spans="1:8" ht="15.75" hidden="1" thickTop="1" x14ac:dyDescent="0.25">
      <c r="A938" s="2">
        <v>43</v>
      </c>
      <c r="B938" s="2" t="str">
        <f t="shared" si="21"/>
        <v>EMPTY_EAST_UNP_1_21</v>
      </c>
      <c r="C938" s="223" t="s">
        <v>32</v>
      </c>
      <c r="D938" s="223" t="s">
        <v>18</v>
      </c>
      <c r="E938" s="223" t="s">
        <v>42</v>
      </c>
      <c r="F938" s="224">
        <v>1</v>
      </c>
      <c r="G938" s="2">
        <v>21</v>
      </c>
      <c r="H938" s="195">
        <f>VLOOKUP(B938,'21'!$D$7:$K$120,8,0)</f>
        <v>17</v>
      </c>
    </row>
    <row r="939" spans="1:8" ht="15.75" hidden="1" thickTop="1" x14ac:dyDescent="0.25">
      <c r="A939" s="2">
        <v>43</v>
      </c>
      <c r="B939" s="2" t="str">
        <f t="shared" si="21"/>
        <v>EMPTY_EAST_A_2_21</v>
      </c>
      <c r="C939" s="223" t="s">
        <v>32</v>
      </c>
      <c r="D939" s="223" t="s">
        <v>18</v>
      </c>
      <c r="E939" s="352" t="s">
        <v>2</v>
      </c>
      <c r="F939" s="224">
        <v>2</v>
      </c>
      <c r="G939" s="2">
        <v>21</v>
      </c>
      <c r="H939" s="195">
        <f>VLOOKUP(B939,'21'!$D$7:$K$120,8,0)</f>
        <v>19</v>
      </c>
    </row>
    <row r="940" spans="1:8" ht="15.75" hidden="1" thickTop="1" x14ac:dyDescent="0.25">
      <c r="A940" s="2">
        <v>43</v>
      </c>
      <c r="B940" s="2" t="str">
        <f t="shared" si="21"/>
        <v>EMPTY_EAST_C/U_1_21</v>
      </c>
      <c r="C940" s="223" t="s">
        <v>32</v>
      </c>
      <c r="D940" s="223" t="s">
        <v>18</v>
      </c>
      <c r="E940" s="352" t="s">
        <v>67</v>
      </c>
      <c r="F940" s="224">
        <v>1</v>
      </c>
      <c r="G940" s="2">
        <v>21</v>
      </c>
      <c r="H940" s="195">
        <f>VLOOKUP(B940,'21'!$D$7:$K$120,8,0)</f>
        <v>20</v>
      </c>
    </row>
    <row r="941" spans="1:8" ht="15.75" hidden="1" thickTop="1" x14ac:dyDescent="0.25">
      <c r="A941" s="2">
        <v>43</v>
      </c>
      <c r="B941" s="2" t="str">
        <f t="shared" si="21"/>
        <v>EMPTY_EAST_C_2_21</v>
      </c>
      <c r="C941" s="223" t="s">
        <v>32</v>
      </c>
      <c r="D941" s="223" t="s">
        <v>18</v>
      </c>
      <c r="E941" s="223" t="s">
        <v>4</v>
      </c>
      <c r="F941" s="224">
        <v>2</v>
      </c>
      <c r="G941" s="2">
        <v>21</v>
      </c>
      <c r="H941" s="195">
        <f>VLOOKUP(B941,'21'!$D$7:$K$120,8,0)</f>
        <v>21</v>
      </c>
    </row>
    <row r="942" spans="1:8" ht="15.75" hidden="1" thickTop="1" x14ac:dyDescent="0.25">
      <c r="A942" s="2">
        <v>43</v>
      </c>
      <c r="B942" s="2" t="str">
        <f t="shared" si="21"/>
        <v>EMPTY_EAST_I_1_21</v>
      </c>
      <c r="C942" s="223" t="s">
        <v>32</v>
      </c>
      <c r="D942" s="223" t="s">
        <v>18</v>
      </c>
      <c r="E942" s="223" t="s">
        <v>10</v>
      </c>
      <c r="F942" s="224">
        <v>1</v>
      </c>
      <c r="G942" s="2">
        <v>21</v>
      </c>
      <c r="H942" s="195">
        <f>VLOOKUP(B942,'21'!$D$7:$K$120,8,0)</f>
        <v>23</v>
      </c>
    </row>
    <row r="943" spans="1:8" ht="15.75" hidden="1" thickTop="1" x14ac:dyDescent="0.25">
      <c r="A943" s="2">
        <v>43</v>
      </c>
      <c r="B943" s="2" t="str">
        <f t="shared" si="21"/>
        <v>EMPTY_EAST_G_2_21</v>
      </c>
      <c r="C943" s="223" t="s">
        <v>32</v>
      </c>
      <c r="D943" s="223" t="s">
        <v>18</v>
      </c>
      <c r="E943" s="223" t="s">
        <v>8</v>
      </c>
      <c r="F943" s="224">
        <v>2</v>
      </c>
      <c r="G943" s="2">
        <v>21</v>
      </c>
      <c r="H943" s="195">
        <f>VLOOKUP(B943,'21'!$D$7:$K$120,8,0)</f>
        <v>25</v>
      </c>
    </row>
    <row r="944" spans="1:8" ht="15.75" hidden="1" thickTop="1" x14ac:dyDescent="0.25">
      <c r="A944" s="2">
        <v>43</v>
      </c>
      <c r="B944" s="2" t="str">
        <f t="shared" si="21"/>
        <v>EMPTY_EAST_B_1_21</v>
      </c>
      <c r="C944" s="223" t="s">
        <v>32</v>
      </c>
      <c r="D944" s="223" t="s">
        <v>18</v>
      </c>
      <c r="E944" s="223" t="s">
        <v>3</v>
      </c>
      <c r="F944" s="224">
        <v>1</v>
      </c>
      <c r="G944" s="2">
        <v>21</v>
      </c>
      <c r="H944" s="195">
        <f>VLOOKUP(B944,'21'!$D$7:$K$120,8,0)</f>
        <v>28</v>
      </c>
    </row>
    <row r="945" spans="1:8" ht="15.75" hidden="1" thickTop="1" x14ac:dyDescent="0.25">
      <c r="A945" s="2">
        <v>43</v>
      </c>
      <c r="B945" s="2" t="str">
        <f t="shared" si="21"/>
        <v>EMPTY_EAST_E_2_21</v>
      </c>
      <c r="C945" s="223" t="s">
        <v>32</v>
      </c>
      <c r="D945" s="223" t="s">
        <v>18</v>
      </c>
      <c r="E945" s="223" t="s">
        <v>6</v>
      </c>
      <c r="F945" s="224">
        <v>2</v>
      </c>
      <c r="G945" s="2">
        <v>21</v>
      </c>
      <c r="H945" s="195">
        <f>VLOOKUP(B945,'21'!$D$7:$K$120,8,0)</f>
        <v>30</v>
      </c>
    </row>
    <row r="946" spans="1:8" ht="15.75" hidden="1" thickTop="1" x14ac:dyDescent="0.25">
      <c r="A946" s="2">
        <v>43</v>
      </c>
      <c r="B946" s="2" t="str">
        <f t="shared" si="21"/>
        <v>EMPTY_EAST_D_1_21</v>
      </c>
      <c r="C946" s="223" t="s">
        <v>32</v>
      </c>
      <c r="D946" s="223" t="s">
        <v>18</v>
      </c>
      <c r="E946" s="223" t="s">
        <v>47</v>
      </c>
      <c r="F946" s="224">
        <v>1</v>
      </c>
      <c r="G946" s="2">
        <v>21</v>
      </c>
      <c r="H946" s="195">
        <f>VLOOKUP(B946,'21'!$D$7:$K$120,8,0)</f>
        <v>32</v>
      </c>
    </row>
    <row r="947" spans="1:8" ht="15.75" hidden="1" thickTop="1" x14ac:dyDescent="0.25">
      <c r="A947" s="2">
        <v>43</v>
      </c>
      <c r="B947" s="2" t="str">
        <f t="shared" si="21"/>
        <v>EMPTY_EAST_K_2_21</v>
      </c>
      <c r="C947" s="223" t="s">
        <v>32</v>
      </c>
      <c r="D947" s="223" t="s">
        <v>18</v>
      </c>
      <c r="E947" s="223" t="s">
        <v>12</v>
      </c>
      <c r="F947" s="224">
        <v>2</v>
      </c>
      <c r="G947" s="2">
        <v>21</v>
      </c>
      <c r="H947" s="195">
        <f>VLOOKUP(B947,'21'!$D$7:$K$120,8,0)</f>
        <v>36</v>
      </c>
    </row>
    <row r="948" spans="1:8" ht="15.75" hidden="1" thickTop="1" x14ac:dyDescent="0.25">
      <c r="A948" s="2">
        <v>43</v>
      </c>
      <c r="B948" s="2" t="str">
        <f t="shared" si="21"/>
        <v>EMPTY_WEST_H_1_21</v>
      </c>
      <c r="C948" s="223" t="s">
        <v>32</v>
      </c>
      <c r="D948" s="223" t="s">
        <v>19</v>
      </c>
      <c r="E948" s="223" t="s">
        <v>9</v>
      </c>
      <c r="F948" s="224">
        <v>1</v>
      </c>
      <c r="G948" s="2">
        <v>21</v>
      </c>
      <c r="H948" s="195">
        <f>VLOOKUP(B948,'21'!$D$7:$K$120,8,0)</f>
        <v>18</v>
      </c>
    </row>
    <row r="949" spans="1:8" ht="15.75" hidden="1" thickTop="1" x14ac:dyDescent="0.25">
      <c r="A949" s="2">
        <v>43</v>
      </c>
      <c r="B949" s="2" t="str">
        <f t="shared" si="21"/>
        <v>EMPTY_WEST_P_2_21</v>
      </c>
      <c r="C949" s="223" t="s">
        <v>32</v>
      </c>
      <c r="D949" s="223" t="s">
        <v>19</v>
      </c>
      <c r="E949" s="223" t="s">
        <v>41</v>
      </c>
      <c r="F949" s="224">
        <v>2</v>
      </c>
      <c r="G949" s="2">
        <v>21</v>
      </c>
      <c r="H949" s="195">
        <f>VLOOKUP(B949,'21'!$D$7:$K$120,8,0)</f>
        <v>20</v>
      </c>
    </row>
    <row r="950" spans="1:8" ht="15.75" hidden="1" thickTop="1" x14ac:dyDescent="0.25">
      <c r="A950" s="2">
        <v>43</v>
      </c>
      <c r="B950" s="2" t="str">
        <f t="shared" si="21"/>
        <v>EMPTY_WEST_O_1_21</v>
      </c>
      <c r="C950" s="223" t="s">
        <v>32</v>
      </c>
      <c r="D950" s="223" t="s">
        <v>19</v>
      </c>
      <c r="E950" s="223" t="s">
        <v>40</v>
      </c>
      <c r="F950" s="224">
        <v>1</v>
      </c>
      <c r="G950" s="2">
        <v>21</v>
      </c>
      <c r="H950" s="195">
        <f>VLOOKUP(B950,'21'!$D$7:$K$120,8,0)</f>
        <v>22</v>
      </c>
    </row>
    <row r="951" spans="1:8" ht="15.75" hidden="1" thickTop="1" x14ac:dyDescent="0.25">
      <c r="A951" s="2">
        <v>43</v>
      </c>
      <c r="B951" s="2" t="str">
        <f t="shared" si="21"/>
        <v>EMPTY_WEST_L_2_21</v>
      </c>
      <c r="C951" s="223" t="s">
        <v>32</v>
      </c>
      <c r="D951" s="223" t="s">
        <v>19</v>
      </c>
      <c r="E951" s="223" t="s">
        <v>13</v>
      </c>
      <c r="F951" s="224">
        <v>2</v>
      </c>
      <c r="G951" s="2">
        <v>21</v>
      </c>
      <c r="H951" s="195">
        <f>VLOOKUP(B951,'21'!$D$7:$K$120,8,0)</f>
        <v>24</v>
      </c>
    </row>
    <row r="952" spans="1:8" ht="15.75" hidden="1" thickTop="1" x14ac:dyDescent="0.25">
      <c r="A952" s="2">
        <v>43</v>
      </c>
      <c r="B952" s="2" t="str">
        <f t="shared" si="21"/>
        <v>EMPTY_WEST_N_1_21</v>
      </c>
      <c r="C952" s="223" t="s">
        <v>32</v>
      </c>
      <c r="D952" s="223" t="s">
        <v>19</v>
      </c>
      <c r="E952" s="223" t="s">
        <v>15</v>
      </c>
      <c r="F952" s="224">
        <v>1</v>
      </c>
      <c r="G952" s="2">
        <v>21</v>
      </c>
      <c r="H952" s="195">
        <f>VLOOKUP(B952,'21'!$D$7:$K$120,8,0)</f>
        <v>27</v>
      </c>
    </row>
    <row r="953" spans="1:8" ht="15.75" hidden="1" thickTop="1" x14ac:dyDescent="0.25">
      <c r="A953" s="2">
        <v>43</v>
      </c>
      <c r="B953" s="2" t="str">
        <f t="shared" si="21"/>
        <v>EMPTY_WEST_J_2_21</v>
      </c>
      <c r="C953" s="223" t="s">
        <v>32</v>
      </c>
      <c r="D953" s="223" t="s">
        <v>19</v>
      </c>
      <c r="E953" s="223" t="s">
        <v>11</v>
      </c>
      <c r="F953" s="224">
        <v>2</v>
      </c>
      <c r="G953" s="2">
        <v>21</v>
      </c>
      <c r="H953" s="195">
        <f>VLOOKUP(B953,'21'!$D$7:$K$120,8,0)</f>
        <v>29</v>
      </c>
    </row>
    <row r="954" spans="1:8" ht="15.75" hidden="1" thickTop="1" x14ac:dyDescent="0.25">
      <c r="A954" s="2">
        <v>43</v>
      </c>
      <c r="B954" s="2" t="str">
        <f t="shared" si="21"/>
        <v>EMPTY_WEST_Q_1_21</v>
      </c>
      <c r="C954" s="223" t="s">
        <v>32</v>
      </c>
      <c r="D954" s="223" t="s">
        <v>19</v>
      </c>
      <c r="E954" s="223" t="s">
        <v>59</v>
      </c>
      <c r="F954" s="224">
        <v>1</v>
      </c>
      <c r="G954" s="2">
        <v>21</v>
      </c>
      <c r="H954" s="195">
        <f>VLOOKUP(B954,'21'!$D$7:$K$120,8,0)</f>
        <v>31</v>
      </c>
    </row>
    <row r="955" spans="1:8" ht="15.75" hidden="1" thickTop="1" x14ac:dyDescent="0.25">
      <c r="A955" s="2">
        <v>43</v>
      </c>
      <c r="B955" s="2" t="str">
        <f t="shared" si="21"/>
        <v>EMPTY_WEST_F_2_21</v>
      </c>
      <c r="C955" s="223" t="s">
        <v>32</v>
      </c>
      <c r="D955" s="223" t="s">
        <v>19</v>
      </c>
      <c r="E955" s="223" t="s">
        <v>7</v>
      </c>
      <c r="F955" s="224">
        <v>2</v>
      </c>
      <c r="G955" s="2">
        <v>21</v>
      </c>
      <c r="H955" s="195">
        <f>VLOOKUP(B955,'21'!$D$7:$K$120,8,0)</f>
        <v>33</v>
      </c>
    </row>
    <row r="956" spans="1:8" ht="15.75" hidden="1" thickTop="1" x14ac:dyDescent="0.25">
      <c r="A956" s="2">
        <v>43</v>
      </c>
      <c r="B956" s="2" t="str">
        <f t="shared" si="21"/>
        <v>EMPTY_WEST_M_1_21</v>
      </c>
      <c r="C956" s="223" t="s">
        <v>32</v>
      </c>
      <c r="D956" s="223" t="s">
        <v>19</v>
      </c>
      <c r="E956" s="223" t="s">
        <v>14</v>
      </c>
      <c r="F956" s="224">
        <v>1</v>
      </c>
      <c r="G956" s="2">
        <v>21</v>
      </c>
      <c r="H956" s="195">
        <f>VLOOKUP(B956,'21'!$D$7:$K$120,8,0)</f>
        <v>35</v>
      </c>
    </row>
    <row r="957" spans="1:8" ht="15.75" hidden="1" thickTop="1" x14ac:dyDescent="0.25">
      <c r="A957" s="2">
        <v>43</v>
      </c>
      <c r="B957" s="2" t="str">
        <f t="shared" si="21"/>
        <v>SORTING_EAST_UNP_1_22</v>
      </c>
      <c r="C957" s="223" t="s">
        <v>45</v>
      </c>
      <c r="D957" s="223" t="s">
        <v>18</v>
      </c>
      <c r="E957" s="223" t="s">
        <v>42</v>
      </c>
      <c r="F957" s="224">
        <v>1</v>
      </c>
      <c r="G957" s="2">
        <v>22</v>
      </c>
      <c r="H957" s="195">
        <f>VLOOKUP(B957,'22'!$D$7:$K$120,8,0)</f>
        <v>0</v>
      </c>
    </row>
    <row r="958" spans="1:8" ht="15.75" hidden="1" thickTop="1" x14ac:dyDescent="0.25">
      <c r="A958" s="2">
        <v>43</v>
      </c>
      <c r="B958" s="2" t="str">
        <f t="shared" si="21"/>
        <v>SORTING_EAST_A_2_22</v>
      </c>
      <c r="C958" s="223" t="s">
        <v>45</v>
      </c>
      <c r="D958" s="223" t="s">
        <v>18</v>
      </c>
      <c r="E958" s="352" t="s">
        <v>2</v>
      </c>
      <c r="F958" s="224">
        <v>2</v>
      </c>
      <c r="G958" s="2">
        <v>22</v>
      </c>
      <c r="H958" s="195">
        <f>VLOOKUP(B958,'22'!$D$7:$K$120,8,0)</f>
        <v>2</v>
      </c>
    </row>
    <row r="959" spans="1:8" ht="15.75" hidden="1" thickTop="1" x14ac:dyDescent="0.25">
      <c r="A959" s="2">
        <v>43</v>
      </c>
      <c r="B959" s="2" t="str">
        <f t="shared" si="21"/>
        <v>SORTING_EAST_C/U_1_22</v>
      </c>
      <c r="C959" s="223" t="s">
        <v>45</v>
      </c>
      <c r="D959" s="223" t="s">
        <v>18</v>
      </c>
      <c r="E959" s="352" t="s">
        <v>67</v>
      </c>
      <c r="F959" s="224">
        <v>1</v>
      </c>
      <c r="G959" s="2">
        <v>22</v>
      </c>
      <c r="H959" s="195">
        <f>VLOOKUP(B959,'22'!$D$7:$K$120,8,0)</f>
        <v>4</v>
      </c>
    </row>
    <row r="960" spans="1:8" ht="15.75" hidden="1" thickTop="1" x14ac:dyDescent="0.25">
      <c r="A960" s="2">
        <v>43</v>
      </c>
      <c r="B960" s="2" t="str">
        <f t="shared" si="21"/>
        <v>SORTING_EAST_C_2_22</v>
      </c>
      <c r="C960" s="223" t="s">
        <v>45</v>
      </c>
      <c r="D960" s="223" t="s">
        <v>18</v>
      </c>
      <c r="E960" s="223" t="s">
        <v>4</v>
      </c>
      <c r="F960" s="224">
        <v>2</v>
      </c>
      <c r="G960" s="2">
        <v>22</v>
      </c>
      <c r="H960" s="195">
        <f>VLOOKUP(B960,'22'!$D$7:$K$120,8,0)</f>
        <v>5</v>
      </c>
    </row>
    <row r="961" spans="1:8" ht="15.75" hidden="1" thickTop="1" x14ac:dyDescent="0.25">
      <c r="A961" s="2">
        <v>43</v>
      </c>
      <c r="B961" s="2" t="str">
        <f t="shared" si="21"/>
        <v>SORTING_EAST_I_1_22</v>
      </c>
      <c r="C961" s="223" t="s">
        <v>45</v>
      </c>
      <c r="D961" s="223" t="s">
        <v>18</v>
      </c>
      <c r="E961" s="223" t="s">
        <v>10</v>
      </c>
      <c r="F961" s="224">
        <v>1</v>
      </c>
      <c r="G961" s="2">
        <v>22</v>
      </c>
      <c r="H961" s="195">
        <f>VLOOKUP(B961,'22'!$D$7:$K$120,8,0)</f>
        <v>8</v>
      </c>
    </row>
    <row r="962" spans="1:8" ht="15.75" hidden="1" thickTop="1" x14ac:dyDescent="0.25">
      <c r="A962" s="2">
        <v>43</v>
      </c>
      <c r="B962" s="2" t="str">
        <f t="shared" si="21"/>
        <v>SORTING_EAST_G_2_22</v>
      </c>
      <c r="C962" s="223" t="s">
        <v>45</v>
      </c>
      <c r="D962" s="223" t="s">
        <v>18</v>
      </c>
      <c r="E962" s="223" t="s">
        <v>8</v>
      </c>
      <c r="F962" s="224">
        <v>2</v>
      </c>
      <c r="G962" s="2">
        <v>22</v>
      </c>
      <c r="H962" s="195">
        <f>VLOOKUP(B962,'22'!$D$7:$K$120,8,0)</f>
        <v>10</v>
      </c>
    </row>
    <row r="963" spans="1:8" ht="15.75" hidden="1" thickTop="1" x14ac:dyDescent="0.25">
      <c r="A963" s="2">
        <v>43</v>
      </c>
      <c r="B963" s="2" t="str">
        <f t="shared" si="21"/>
        <v>SORTING_EAST_B_1_22</v>
      </c>
      <c r="C963" s="223" t="s">
        <v>45</v>
      </c>
      <c r="D963" s="223" t="s">
        <v>18</v>
      </c>
      <c r="E963" s="223" t="s">
        <v>3</v>
      </c>
      <c r="F963" s="224">
        <v>1</v>
      </c>
      <c r="G963" s="2">
        <v>22</v>
      </c>
      <c r="H963" s="195">
        <f>VLOOKUP(B963,'22'!$D$7:$K$120,8,0)</f>
        <v>12</v>
      </c>
    </row>
    <row r="964" spans="1:8" ht="15.75" hidden="1" thickTop="1" x14ac:dyDescent="0.25">
      <c r="A964" s="2">
        <v>43</v>
      </c>
      <c r="B964" s="2" t="str">
        <f t="shared" si="21"/>
        <v>SORTING_EAST_E_2_22</v>
      </c>
      <c r="C964" s="223" t="s">
        <v>45</v>
      </c>
      <c r="D964" s="223" t="s">
        <v>18</v>
      </c>
      <c r="E964" s="223" t="s">
        <v>6</v>
      </c>
      <c r="F964" s="224">
        <v>2</v>
      </c>
      <c r="G964" s="2">
        <v>22</v>
      </c>
      <c r="H964" s="195">
        <f>VLOOKUP(B964,'22'!$D$7:$K$120,8,0)</f>
        <v>14</v>
      </c>
    </row>
    <row r="965" spans="1:8" ht="15.75" hidden="1" thickTop="1" x14ac:dyDescent="0.25">
      <c r="A965" s="2">
        <v>43</v>
      </c>
      <c r="B965" s="2" t="str">
        <f t="shared" si="21"/>
        <v>SORTING_EAST_D_1_22</v>
      </c>
      <c r="C965" s="223" t="s">
        <v>45</v>
      </c>
      <c r="D965" s="223" t="s">
        <v>18</v>
      </c>
      <c r="E965" s="223" t="s">
        <v>47</v>
      </c>
      <c r="F965" s="224">
        <v>1</v>
      </c>
      <c r="G965" s="2">
        <v>22</v>
      </c>
      <c r="H965" s="195">
        <f>VLOOKUP(B965,'22'!$D$7:$K$120,8,0)</f>
        <v>16</v>
      </c>
    </row>
    <row r="966" spans="1:8" ht="15.75" hidden="1" thickTop="1" x14ac:dyDescent="0.25">
      <c r="A966" s="2">
        <v>43</v>
      </c>
      <c r="B966" s="2" t="str">
        <f t="shared" si="21"/>
        <v>SORTING_EAST_K_2_22</v>
      </c>
      <c r="C966" s="223" t="s">
        <v>45</v>
      </c>
      <c r="D966" s="223" t="s">
        <v>18</v>
      </c>
      <c r="E966" s="223" t="s">
        <v>12</v>
      </c>
      <c r="F966" s="224">
        <v>2</v>
      </c>
      <c r="G966" s="2">
        <v>22</v>
      </c>
      <c r="H966" s="195">
        <f>VLOOKUP(B966,'22'!$D$7:$K$120,8,0)</f>
        <v>19</v>
      </c>
    </row>
    <row r="967" spans="1:8" ht="15.75" hidden="1" thickTop="1" x14ac:dyDescent="0.25">
      <c r="A967" s="2">
        <v>43</v>
      </c>
      <c r="B967" s="2" t="str">
        <f t="shared" si="21"/>
        <v>SORTING_WEST_H_1_22</v>
      </c>
      <c r="C967" s="223" t="s">
        <v>45</v>
      </c>
      <c r="D967" s="223" t="s">
        <v>19</v>
      </c>
      <c r="E967" s="223" t="s">
        <v>9</v>
      </c>
      <c r="F967" s="224">
        <v>1</v>
      </c>
      <c r="G967" s="2">
        <v>22</v>
      </c>
      <c r="H967" s="195">
        <f>VLOOKUP(B967,'22'!$D$7:$K$120,8,0)</f>
        <v>0</v>
      </c>
    </row>
    <row r="968" spans="1:8" ht="15.75" hidden="1" thickTop="1" x14ac:dyDescent="0.25">
      <c r="A968" s="2">
        <v>43</v>
      </c>
      <c r="B968" s="2" t="str">
        <f t="shared" si="21"/>
        <v>SORTING_WEST_P_2_22</v>
      </c>
      <c r="C968" s="223" t="s">
        <v>45</v>
      </c>
      <c r="D968" s="223" t="s">
        <v>19</v>
      </c>
      <c r="E968" s="223" t="s">
        <v>41</v>
      </c>
      <c r="F968" s="224">
        <v>2</v>
      </c>
      <c r="G968" s="2">
        <v>22</v>
      </c>
      <c r="H968" s="195">
        <f>VLOOKUP(B968,'22'!$D$7:$K$120,8,0)</f>
        <v>2</v>
      </c>
    </row>
    <row r="969" spans="1:8" ht="15.75" hidden="1" thickTop="1" x14ac:dyDescent="0.25">
      <c r="A969" s="2">
        <v>43</v>
      </c>
      <c r="B969" s="2" t="str">
        <f t="shared" si="21"/>
        <v>SORTING_WEST_O_1_22</v>
      </c>
      <c r="C969" s="223" t="s">
        <v>45</v>
      </c>
      <c r="D969" s="223" t="s">
        <v>19</v>
      </c>
      <c r="E969" s="223" t="s">
        <v>40</v>
      </c>
      <c r="F969" s="224">
        <v>1</v>
      </c>
      <c r="G969" s="2">
        <v>22</v>
      </c>
      <c r="H969" s="195">
        <f>VLOOKUP(B969,'22'!$D$7:$K$120,8,0)</f>
        <v>5</v>
      </c>
    </row>
    <row r="970" spans="1:8" ht="15.75" hidden="1" thickTop="1" x14ac:dyDescent="0.25">
      <c r="A970" s="2">
        <v>43</v>
      </c>
      <c r="B970" s="2" t="str">
        <f t="shared" si="21"/>
        <v>SORTING_WEST_L_2_22</v>
      </c>
      <c r="C970" s="223" t="s">
        <v>45</v>
      </c>
      <c r="D970" s="223" t="s">
        <v>19</v>
      </c>
      <c r="E970" s="223" t="s">
        <v>13</v>
      </c>
      <c r="F970" s="224">
        <v>2</v>
      </c>
      <c r="G970" s="2">
        <v>22</v>
      </c>
      <c r="H970" s="195">
        <f>VLOOKUP(B970,'22'!$D$7:$K$120,8,0)</f>
        <v>8</v>
      </c>
    </row>
    <row r="971" spans="1:8" ht="15.75" hidden="1" thickTop="1" x14ac:dyDescent="0.25">
      <c r="A971" s="2">
        <v>43</v>
      </c>
      <c r="B971" s="2" t="str">
        <f t="shared" si="21"/>
        <v>SORTING_WEST_N_1_22</v>
      </c>
      <c r="C971" s="223" t="s">
        <v>45</v>
      </c>
      <c r="D971" s="223" t="s">
        <v>19</v>
      </c>
      <c r="E971" s="223" t="s">
        <v>15</v>
      </c>
      <c r="F971" s="224">
        <v>1</v>
      </c>
      <c r="G971" s="2">
        <v>22</v>
      </c>
      <c r="H971" s="195">
        <f>VLOOKUP(B971,'22'!$D$7:$K$120,8,0)</f>
        <v>10</v>
      </c>
    </row>
    <row r="972" spans="1:8" ht="15.75" hidden="1" thickTop="1" x14ac:dyDescent="0.25">
      <c r="A972" s="2">
        <v>43</v>
      </c>
      <c r="B972" s="2" t="str">
        <f t="shared" si="21"/>
        <v>SORTING_WEST_J_2_22</v>
      </c>
      <c r="C972" s="223" t="s">
        <v>45</v>
      </c>
      <c r="D972" s="223" t="s">
        <v>19</v>
      </c>
      <c r="E972" s="223" t="s">
        <v>11</v>
      </c>
      <c r="F972" s="224">
        <v>2</v>
      </c>
      <c r="G972" s="2">
        <v>22</v>
      </c>
      <c r="H972" s="195">
        <f>VLOOKUP(B972,'22'!$D$7:$K$120,8,0)</f>
        <v>12</v>
      </c>
    </row>
    <row r="973" spans="1:8" ht="15.75" hidden="1" thickTop="1" x14ac:dyDescent="0.25">
      <c r="A973" s="2">
        <v>43</v>
      </c>
      <c r="B973" s="2" t="str">
        <f t="shared" si="21"/>
        <v>SORTING_WEST_Q_1_22</v>
      </c>
      <c r="C973" s="223" t="s">
        <v>45</v>
      </c>
      <c r="D973" s="223" t="s">
        <v>19</v>
      </c>
      <c r="E973" s="223" t="s">
        <v>59</v>
      </c>
      <c r="F973" s="224">
        <v>1</v>
      </c>
      <c r="G973" s="2">
        <v>22</v>
      </c>
      <c r="H973" s="195">
        <f>VLOOKUP(B973,'22'!$D$7:$K$120,8,0)</f>
        <v>14</v>
      </c>
    </row>
    <row r="974" spans="1:8" ht="15.75" hidden="1" thickTop="1" x14ac:dyDescent="0.25">
      <c r="A974" s="2">
        <v>43</v>
      </c>
      <c r="B974" s="2" t="str">
        <f t="shared" si="21"/>
        <v>SORTING_WEST_F_2_22</v>
      </c>
      <c r="C974" s="223" t="s">
        <v>45</v>
      </c>
      <c r="D974" s="223" t="s">
        <v>19</v>
      </c>
      <c r="E974" s="223" t="s">
        <v>7</v>
      </c>
      <c r="F974" s="224">
        <v>2</v>
      </c>
      <c r="G974" s="2">
        <v>22</v>
      </c>
      <c r="H974" s="195">
        <f>VLOOKUP(B974,'22'!$D$7:$K$120,8,0)</f>
        <v>17</v>
      </c>
    </row>
    <row r="975" spans="1:8" ht="15.75" hidden="1" thickTop="1" x14ac:dyDescent="0.25">
      <c r="A975" s="2">
        <v>43</v>
      </c>
      <c r="B975" s="2" t="str">
        <f t="shared" si="21"/>
        <v>SORTING_WEST_M_1_22</v>
      </c>
      <c r="C975" s="223" t="s">
        <v>45</v>
      </c>
      <c r="D975" s="223" t="s">
        <v>19</v>
      </c>
      <c r="E975" s="223" t="s">
        <v>14</v>
      </c>
      <c r="F975" s="224">
        <v>1</v>
      </c>
      <c r="G975" s="2">
        <v>22</v>
      </c>
      <c r="H975" s="195">
        <f>VLOOKUP(B975,'22'!$D$7:$K$120,8,0)</f>
        <v>19</v>
      </c>
    </row>
    <row r="976" spans="1:8" ht="15.75" hidden="1" thickTop="1" x14ac:dyDescent="0.25">
      <c r="A976" s="2">
        <v>43</v>
      </c>
      <c r="B976" s="2" t="str">
        <f t="shared" si="21"/>
        <v>TRANSFER_EAST_UNP_1_22</v>
      </c>
      <c r="C976" s="223" t="s">
        <v>21</v>
      </c>
      <c r="D976" s="223" t="s">
        <v>18</v>
      </c>
      <c r="E976" s="223" t="s">
        <v>42</v>
      </c>
      <c r="F976" s="224">
        <v>1</v>
      </c>
      <c r="G976" s="2">
        <v>22</v>
      </c>
      <c r="H976" s="195">
        <f>VLOOKUP(B976,'22'!$D$7:$K$120,8,0)</f>
        <v>2</v>
      </c>
    </row>
    <row r="977" spans="1:8" ht="15.75" hidden="1" thickTop="1" x14ac:dyDescent="0.25">
      <c r="A977" s="2">
        <v>43</v>
      </c>
      <c r="B977" s="2" t="str">
        <f t="shared" si="21"/>
        <v>TRANSFER_EAST_A_2_22</v>
      </c>
      <c r="C977" s="223" t="s">
        <v>21</v>
      </c>
      <c r="D977" s="223" t="s">
        <v>18</v>
      </c>
      <c r="E977" s="352" t="s">
        <v>2</v>
      </c>
      <c r="F977" s="224">
        <v>2</v>
      </c>
      <c r="G977" s="2">
        <v>22</v>
      </c>
      <c r="H977" s="195">
        <f>VLOOKUP(B977,'22'!$D$7:$K$120,8,0)</f>
        <v>4</v>
      </c>
    </row>
    <row r="978" spans="1:8" ht="15.75" hidden="1" thickTop="1" x14ac:dyDescent="0.25">
      <c r="A978" s="2">
        <v>43</v>
      </c>
      <c r="B978" s="2" t="str">
        <f t="shared" si="21"/>
        <v>TRANSFER_EAST_C/U_1_22</v>
      </c>
      <c r="C978" s="223" t="s">
        <v>21</v>
      </c>
      <c r="D978" s="223" t="s">
        <v>18</v>
      </c>
      <c r="E978" s="352" t="s">
        <v>67</v>
      </c>
      <c r="F978" s="224">
        <v>1</v>
      </c>
      <c r="G978" s="2">
        <v>22</v>
      </c>
      <c r="H978" s="195">
        <f>VLOOKUP(B978,'22'!$D$7:$K$120,8,0)</f>
        <v>5</v>
      </c>
    </row>
    <row r="979" spans="1:8" ht="15.75" hidden="1" thickTop="1" x14ac:dyDescent="0.25">
      <c r="A979" s="2">
        <v>43</v>
      </c>
      <c r="B979" s="2" t="str">
        <f t="shared" si="21"/>
        <v>TRANSFER_EAST_C_2_22</v>
      </c>
      <c r="C979" s="223" t="s">
        <v>21</v>
      </c>
      <c r="D979" s="223" t="s">
        <v>18</v>
      </c>
      <c r="E979" s="223" t="s">
        <v>4</v>
      </c>
      <c r="F979" s="224">
        <v>2</v>
      </c>
      <c r="G979" s="2">
        <v>22</v>
      </c>
      <c r="H979" s="195">
        <f>VLOOKUP(B979,'22'!$D$7:$K$120,8,0)</f>
        <v>8</v>
      </c>
    </row>
    <row r="980" spans="1:8" ht="15.75" hidden="1" thickTop="1" x14ac:dyDescent="0.25">
      <c r="A980" s="2">
        <v>43</v>
      </c>
      <c r="B980" s="2" t="str">
        <f t="shared" si="21"/>
        <v>TRANSFER_EAST_I_1_22</v>
      </c>
      <c r="C980" s="223" t="s">
        <v>21</v>
      </c>
      <c r="D980" s="223" t="s">
        <v>18</v>
      </c>
      <c r="E980" s="223" t="s">
        <v>10</v>
      </c>
      <c r="F980" s="224">
        <v>1</v>
      </c>
      <c r="G980" s="2">
        <v>22</v>
      </c>
      <c r="H980" s="195">
        <f>VLOOKUP(B980,'22'!$D$7:$K$120,8,0)</f>
        <v>10</v>
      </c>
    </row>
    <row r="981" spans="1:8" ht="15.75" hidden="1" thickTop="1" x14ac:dyDescent="0.25">
      <c r="A981" s="2">
        <v>43</v>
      </c>
      <c r="B981" s="2" t="str">
        <f t="shared" si="21"/>
        <v>TRANSFER_EAST_G_2_22</v>
      </c>
      <c r="C981" s="223" t="s">
        <v>21</v>
      </c>
      <c r="D981" s="223" t="s">
        <v>18</v>
      </c>
      <c r="E981" s="223" t="s">
        <v>8</v>
      </c>
      <c r="F981" s="224">
        <v>2</v>
      </c>
      <c r="G981" s="2">
        <v>22</v>
      </c>
      <c r="H981" s="195">
        <f>VLOOKUP(B981,'22'!$D$7:$K$120,8,0)</f>
        <v>12</v>
      </c>
    </row>
    <row r="982" spans="1:8" ht="15.75" hidden="1" thickTop="1" x14ac:dyDescent="0.25">
      <c r="A982" s="2">
        <v>43</v>
      </c>
      <c r="B982" s="2" t="str">
        <f t="shared" si="21"/>
        <v>TRANSFER_EAST_B_1_22</v>
      </c>
      <c r="C982" s="223" t="s">
        <v>21</v>
      </c>
      <c r="D982" s="223" t="s">
        <v>18</v>
      </c>
      <c r="E982" s="223" t="s">
        <v>3</v>
      </c>
      <c r="F982" s="224">
        <v>1</v>
      </c>
      <c r="G982" s="2">
        <v>22</v>
      </c>
      <c r="H982" s="195">
        <f>VLOOKUP(B982,'22'!$D$7:$K$120,8,0)</f>
        <v>14</v>
      </c>
    </row>
    <row r="983" spans="1:8" ht="15.75" hidden="1" thickTop="1" x14ac:dyDescent="0.25">
      <c r="A983" s="2">
        <v>43</v>
      </c>
      <c r="B983" s="2" t="str">
        <f t="shared" si="21"/>
        <v>TRANSFER_EAST_E_2_22</v>
      </c>
      <c r="C983" s="223" t="s">
        <v>21</v>
      </c>
      <c r="D983" s="223" t="s">
        <v>18</v>
      </c>
      <c r="E983" s="223" t="s">
        <v>6</v>
      </c>
      <c r="F983" s="224">
        <v>2</v>
      </c>
      <c r="G983" s="2">
        <v>22</v>
      </c>
      <c r="H983" s="195">
        <f>VLOOKUP(B983,'22'!$D$7:$K$120,8,0)</f>
        <v>16</v>
      </c>
    </row>
    <row r="984" spans="1:8" ht="15.75" hidden="1" thickTop="1" x14ac:dyDescent="0.25">
      <c r="A984" s="2">
        <v>43</v>
      </c>
      <c r="B984" s="2" t="str">
        <f t="shared" si="21"/>
        <v>TRANSFER_EAST_D_1_22</v>
      </c>
      <c r="C984" s="223" t="s">
        <v>21</v>
      </c>
      <c r="D984" s="223" t="s">
        <v>18</v>
      </c>
      <c r="E984" s="223" t="s">
        <v>47</v>
      </c>
      <c r="F984" s="224">
        <v>1</v>
      </c>
      <c r="G984" s="2">
        <v>22</v>
      </c>
      <c r="H984" s="195">
        <f>VLOOKUP(B984,'22'!$D$7:$K$120,8,0)</f>
        <v>19</v>
      </c>
    </row>
    <row r="985" spans="1:8" ht="15.75" hidden="1" thickTop="1" x14ac:dyDescent="0.25">
      <c r="A985" s="2">
        <v>43</v>
      </c>
      <c r="B985" s="2" t="str">
        <f t="shared" si="21"/>
        <v>TRANSFER_EAST_K_2_22</v>
      </c>
      <c r="C985" s="223" t="s">
        <v>21</v>
      </c>
      <c r="D985" s="223" t="s">
        <v>18</v>
      </c>
      <c r="E985" s="223" t="s">
        <v>12</v>
      </c>
      <c r="F985" s="224">
        <v>2</v>
      </c>
      <c r="G985" s="2">
        <v>22</v>
      </c>
      <c r="H985" s="195">
        <f>VLOOKUP(B985,'22'!$D$7:$K$120,8,0)</f>
        <v>22</v>
      </c>
    </row>
    <row r="986" spans="1:8" ht="15.75" hidden="1" thickTop="1" x14ac:dyDescent="0.25">
      <c r="A986" s="2">
        <v>43</v>
      </c>
      <c r="B986" s="2" t="str">
        <f t="shared" si="21"/>
        <v>TRANSFER_WEST_H_1_22</v>
      </c>
      <c r="C986" s="223" t="s">
        <v>21</v>
      </c>
      <c r="D986" s="223" t="s">
        <v>19</v>
      </c>
      <c r="E986" s="223" t="s">
        <v>9</v>
      </c>
      <c r="F986" s="224">
        <v>1</v>
      </c>
      <c r="G986" s="2">
        <v>22</v>
      </c>
      <c r="H986" s="195">
        <f>VLOOKUP(B986,'22'!$D$7:$K$120,8,0)</f>
        <v>2</v>
      </c>
    </row>
    <row r="987" spans="1:8" ht="15.75" hidden="1" thickTop="1" x14ac:dyDescent="0.25">
      <c r="A987" s="2">
        <v>43</v>
      </c>
      <c r="B987" s="2" t="str">
        <f t="shared" si="21"/>
        <v>TRANSFER_WEST_P_2_22</v>
      </c>
      <c r="C987" s="223" t="s">
        <v>21</v>
      </c>
      <c r="D987" s="223" t="s">
        <v>19</v>
      </c>
      <c r="E987" s="223" t="s">
        <v>41</v>
      </c>
      <c r="F987" s="224">
        <v>2</v>
      </c>
      <c r="G987" s="2">
        <v>22</v>
      </c>
      <c r="H987" s="195">
        <f>VLOOKUP(B987,'22'!$D$7:$K$120,8,0)</f>
        <v>5</v>
      </c>
    </row>
    <row r="988" spans="1:8" ht="15.75" hidden="1" thickTop="1" x14ac:dyDescent="0.25">
      <c r="A988" s="2">
        <v>43</v>
      </c>
      <c r="B988" s="2" t="str">
        <f t="shared" si="21"/>
        <v>TRANSFER_WEST_O_1_22</v>
      </c>
      <c r="C988" s="223" t="s">
        <v>21</v>
      </c>
      <c r="D988" s="223" t="s">
        <v>19</v>
      </c>
      <c r="E988" s="223" t="s">
        <v>40</v>
      </c>
      <c r="F988" s="224">
        <v>1</v>
      </c>
      <c r="G988" s="2">
        <v>22</v>
      </c>
      <c r="H988" s="195">
        <f>VLOOKUP(B988,'22'!$D$7:$K$120,8,0)</f>
        <v>8</v>
      </c>
    </row>
    <row r="989" spans="1:8" ht="15.75" hidden="1" thickTop="1" x14ac:dyDescent="0.25">
      <c r="A989" s="2">
        <v>43</v>
      </c>
      <c r="B989" s="2" t="str">
        <f t="shared" si="21"/>
        <v>TRANSFER_WEST_L_2_22</v>
      </c>
      <c r="C989" s="223" t="s">
        <v>21</v>
      </c>
      <c r="D989" s="223" t="s">
        <v>19</v>
      </c>
      <c r="E989" s="223" t="s">
        <v>13</v>
      </c>
      <c r="F989" s="224">
        <v>2</v>
      </c>
      <c r="G989" s="2">
        <v>22</v>
      </c>
      <c r="H989" s="195">
        <f>VLOOKUP(B989,'22'!$D$7:$K$120,8,0)</f>
        <v>10</v>
      </c>
    </row>
    <row r="990" spans="1:8" ht="15.75" hidden="1" thickTop="1" x14ac:dyDescent="0.25">
      <c r="A990" s="2">
        <v>43</v>
      </c>
      <c r="B990" s="2" t="str">
        <f t="shared" si="21"/>
        <v>TRANSFER_WEST_N_1_22</v>
      </c>
      <c r="C990" s="223" t="s">
        <v>21</v>
      </c>
      <c r="D990" s="223" t="s">
        <v>19</v>
      </c>
      <c r="E990" s="223" t="s">
        <v>15</v>
      </c>
      <c r="F990" s="224">
        <v>1</v>
      </c>
      <c r="G990" s="2">
        <v>22</v>
      </c>
      <c r="H990" s="195">
        <f>VLOOKUP(B990,'22'!$D$7:$K$120,8,0)</f>
        <v>12</v>
      </c>
    </row>
    <row r="991" spans="1:8" ht="15.75" hidden="1" thickTop="1" x14ac:dyDescent="0.25">
      <c r="A991" s="2">
        <v>43</v>
      </c>
      <c r="B991" s="2" t="str">
        <f t="shared" si="21"/>
        <v>TRANSFER_WEST_J_2_22</v>
      </c>
      <c r="C991" s="223" t="s">
        <v>21</v>
      </c>
      <c r="D991" s="223" t="s">
        <v>19</v>
      </c>
      <c r="E991" s="223" t="s">
        <v>11</v>
      </c>
      <c r="F991" s="224">
        <v>2</v>
      </c>
      <c r="G991" s="2">
        <v>22</v>
      </c>
      <c r="H991" s="195">
        <f>VLOOKUP(B991,'22'!$D$7:$K$120,8,0)</f>
        <v>14</v>
      </c>
    </row>
    <row r="992" spans="1:8" ht="15.75" hidden="1" thickTop="1" x14ac:dyDescent="0.25">
      <c r="A992" s="2">
        <v>43</v>
      </c>
      <c r="B992" s="2" t="str">
        <f t="shared" si="21"/>
        <v>TRANSFER_WEST_Q_1_22</v>
      </c>
      <c r="C992" s="223" t="s">
        <v>21</v>
      </c>
      <c r="D992" s="223" t="s">
        <v>19</v>
      </c>
      <c r="E992" s="223" t="s">
        <v>59</v>
      </c>
      <c r="F992" s="224">
        <v>1</v>
      </c>
      <c r="G992" s="2">
        <v>22</v>
      </c>
      <c r="H992" s="195">
        <f>VLOOKUP(B992,'22'!$D$7:$K$120,8,0)</f>
        <v>17</v>
      </c>
    </row>
    <row r="993" spans="1:8" ht="15.75" hidden="1" thickTop="1" x14ac:dyDescent="0.25">
      <c r="A993" s="2">
        <v>43</v>
      </c>
      <c r="B993" s="2" t="str">
        <f t="shared" si="21"/>
        <v>TRANSFER_WEST_F_2_22</v>
      </c>
      <c r="C993" s="223" t="s">
        <v>21</v>
      </c>
      <c r="D993" s="223" t="s">
        <v>19</v>
      </c>
      <c r="E993" s="223" t="s">
        <v>7</v>
      </c>
      <c r="F993" s="224">
        <v>2</v>
      </c>
      <c r="G993" s="2">
        <v>22</v>
      </c>
      <c r="H993" s="195">
        <f>VLOOKUP(B993,'22'!$D$7:$K$120,8,0)</f>
        <v>19</v>
      </c>
    </row>
    <row r="994" spans="1:8" ht="15.75" hidden="1" thickTop="1" x14ac:dyDescent="0.25">
      <c r="A994" s="2">
        <v>43</v>
      </c>
      <c r="B994" s="2" t="str">
        <f t="shared" si="21"/>
        <v>TRANSFER_WEST_M_1_22</v>
      </c>
      <c r="C994" s="223" t="s">
        <v>21</v>
      </c>
      <c r="D994" s="223" t="s">
        <v>19</v>
      </c>
      <c r="E994" s="223" t="s">
        <v>14</v>
      </c>
      <c r="F994" s="224">
        <v>1</v>
      </c>
      <c r="G994" s="2">
        <v>22</v>
      </c>
      <c r="H994" s="195">
        <f>VLOOKUP(B994,'22'!$D$7:$K$120,8,0)</f>
        <v>22</v>
      </c>
    </row>
    <row r="995" spans="1:8" ht="15.75" hidden="1" thickTop="1" x14ac:dyDescent="0.25">
      <c r="A995" s="2">
        <v>43</v>
      </c>
      <c r="B995" s="2" t="str">
        <f t="shared" si="21"/>
        <v>PREPARE_EAST_UNP_1_22</v>
      </c>
      <c r="C995" s="223" t="s">
        <v>46</v>
      </c>
      <c r="D995" s="223" t="s">
        <v>18</v>
      </c>
      <c r="E995" s="223" t="s">
        <v>42</v>
      </c>
      <c r="F995" s="224">
        <v>1</v>
      </c>
      <c r="G995" s="2">
        <v>22</v>
      </c>
      <c r="H995" s="195">
        <f>VLOOKUP(B995,'22'!$D$7:$K$120,8,0)</f>
        <v>20</v>
      </c>
    </row>
    <row r="996" spans="1:8" ht="15.75" hidden="1" thickTop="1" x14ac:dyDescent="0.25">
      <c r="A996" s="2">
        <v>43</v>
      </c>
      <c r="B996" s="2" t="str">
        <f t="shared" si="21"/>
        <v>PREPARE_EAST_A_2_22</v>
      </c>
      <c r="C996" s="223" t="s">
        <v>46</v>
      </c>
      <c r="D996" s="223" t="s">
        <v>18</v>
      </c>
      <c r="E996" s="352" t="s">
        <v>2</v>
      </c>
      <c r="F996" s="224">
        <v>2</v>
      </c>
      <c r="G996" s="2">
        <v>22</v>
      </c>
      <c r="H996" s="195">
        <f>VLOOKUP(B996,'22'!$D$7:$K$120,8,0)</f>
        <v>22</v>
      </c>
    </row>
    <row r="997" spans="1:8" ht="15.75" hidden="1" thickTop="1" x14ac:dyDescent="0.25">
      <c r="A997" s="2">
        <v>43</v>
      </c>
      <c r="B997" s="2" t="str">
        <f t="shared" si="21"/>
        <v>PREPARE_EAST_C/U_1_22</v>
      </c>
      <c r="C997" s="223" t="s">
        <v>46</v>
      </c>
      <c r="D997" s="223" t="s">
        <v>18</v>
      </c>
      <c r="E997" s="352" t="s">
        <v>67</v>
      </c>
      <c r="F997" s="224">
        <v>1</v>
      </c>
      <c r="G997" s="2">
        <v>22</v>
      </c>
      <c r="H997" s="195">
        <f>VLOOKUP(B997,'22'!$D$7:$K$120,8,0)</f>
        <v>22</v>
      </c>
    </row>
    <row r="998" spans="1:8" ht="15.75" hidden="1" thickTop="1" x14ac:dyDescent="0.25">
      <c r="A998" s="2">
        <v>43</v>
      </c>
      <c r="B998" s="2" t="str">
        <f t="shared" ref="B998:B1061" si="22">C998&amp;"_"&amp;D998&amp;"_"&amp;E998&amp;"_"&amp;F998&amp;"_"&amp;G998</f>
        <v>PREPARE_EAST_C_2_22</v>
      </c>
      <c r="C998" s="223" t="s">
        <v>46</v>
      </c>
      <c r="D998" s="223" t="s">
        <v>18</v>
      </c>
      <c r="E998" s="223" t="s">
        <v>4</v>
      </c>
      <c r="F998" s="224">
        <v>2</v>
      </c>
      <c r="G998" s="2">
        <v>22</v>
      </c>
      <c r="H998" s="195">
        <f>VLOOKUP(B998,'22'!$D$7:$K$120,8,0)</f>
        <v>25</v>
      </c>
    </row>
    <row r="999" spans="1:8" ht="15.75" hidden="1" thickTop="1" x14ac:dyDescent="0.25">
      <c r="A999" s="2">
        <v>43</v>
      </c>
      <c r="B999" s="2" t="str">
        <f t="shared" si="22"/>
        <v>PREPARE_EAST_I_1_22</v>
      </c>
      <c r="C999" s="223" t="s">
        <v>46</v>
      </c>
      <c r="D999" s="223" t="s">
        <v>18</v>
      </c>
      <c r="E999" s="223" t="s">
        <v>10</v>
      </c>
      <c r="F999" s="224">
        <v>1</v>
      </c>
      <c r="G999" s="2">
        <v>22</v>
      </c>
      <c r="H999" s="195">
        <f>VLOOKUP(B999,'22'!$D$7:$K$120,8,0)</f>
        <v>27</v>
      </c>
    </row>
    <row r="1000" spans="1:8" ht="15.75" hidden="1" thickTop="1" x14ac:dyDescent="0.25">
      <c r="A1000" s="2">
        <v>43</v>
      </c>
      <c r="B1000" s="2" t="str">
        <f t="shared" si="22"/>
        <v>PREPARE_EAST_G_2_22</v>
      </c>
      <c r="C1000" s="223" t="s">
        <v>46</v>
      </c>
      <c r="D1000" s="223" t="s">
        <v>18</v>
      </c>
      <c r="E1000" s="223" t="s">
        <v>8</v>
      </c>
      <c r="F1000" s="224">
        <v>2</v>
      </c>
      <c r="G1000" s="2">
        <v>22</v>
      </c>
      <c r="H1000" s="195">
        <f>VLOOKUP(B1000,'22'!$D$7:$K$120,8,0)</f>
        <v>29</v>
      </c>
    </row>
    <row r="1001" spans="1:8" ht="15.75" hidden="1" thickTop="1" x14ac:dyDescent="0.25">
      <c r="A1001" s="2">
        <v>43</v>
      </c>
      <c r="B1001" s="2" t="str">
        <f t="shared" si="22"/>
        <v>PREPARE_EAST_B_1_22</v>
      </c>
      <c r="C1001" s="223" t="s">
        <v>46</v>
      </c>
      <c r="D1001" s="223" t="s">
        <v>18</v>
      </c>
      <c r="E1001" s="223" t="s">
        <v>3</v>
      </c>
      <c r="F1001" s="224">
        <v>1</v>
      </c>
      <c r="G1001" s="2">
        <v>22</v>
      </c>
      <c r="H1001" s="195">
        <f>VLOOKUP(B1001,'22'!$D$7:$K$120,8,0)</f>
        <v>32</v>
      </c>
    </row>
    <row r="1002" spans="1:8" ht="15.75" hidden="1" thickTop="1" x14ac:dyDescent="0.25">
      <c r="A1002" s="2">
        <v>43</v>
      </c>
      <c r="B1002" s="2" t="str">
        <f t="shared" si="22"/>
        <v>PREPARE_EAST_E_2_22</v>
      </c>
      <c r="C1002" s="223" t="s">
        <v>46</v>
      </c>
      <c r="D1002" s="223" t="s">
        <v>18</v>
      </c>
      <c r="E1002" s="223" t="s">
        <v>6</v>
      </c>
      <c r="F1002" s="224">
        <v>2</v>
      </c>
      <c r="G1002" s="2">
        <v>22</v>
      </c>
      <c r="H1002" s="195">
        <f>VLOOKUP(B1002,'22'!$D$7:$K$120,8,0)</f>
        <v>35</v>
      </c>
    </row>
    <row r="1003" spans="1:8" ht="15.75" hidden="1" thickTop="1" x14ac:dyDescent="0.25">
      <c r="A1003" s="2">
        <v>43</v>
      </c>
      <c r="B1003" s="2" t="str">
        <f t="shared" si="22"/>
        <v>PREPARE_EAST_D_1_22</v>
      </c>
      <c r="C1003" s="223" t="s">
        <v>46</v>
      </c>
      <c r="D1003" s="223" t="s">
        <v>18</v>
      </c>
      <c r="E1003" s="223" t="s">
        <v>47</v>
      </c>
      <c r="F1003" s="224">
        <v>1</v>
      </c>
      <c r="G1003" s="2">
        <v>22</v>
      </c>
      <c r="H1003" s="195">
        <f>VLOOKUP(B1003,'22'!$D$7:$K$120,8,0)</f>
        <v>37</v>
      </c>
    </row>
    <row r="1004" spans="1:8" ht="15.75" hidden="1" thickTop="1" x14ac:dyDescent="0.25">
      <c r="A1004" s="2">
        <v>43</v>
      </c>
      <c r="B1004" s="2" t="str">
        <f t="shared" si="22"/>
        <v>PREPARE_EAST_K_2_22</v>
      </c>
      <c r="C1004" s="223" t="s">
        <v>46</v>
      </c>
      <c r="D1004" s="223" t="s">
        <v>18</v>
      </c>
      <c r="E1004" s="223" t="s">
        <v>12</v>
      </c>
      <c r="F1004" s="224">
        <v>2</v>
      </c>
      <c r="G1004" s="2">
        <v>22</v>
      </c>
      <c r="H1004" s="195">
        <f>VLOOKUP(B1004,'22'!$D$7:$K$120,8,0)</f>
        <v>40</v>
      </c>
    </row>
    <row r="1005" spans="1:8" ht="15.75" hidden="1" thickTop="1" x14ac:dyDescent="0.25">
      <c r="A1005" s="2">
        <v>43</v>
      </c>
      <c r="B1005" s="2" t="str">
        <f t="shared" si="22"/>
        <v>PREPARE_WEST_H_1_22</v>
      </c>
      <c r="C1005" s="223" t="s">
        <v>46</v>
      </c>
      <c r="D1005" s="223" t="s">
        <v>19</v>
      </c>
      <c r="E1005" s="223" t="s">
        <v>9</v>
      </c>
      <c r="F1005" s="224">
        <v>1</v>
      </c>
      <c r="G1005" s="2">
        <v>22</v>
      </c>
      <c r="H1005" s="195">
        <f>VLOOKUP(B1005,'22'!$D$7:$K$120,8,0)</f>
        <v>21</v>
      </c>
    </row>
    <row r="1006" spans="1:8" ht="15.75" hidden="1" thickTop="1" x14ac:dyDescent="0.25">
      <c r="A1006" s="2">
        <v>43</v>
      </c>
      <c r="B1006" s="2" t="str">
        <f t="shared" si="22"/>
        <v>PREPARE_WEST_P_2_22</v>
      </c>
      <c r="C1006" s="223" t="s">
        <v>46</v>
      </c>
      <c r="D1006" s="223" t="s">
        <v>19</v>
      </c>
      <c r="E1006" s="223" t="s">
        <v>41</v>
      </c>
      <c r="F1006" s="224">
        <v>2</v>
      </c>
      <c r="G1006" s="2">
        <v>22</v>
      </c>
      <c r="H1006" s="195">
        <f>VLOOKUP(B1006,'22'!$D$7:$K$120,8,0)</f>
        <v>24</v>
      </c>
    </row>
    <row r="1007" spans="1:8" ht="15.75" hidden="1" thickTop="1" x14ac:dyDescent="0.25">
      <c r="A1007" s="2">
        <v>43</v>
      </c>
      <c r="B1007" s="2" t="str">
        <f t="shared" si="22"/>
        <v>PREPARE_WEST_O_1_22</v>
      </c>
      <c r="C1007" s="223" t="s">
        <v>46</v>
      </c>
      <c r="D1007" s="223" t="s">
        <v>19</v>
      </c>
      <c r="E1007" s="223" t="s">
        <v>40</v>
      </c>
      <c r="F1007" s="224">
        <v>1</v>
      </c>
      <c r="G1007" s="2">
        <v>22</v>
      </c>
      <c r="H1007" s="195">
        <f>VLOOKUP(B1007,'22'!$D$7:$K$120,8,0)</f>
        <v>27</v>
      </c>
    </row>
    <row r="1008" spans="1:8" ht="15.75" hidden="1" thickTop="1" x14ac:dyDescent="0.25">
      <c r="A1008" s="2">
        <v>43</v>
      </c>
      <c r="B1008" s="2" t="str">
        <f t="shared" si="22"/>
        <v>PREPARE_WEST_L_2_22</v>
      </c>
      <c r="C1008" s="223" t="s">
        <v>46</v>
      </c>
      <c r="D1008" s="223" t="s">
        <v>19</v>
      </c>
      <c r="E1008" s="223" t="s">
        <v>13</v>
      </c>
      <c r="F1008" s="224">
        <v>2</v>
      </c>
      <c r="G1008" s="2">
        <v>22</v>
      </c>
      <c r="H1008" s="195">
        <f>VLOOKUP(B1008,'22'!$D$7:$K$120,8,0)</f>
        <v>29</v>
      </c>
    </row>
    <row r="1009" spans="1:8" ht="15.75" hidden="1" thickTop="1" x14ac:dyDescent="0.25">
      <c r="A1009" s="2">
        <v>43</v>
      </c>
      <c r="B1009" s="2" t="str">
        <f t="shared" si="22"/>
        <v>PREPARE_WEST_N_1_22</v>
      </c>
      <c r="C1009" s="223" t="s">
        <v>46</v>
      </c>
      <c r="D1009" s="223" t="s">
        <v>19</v>
      </c>
      <c r="E1009" s="223" t="s">
        <v>15</v>
      </c>
      <c r="F1009" s="224">
        <v>1</v>
      </c>
      <c r="G1009" s="2">
        <v>22</v>
      </c>
      <c r="H1009" s="195">
        <f>VLOOKUP(B1009,'22'!$D$7:$K$120,8,0)</f>
        <v>32</v>
      </c>
    </row>
    <row r="1010" spans="1:8" ht="15.75" hidden="1" thickTop="1" x14ac:dyDescent="0.25">
      <c r="A1010" s="2">
        <v>43</v>
      </c>
      <c r="B1010" s="2" t="str">
        <f t="shared" si="22"/>
        <v>PREPARE_WEST_J_2_22</v>
      </c>
      <c r="C1010" s="223" t="s">
        <v>46</v>
      </c>
      <c r="D1010" s="223" t="s">
        <v>19</v>
      </c>
      <c r="E1010" s="223" t="s">
        <v>11</v>
      </c>
      <c r="F1010" s="224">
        <v>2</v>
      </c>
      <c r="G1010" s="2">
        <v>22</v>
      </c>
      <c r="H1010" s="195">
        <f>VLOOKUP(B1010,'22'!$D$7:$K$120,8,0)</f>
        <v>34</v>
      </c>
    </row>
    <row r="1011" spans="1:8" ht="15.75" hidden="1" thickTop="1" x14ac:dyDescent="0.25">
      <c r="A1011" s="2">
        <v>43</v>
      </c>
      <c r="B1011" s="2" t="str">
        <f t="shared" si="22"/>
        <v>PREPARE_WEST_Q_1_22</v>
      </c>
      <c r="C1011" s="223" t="s">
        <v>46</v>
      </c>
      <c r="D1011" s="223" t="s">
        <v>19</v>
      </c>
      <c r="E1011" s="223" t="s">
        <v>59</v>
      </c>
      <c r="F1011" s="224">
        <v>1</v>
      </c>
      <c r="G1011" s="2">
        <v>22</v>
      </c>
      <c r="H1011" s="195">
        <f>VLOOKUP(B1011,'22'!$D$7:$K$120,8,0)</f>
        <v>36</v>
      </c>
    </row>
    <row r="1012" spans="1:8" ht="15.75" hidden="1" thickTop="1" x14ac:dyDescent="0.25">
      <c r="A1012" s="2">
        <v>43</v>
      </c>
      <c r="B1012" s="2" t="str">
        <f t="shared" si="22"/>
        <v>PREPARE_WEST_F_2_22</v>
      </c>
      <c r="C1012" s="223" t="s">
        <v>46</v>
      </c>
      <c r="D1012" s="223" t="s">
        <v>19</v>
      </c>
      <c r="E1012" s="223" t="s">
        <v>7</v>
      </c>
      <c r="F1012" s="224">
        <v>2</v>
      </c>
      <c r="G1012" s="2">
        <v>22</v>
      </c>
      <c r="H1012" s="195">
        <f>VLOOKUP(B1012,'22'!$D$7:$K$120,8,0)</f>
        <v>37</v>
      </c>
    </row>
    <row r="1013" spans="1:8" ht="15.75" hidden="1" thickTop="1" x14ac:dyDescent="0.25">
      <c r="A1013" s="2">
        <v>43</v>
      </c>
      <c r="B1013" s="2" t="str">
        <f t="shared" si="22"/>
        <v>PREPARE_WEST_M_1_22</v>
      </c>
      <c r="C1013" s="223" t="s">
        <v>46</v>
      </c>
      <c r="D1013" s="223" t="s">
        <v>19</v>
      </c>
      <c r="E1013" s="223" t="s">
        <v>14</v>
      </c>
      <c r="F1013" s="224">
        <v>1</v>
      </c>
      <c r="G1013" s="2">
        <v>22</v>
      </c>
      <c r="H1013" s="195">
        <f>VLOOKUP(B1013,'22'!$D$7:$K$120,8,0)</f>
        <v>40</v>
      </c>
    </row>
    <row r="1014" spans="1:8" ht="15.75" hidden="1" thickTop="1" x14ac:dyDescent="0.25">
      <c r="A1014" s="2">
        <v>43</v>
      </c>
      <c r="B1014" s="2" t="str">
        <f t="shared" si="22"/>
        <v>SUPPLY_EAST_UNP_1_22</v>
      </c>
      <c r="C1014" s="223" t="s">
        <v>0</v>
      </c>
      <c r="D1014" s="223" t="s">
        <v>18</v>
      </c>
      <c r="E1014" s="223" t="s">
        <v>42</v>
      </c>
      <c r="F1014" s="224">
        <v>1</v>
      </c>
      <c r="G1014" s="2">
        <v>22</v>
      </c>
      <c r="H1014" s="195">
        <f>VLOOKUP(B1014,'22'!$D$7:$K$120,8,0)</f>
        <v>0</v>
      </c>
    </row>
    <row r="1015" spans="1:8" ht="15.75" hidden="1" thickTop="1" x14ac:dyDescent="0.25">
      <c r="A1015" s="2">
        <v>43</v>
      </c>
      <c r="B1015" s="2" t="str">
        <f t="shared" si="22"/>
        <v>SUPPLY_EAST_A_2_22</v>
      </c>
      <c r="C1015" s="223" t="s">
        <v>0</v>
      </c>
      <c r="D1015" s="223" t="s">
        <v>18</v>
      </c>
      <c r="E1015" s="352" t="s">
        <v>2</v>
      </c>
      <c r="F1015" s="224">
        <v>2</v>
      </c>
      <c r="G1015" s="2">
        <v>22</v>
      </c>
      <c r="H1015" s="195">
        <f>VLOOKUP(B1015,'22'!$D$7:$K$120,8,0)</f>
        <v>3</v>
      </c>
    </row>
    <row r="1016" spans="1:8" ht="15.75" hidden="1" thickTop="1" x14ac:dyDescent="0.25">
      <c r="A1016" s="2">
        <v>43</v>
      </c>
      <c r="B1016" s="2" t="str">
        <f t="shared" si="22"/>
        <v>SUPPLY_EAST_C/U_1_22</v>
      </c>
      <c r="C1016" s="223" t="s">
        <v>0</v>
      </c>
      <c r="D1016" s="223" t="s">
        <v>18</v>
      </c>
      <c r="E1016" s="352" t="s">
        <v>67</v>
      </c>
      <c r="F1016" s="224">
        <v>1</v>
      </c>
      <c r="G1016" s="2">
        <v>22</v>
      </c>
      <c r="H1016" s="195">
        <f>VLOOKUP(B1016,'22'!$D$7:$K$120,8,0)</f>
        <v>4</v>
      </c>
    </row>
    <row r="1017" spans="1:8" ht="15.75" hidden="1" thickTop="1" x14ac:dyDescent="0.25">
      <c r="A1017" s="2">
        <v>43</v>
      </c>
      <c r="B1017" s="2" t="str">
        <f t="shared" si="22"/>
        <v>SUPPLY_EAST_C_2_22</v>
      </c>
      <c r="C1017" s="223" t="s">
        <v>0</v>
      </c>
      <c r="D1017" s="223" t="s">
        <v>18</v>
      </c>
      <c r="E1017" s="223" t="s">
        <v>4</v>
      </c>
      <c r="F1017" s="224">
        <v>2</v>
      </c>
      <c r="G1017" s="2">
        <v>22</v>
      </c>
      <c r="H1017" s="195">
        <f>VLOOKUP(B1017,'22'!$D$7:$K$120,8,0)</f>
        <v>5</v>
      </c>
    </row>
    <row r="1018" spans="1:8" ht="15.75" hidden="1" thickTop="1" x14ac:dyDescent="0.25">
      <c r="A1018" s="2">
        <v>43</v>
      </c>
      <c r="B1018" s="2" t="str">
        <f t="shared" si="22"/>
        <v>SUPPLY_EAST_I_1_22</v>
      </c>
      <c r="C1018" s="223" t="s">
        <v>0</v>
      </c>
      <c r="D1018" s="223" t="s">
        <v>18</v>
      </c>
      <c r="E1018" s="223" t="s">
        <v>10</v>
      </c>
      <c r="F1018" s="224">
        <v>1</v>
      </c>
      <c r="G1018" s="2">
        <v>22</v>
      </c>
      <c r="H1018" s="195">
        <f>VLOOKUP(B1018,'22'!$D$7:$K$120,8,0)</f>
        <v>7</v>
      </c>
    </row>
    <row r="1019" spans="1:8" ht="15.75" hidden="1" thickTop="1" x14ac:dyDescent="0.25">
      <c r="A1019" s="2">
        <v>43</v>
      </c>
      <c r="B1019" s="2" t="str">
        <f t="shared" si="22"/>
        <v>SUPPLY_EAST_G_2_22</v>
      </c>
      <c r="C1019" s="223" t="s">
        <v>0</v>
      </c>
      <c r="D1019" s="223" t="s">
        <v>18</v>
      </c>
      <c r="E1019" s="223" t="s">
        <v>8</v>
      </c>
      <c r="F1019" s="224">
        <v>2</v>
      </c>
      <c r="G1019" s="2">
        <v>22</v>
      </c>
      <c r="H1019" s="195">
        <f>VLOOKUP(B1019,'22'!$D$7:$K$120,8,0)</f>
        <v>9</v>
      </c>
    </row>
    <row r="1020" spans="1:8" ht="15.75" hidden="1" thickTop="1" x14ac:dyDescent="0.25">
      <c r="A1020" s="2">
        <v>43</v>
      </c>
      <c r="B1020" s="2" t="str">
        <f t="shared" si="22"/>
        <v>SUPPLY_EAST_B_1_22</v>
      </c>
      <c r="C1020" s="223" t="s">
        <v>0</v>
      </c>
      <c r="D1020" s="223" t="s">
        <v>18</v>
      </c>
      <c r="E1020" s="223" t="s">
        <v>3</v>
      </c>
      <c r="F1020" s="224">
        <v>1</v>
      </c>
      <c r="G1020" s="2">
        <v>22</v>
      </c>
      <c r="H1020" s="195">
        <f>VLOOKUP(B1020,'22'!$D$7:$K$120,8,0)</f>
        <v>12</v>
      </c>
    </row>
    <row r="1021" spans="1:8" ht="15.75" hidden="1" thickTop="1" x14ac:dyDescent="0.25">
      <c r="A1021" s="2">
        <v>43</v>
      </c>
      <c r="B1021" s="2" t="str">
        <f t="shared" si="22"/>
        <v>SUPPLY_EAST_E_2_22</v>
      </c>
      <c r="C1021" s="223" t="s">
        <v>0</v>
      </c>
      <c r="D1021" s="223" t="s">
        <v>18</v>
      </c>
      <c r="E1021" s="223" t="s">
        <v>6</v>
      </c>
      <c r="F1021" s="224">
        <v>2</v>
      </c>
      <c r="G1021" s="2">
        <v>22</v>
      </c>
      <c r="H1021" s="195">
        <f>VLOOKUP(B1021,'22'!$D$7:$K$120,8,0)</f>
        <v>15</v>
      </c>
    </row>
    <row r="1022" spans="1:8" ht="15.75" hidden="1" thickTop="1" x14ac:dyDescent="0.25">
      <c r="A1022" s="2">
        <v>43</v>
      </c>
      <c r="B1022" s="2" t="str">
        <f t="shared" si="22"/>
        <v>SUPPLY_EAST_D_1_22</v>
      </c>
      <c r="C1022" s="223" t="s">
        <v>0</v>
      </c>
      <c r="D1022" s="223" t="s">
        <v>18</v>
      </c>
      <c r="E1022" s="223" t="s">
        <v>47</v>
      </c>
      <c r="F1022" s="224">
        <v>1</v>
      </c>
      <c r="G1022" s="2">
        <v>22</v>
      </c>
      <c r="H1022" s="195">
        <f>VLOOKUP(B1022,'22'!$D$7:$K$120,8,0)</f>
        <v>17</v>
      </c>
    </row>
    <row r="1023" spans="1:8" ht="15.75" hidden="1" thickTop="1" x14ac:dyDescent="0.25">
      <c r="A1023" s="2">
        <v>43</v>
      </c>
      <c r="B1023" s="2" t="str">
        <f t="shared" si="22"/>
        <v>SUPPLY_EAST_K_2_22</v>
      </c>
      <c r="C1023" s="223" t="s">
        <v>0</v>
      </c>
      <c r="D1023" s="223" t="s">
        <v>18</v>
      </c>
      <c r="E1023" s="223" t="s">
        <v>12</v>
      </c>
      <c r="F1023" s="224">
        <v>2</v>
      </c>
      <c r="G1023" s="2">
        <v>22</v>
      </c>
      <c r="H1023" s="195">
        <f>VLOOKUP(B1023,'22'!$D$7:$K$120,8,0)</f>
        <v>20</v>
      </c>
    </row>
    <row r="1024" spans="1:8" ht="15.75" hidden="1" thickTop="1" x14ac:dyDescent="0.25">
      <c r="A1024" s="2">
        <v>43</v>
      </c>
      <c r="B1024" s="2" t="str">
        <f t="shared" si="22"/>
        <v>SUPPLY_WEST_H_1_22</v>
      </c>
      <c r="C1024" s="223" t="s">
        <v>0</v>
      </c>
      <c r="D1024" s="223" t="s">
        <v>19</v>
      </c>
      <c r="E1024" s="223" t="s">
        <v>9</v>
      </c>
      <c r="F1024" s="224">
        <v>1</v>
      </c>
      <c r="G1024" s="2">
        <v>22</v>
      </c>
      <c r="H1024" s="195">
        <f>VLOOKUP(B1024,'22'!$D$7:$K$120,8,0)</f>
        <v>0</v>
      </c>
    </row>
    <row r="1025" spans="1:8" ht="15.75" hidden="1" thickTop="1" x14ac:dyDescent="0.25">
      <c r="A1025" s="2">
        <v>43</v>
      </c>
      <c r="B1025" s="2" t="str">
        <f t="shared" si="22"/>
        <v>SUPPLY_WEST_P_2_22</v>
      </c>
      <c r="C1025" s="223" t="s">
        <v>0</v>
      </c>
      <c r="D1025" s="223" t="s">
        <v>19</v>
      </c>
      <c r="E1025" s="223" t="s">
        <v>41</v>
      </c>
      <c r="F1025" s="224">
        <v>2</v>
      </c>
      <c r="G1025" s="2">
        <v>22</v>
      </c>
      <c r="H1025" s="195">
        <f>VLOOKUP(B1025,'22'!$D$7:$K$120,8,0)</f>
        <v>4</v>
      </c>
    </row>
    <row r="1026" spans="1:8" ht="15.75" hidden="1" thickTop="1" x14ac:dyDescent="0.25">
      <c r="A1026" s="2">
        <v>43</v>
      </c>
      <c r="B1026" s="2" t="str">
        <f t="shared" si="22"/>
        <v>SUPPLY_WEST_O_1_22</v>
      </c>
      <c r="C1026" s="223" t="s">
        <v>0</v>
      </c>
      <c r="D1026" s="223" t="s">
        <v>19</v>
      </c>
      <c r="E1026" s="223" t="s">
        <v>40</v>
      </c>
      <c r="F1026" s="224">
        <v>1</v>
      </c>
      <c r="G1026" s="2">
        <v>22</v>
      </c>
      <c r="H1026" s="195">
        <f>VLOOKUP(B1026,'22'!$D$7:$K$120,8,0)</f>
        <v>7</v>
      </c>
    </row>
    <row r="1027" spans="1:8" ht="15.75" hidden="1" thickTop="1" x14ac:dyDescent="0.25">
      <c r="A1027" s="2">
        <v>43</v>
      </c>
      <c r="B1027" s="2" t="str">
        <f t="shared" si="22"/>
        <v>SUPPLY_WEST_L_2_22</v>
      </c>
      <c r="C1027" s="223" t="s">
        <v>0</v>
      </c>
      <c r="D1027" s="223" t="s">
        <v>19</v>
      </c>
      <c r="E1027" s="223" t="s">
        <v>13</v>
      </c>
      <c r="F1027" s="224">
        <v>2</v>
      </c>
      <c r="G1027" s="2">
        <v>22</v>
      </c>
      <c r="H1027" s="195">
        <f>VLOOKUP(B1027,'22'!$D$7:$K$120,8,0)</f>
        <v>9</v>
      </c>
    </row>
    <row r="1028" spans="1:8" ht="15.75" hidden="1" thickTop="1" x14ac:dyDescent="0.25">
      <c r="A1028" s="2">
        <v>43</v>
      </c>
      <c r="B1028" s="2" t="str">
        <f t="shared" si="22"/>
        <v>SUPPLY_WEST_N_1_22</v>
      </c>
      <c r="C1028" s="223" t="s">
        <v>0</v>
      </c>
      <c r="D1028" s="223" t="s">
        <v>19</v>
      </c>
      <c r="E1028" s="223" t="s">
        <v>15</v>
      </c>
      <c r="F1028" s="224">
        <v>1</v>
      </c>
      <c r="G1028" s="2">
        <v>22</v>
      </c>
      <c r="H1028" s="195">
        <f>VLOOKUP(B1028,'22'!$D$7:$K$120,8,0)</f>
        <v>12</v>
      </c>
    </row>
    <row r="1029" spans="1:8" ht="15.75" hidden="1" thickTop="1" x14ac:dyDescent="0.25">
      <c r="A1029" s="2">
        <v>43</v>
      </c>
      <c r="B1029" s="2" t="str">
        <f t="shared" si="22"/>
        <v>SUPPLY_WEST_J_2_22</v>
      </c>
      <c r="C1029" s="223" t="s">
        <v>0</v>
      </c>
      <c r="D1029" s="223" t="s">
        <v>19</v>
      </c>
      <c r="E1029" s="223" t="s">
        <v>11</v>
      </c>
      <c r="F1029" s="224">
        <v>2</v>
      </c>
      <c r="G1029" s="2">
        <v>22</v>
      </c>
      <c r="H1029" s="195">
        <f>VLOOKUP(B1029,'22'!$D$7:$K$120,8,0)</f>
        <v>14</v>
      </c>
    </row>
    <row r="1030" spans="1:8" ht="15.75" hidden="1" thickTop="1" x14ac:dyDescent="0.25">
      <c r="A1030" s="2">
        <v>43</v>
      </c>
      <c r="B1030" s="2" t="str">
        <f t="shared" si="22"/>
        <v>SUPPLY_WEST_Q_1_22</v>
      </c>
      <c r="C1030" s="223" t="s">
        <v>0</v>
      </c>
      <c r="D1030" s="223" t="s">
        <v>19</v>
      </c>
      <c r="E1030" s="223" t="s">
        <v>59</v>
      </c>
      <c r="F1030" s="224">
        <v>1</v>
      </c>
      <c r="G1030" s="2">
        <v>22</v>
      </c>
      <c r="H1030" s="195">
        <f>VLOOKUP(B1030,'22'!$D$7:$K$120,8,0)</f>
        <v>16</v>
      </c>
    </row>
    <row r="1031" spans="1:8" ht="15.75" hidden="1" thickTop="1" x14ac:dyDescent="0.25">
      <c r="A1031" s="2">
        <v>43</v>
      </c>
      <c r="B1031" s="2" t="str">
        <f t="shared" si="22"/>
        <v>SUPPLY_WEST_F_2_22</v>
      </c>
      <c r="C1031" s="223" t="s">
        <v>0</v>
      </c>
      <c r="D1031" s="223" t="s">
        <v>19</v>
      </c>
      <c r="E1031" s="223" t="s">
        <v>7</v>
      </c>
      <c r="F1031" s="224">
        <v>2</v>
      </c>
      <c r="G1031" s="2">
        <v>22</v>
      </c>
      <c r="H1031" s="195">
        <f>VLOOKUP(B1031,'22'!$D$7:$K$120,8,0)</f>
        <v>17</v>
      </c>
    </row>
    <row r="1032" spans="1:8" ht="15.75" hidden="1" thickTop="1" x14ac:dyDescent="0.25">
      <c r="A1032" s="2">
        <v>43</v>
      </c>
      <c r="B1032" s="2" t="str">
        <f t="shared" si="22"/>
        <v>SUPPLY_WEST_M_1_22</v>
      </c>
      <c r="C1032" s="223" t="s">
        <v>0</v>
      </c>
      <c r="D1032" s="223" t="s">
        <v>19</v>
      </c>
      <c r="E1032" s="223" t="s">
        <v>14</v>
      </c>
      <c r="F1032" s="224">
        <v>1</v>
      </c>
      <c r="G1032" s="2">
        <v>22</v>
      </c>
      <c r="H1032" s="195">
        <f>VLOOKUP(B1032,'22'!$D$7:$K$120,8,0)</f>
        <v>20</v>
      </c>
    </row>
    <row r="1033" spans="1:8" ht="15.75" hidden="1" thickTop="1" x14ac:dyDescent="0.25">
      <c r="A1033" s="2">
        <v>43</v>
      </c>
      <c r="B1033" s="2" t="str">
        <f t="shared" si="22"/>
        <v>EMPTY_EAST_UNP_1_22</v>
      </c>
      <c r="C1033" s="223" t="s">
        <v>32</v>
      </c>
      <c r="D1033" s="223" t="s">
        <v>18</v>
      </c>
      <c r="E1033" s="223" t="s">
        <v>42</v>
      </c>
      <c r="F1033" s="224">
        <v>1</v>
      </c>
      <c r="G1033" s="2">
        <v>22</v>
      </c>
      <c r="H1033" s="195">
        <f>VLOOKUP(B1033,'22'!$D$7:$K$120,8,0)</f>
        <v>18</v>
      </c>
    </row>
    <row r="1034" spans="1:8" ht="15.75" hidden="1" thickTop="1" x14ac:dyDescent="0.25">
      <c r="A1034" s="2">
        <v>43</v>
      </c>
      <c r="B1034" s="2" t="str">
        <f t="shared" si="22"/>
        <v>EMPTY_EAST_A_2_22</v>
      </c>
      <c r="C1034" s="223" t="s">
        <v>32</v>
      </c>
      <c r="D1034" s="223" t="s">
        <v>18</v>
      </c>
      <c r="E1034" s="352" t="s">
        <v>2</v>
      </c>
      <c r="F1034" s="224">
        <v>2</v>
      </c>
      <c r="G1034" s="2">
        <v>22</v>
      </c>
      <c r="H1034" s="195">
        <f>VLOOKUP(B1034,'22'!$D$7:$K$120,8,0)</f>
        <v>20</v>
      </c>
    </row>
    <row r="1035" spans="1:8" ht="15.75" hidden="1" thickTop="1" x14ac:dyDescent="0.25">
      <c r="A1035" s="2">
        <v>43</v>
      </c>
      <c r="B1035" s="2" t="str">
        <f t="shared" si="22"/>
        <v>EMPTY_EAST_C/U_1_22</v>
      </c>
      <c r="C1035" s="223" t="s">
        <v>32</v>
      </c>
      <c r="D1035" s="223" t="s">
        <v>18</v>
      </c>
      <c r="E1035" s="352" t="s">
        <v>67</v>
      </c>
      <c r="F1035" s="224">
        <v>1</v>
      </c>
      <c r="G1035" s="2">
        <v>22</v>
      </c>
      <c r="H1035" s="195">
        <f>VLOOKUP(B1035,'22'!$D$7:$K$120,8,0)</f>
        <v>21</v>
      </c>
    </row>
    <row r="1036" spans="1:8" ht="15.75" hidden="1" thickTop="1" x14ac:dyDescent="0.25">
      <c r="A1036" s="2">
        <v>43</v>
      </c>
      <c r="B1036" s="2" t="str">
        <f t="shared" si="22"/>
        <v>EMPTY_EAST_C_2_22</v>
      </c>
      <c r="C1036" s="223" t="s">
        <v>32</v>
      </c>
      <c r="D1036" s="223" t="s">
        <v>18</v>
      </c>
      <c r="E1036" s="223" t="s">
        <v>4</v>
      </c>
      <c r="F1036" s="224">
        <v>2</v>
      </c>
      <c r="G1036" s="2">
        <v>22</v>
      </c>
      <c r="H1036" s="195">
        <f>VLOOKUP(B1036,'22'!$D$7:$K$120,8,0)</f>
        <v>22</v>
      </c>
    </row>
    <row r="1037" spans="1:8" ht="15.75" hidden="1" thickTop="1" x14ac:dyDescent="0.25">
      <c r="A1037" s="2">
        <v>43</v>
      </c>
      <c r="B1037" s="2" t="str">
        <f t="shared" si="22"/>
        <v>EMPTY_EAST_I_1_22</v>
      </c>
      <c r="C1037" s="223" t="s">
        <v>32</v>
      </c>
      <c r="D1037" s="223" t="s">
        <v>18</v>
      </c>
      <c r="E1037" s="223" t="s">
        <v>10</v>
      </c>
      <c r="F1037" s="224">
        <v>1</v>
      </c>
      <c r="G1037" s="2">
        <v>22</v>
      </c>
      <c r="H1037" s="195">
        <f>VLOOKUP(B1037,'22'!$D$7:$K$120,8,0)</f>
        <v>25</v>
      </c>
    </row>
    <row r="1038" spans="1:8" ht="15.75" hidden="1" thickTop="1" x14ac:dyDescent="0.25">
      <c r="A1038" s="2">
        <v>43</v>
      </c>
      <c r="B1038" s="2" t="str">
        <f t="shared" si="22"/>
        <v>EMPTY_EAST_G_2_22</v>
      </c>
      <c r="C1038" s="223" t="s">
        <v>32</v>
      </c>
      <c r="D1038" s="223" t="s">
        <v>18</v>
      </c>
      <c r="E1038" s="223" t="s">
        <v>8</v>
      </c>
      <c r="F1038" s="224">
        <v>2</v>
      </c>
      <c r="G1038" s="2">
        <v>22</v>
      </c>
      <c r="H1038" s="195">
        <f>VLOOKUP(B1038,'22'!$D$7:$K$120,8,0)</f>
        <v>27</v>
      </c>
    </row>
    <row r="1039" spans="1:8" ht="15.75" hidden="1" thickTop="1" x14ac:dyDescent="0.25">
      <c r="A1039" s="2">
        <v>43</v>
      </c>
      <c r="B1039" s="2" t="str">
        <f t="shared" si="22"/>
        <v>EMPTY_EAST_B_1_22</v>
      </c>
      <c r="C1039" s="223" t="s">
        <v>32</v>
      </c>
      <c r="D1039" s="223" t="s">
        <v>18</v>
      </c>
      <c r="E1039" s="223" t="s">
        <v>3</v>
      </c>
      <c r="F1039" s="224">
        <v>1</v>
      </c>
      <c r="G1039" s="2">
        <v>22</v>
      </c>
      <c r="H1039" s="195">
        <f>VLOOKUP(B1039,'22'!$D$7:$K$120,8,0)</f>
        <v>29</v>
      </c>
    </row>
    <row r="1040" spans="1:8" ht="15.75" hidden="1" thickTop="1" x14ac:dyDescent="0.25">
      <c r="A1040" s="2">
        <v>43</v>
      </c>
      <c r="B1040" s="2" t="str">
        <f t="shared" si="22"/>
        <v>EMPTY_EAST_E_2_22</v>
      </c>
      <c r="C1040" s="223" t="s">
        <v>32</v>
      </c>
      <c r="D1040" s="223" t="s">
        <v>18</v>
      </c>
      <c r="E1040" s="223" t="s">
        <v>6</v>
      </c>
      <c r="F1040" s="224">
        <v>2</v>
      </c>
      <c r="G1040" s="2">
        <v>22</v>
      </c>
      <c r="H1040" s="195">
        <f>VLOOKUP(B1040,'22'!$D$7:$K$120,8,0)</f>
        <v>32</v>
      </c>
    </row>
    <row r="1041" spans="1:8" ht="15.75" hidden="1" thickTop="1" x14ac:dyDescent="0.25">
      <c r="A1041" s="2">
        <v>43</v>
      </c>
      <c r="B1041" s="2" t="str">
        <f t="shared" si="22"/>
        <v>EMPTY_EAST_D_1_22</v>
      </c>
      <c r="C1041" s="223" t="s">
        <v>32</v>
      </c>
      <c r="D1041" s="223" t="s">
        <v>18</v>
      </c>
      <c r="E1041" s="223" t="s">
        <v>47</v>
      </c>
      <c r="F1041" s="224">
        <v>1</v>
      </c>
      <c r="G1041" s="2">
        <v>22</v>
      </c>
      <c r="H1041" s="195">
        <f>VLOOKUP(B1041,'22'!$D$7:$K$120,8,0)</f>
        <v>34</v>
      </c>
    </row>
    <row r="1042" spans="1:8" ht="15.75" hidden="1" thickTop="1" x14ac:dyDescent="0.25">
      <c r="A1042" s="2">
        <v>43</v>
      </c>
      <c r="B1042" s="2" t="str">
        <f t="shared" si="22"/>
        <v>EMPTY_EAST_K_2_22</v>
      </c>
      <c r="C1042" s="223" t="s">
        <v>32</v>
      </c>
      <c r="D1042" s="223" t="s">
        <v>18</v>
      </c>
      <c r="E1042" s="223" t="s">
        <v>12</v>
      </c>
      <c r="F1042" s="224">
        <v>2</v>
      </c>
      <c r="G1042" s="2">
        <v>22</v>
      </c>
      <c r="H1042" s="195">
        <f>VLOOKUP(B1042,'22'!$D$7:$K$120,8,0)</f>
        <v>37</v>
      </c>
    </row>
    <row r="1043" spans="1:8" ht="15.75" hidden="1" thickTop="1" x14ac:dyDescent="0.25">
      <c r="A1043" s="2">
        <v>43</v>
      </c>
      <c r="B1043" s="2" t="str">
        <f t="shared" si="22"/>
        <v>EMPTY_WEST_H_1_22</v>
      </c>
      <c r="C1043" s="223" t="s">
        <v>32</v>
      </c>
      <c r="D1043" s="223" t="s">
        <v>19</v>
      </c>
      <c r="E1043" s="223" t="s">
        <v>9</v>
      </c>
      <c r="F1043" s="224">
        <v>1</v>
      </c>
      <c r="G1043" s="2">
        <v>22</v>
      </c>
      <c r="H1043" s="195">
        <f>VLOOKUP(B1043,'22'!$D$7:$K$120,8,0)</f>
        <v>19</v>
      </c>
    </row>
    <row r="1044" spans="1:8" ht="15.75" hidden="1" thickTop="1" x14ac:dyDescent="0.25">
      <c r="A1044" s="2">
        <v>43</v>
      </c>
      <c r="B1044" s="2" t="str">
        <f t="shared" si="22"/>
        <v>EMPTY_WEST_P_2_22</v>
      </c>
      <c r="C1044" s="223" t="s">
        <v>32</v>
      </c>
      <c r="D1044" s="223" t="s">
        <v>19</v>
      </c>
      <c r="E1044" s="223" t="s">
        <v>41</v>
      </c>
      <c r="F1044" s="224">
        <v>2</v>
      </c>
      <c r="G1044" s="2">
        <v>22</v>
      </c>
      <c r="H1044" s="195">
        <f>VLOOKUP(B1044,'22'!$D$7:$K$120,8,0)</f>
        <v>21</v>
      </c>
    </row>
    <row r="1045" spans="1:8" ht="15.75" hidden="1" thickTop="1" x14ac:dyDescent="0.25">
      <c r="A1045" s="2">
        <v>43</v>
      </c>
      <c r="B1045" s="2" t="str">
        <f t="shared" si="22"/>
        <v>EMPTY_WEST_O_1_22</v>
      </c>
      <c r="C1045" s="223" t="s">
        <v>32</v>
      </c>
      <c r="D1045" s="223" t="s">
        <v>19</v>
      </c>
      <c r="E1045" s="223" t="s">
        <v>40</v>
      </c>
      <c r="F1045" s="224">
        <v>1</v>
      </c>
      <c r="G1045" s="2">
        <v>22</v>
      </c>
      <c r="H1045" s="195">
        <f>VLOOKUP(B1045,'22'!$D$7:$K$120,8,0)</f>
        <v>24</v>
      </c>
    </row>
    <row r="1046" spans="1:8" ht="15.75" hidden="1" thickTop="1" x14ac:dyDescent="0.25">
      <c r="A1046" s="2">
        <v>43</v>
      </c>
      <c r="B1046" s="2" t="str">
        <f t="shared" si="22"/>
        <v>EMPTY_WEST_L_2_22</v>
      </c>
      <c r="C1046" s="223" t="s">
        <v>32</v>
      </c>
      <c r="D1046" s="223" t="s">
        <v>19</v>
      </c>
      <c r="E1046" s="223" t="s">
        <v>13</v>
      </c>
      <c r="F1046" s="224">
        <v>2</v>
      </c>
      <c r="G1046" s="2">
        <v>22</v>
      </c>
      <c r="H1046" s="195">
        <f>VLOOKUP(B1046,'22'!$D$7:$K$120,8,0)</f>
        <v>26</v>
      </c>
    </row>
    <row r="1047" spans="1:8" ht="15.75" hidden="1" thickTop="1" x14ac:dyDescent="0.25">
      <c r="A1047" s="2">
        <v>43</v>
      </c>
      <c r="B1047" s="2" t="str">
        <f t="shared" si="22"/>
        <v>EMPTY_WEST_N_1_22</v>
      </c>
      <c r="C1047" s="223" t="s">
        <v>32</v>
      </c>
      <c r="D1047" s="223" t="s">
        <v>19</v>
      </c>
      <c r="E1047" s="223" t="s">
        <v>15</v>
      </c>
      <c r="F1047" s="224">
        <v>1</v>
      </c>
      <c r="G1047" s="2">
        <v>22</v>
      </c>
      <c r="H1047" s="195">
        <f>VLOOKUP(B1047,'22'!$D$7:$K$120,8,0)</f>
        <v>30</v>
      </c>
    </row>
    <row r="1048" spans="1:8" ht="15.75" hidden="1" thickTop="1" x14ac:dyDescent="0.25">
      <c r="A1048" s="2">
        <v>43</v>
      </c>
      <c r="B1048" s="2" t="str">
        <f t="shared" si="22"/>
        <v>EMPTY_WEST_J_2_22</v>
      </c>
      <c r="C1048" s="223" t="s">
        <v>32</v>
      </c>
      <c r="D1048" s="223" t="s">
        <v>19</v>
      </c>
      <c r="E1048" s="223" t="s">
        <v>11</v>
      </c>
      <c r="F1048" s="224">
        <v>2</v>
      </c>
      <c r="G1048" s="2">
        <v>22</v>
      </c>
      <c r="H1048" s="195">
        <f>VLOOKUP(B1048,'22'!$D$7:$K$120,8,0)</f>
        <v>31</v>
      </c>
    </row>
    <row r="1049" spans="1:8" ht="15.75" hidden="1" thickTop="1" x14ac:dyDescent="0.25">
      <c r="A1049" s="2">
        <v>43</v>
      </c>
      <c r="B1049" s="2" t="str">
        <f t="shared" si="22"/>
        <v>EMPTY_WEST_Q_1_22</v>
      </c>
      <c r="C1049" s="223" t="s">
        <v>32</v>
      </c>
      <c r="D1049" s="223" t="s">
        <v>19</v>
      </c>
      <c r="E1049" s="223" t="s">
        <v>59</v>
      </c>
      <c r="F1049" s="224">
        <v>1</v>
      </c>
      <c r="G1049" s="2">
        <v>22</v>
      </c>
      <c r="H1049" s="195">
        <f>VLOOKUP(B1049,'22'!$D$7:$K$120,8,0)</f>
        <v>33</v>
      </c>
    </row>
    <row r="1050" spans="1:8" ht="15.75" hidden="1" thickTop="1" x14ac:dyDescent="0.25">
      <c r="A1050" s="2">
        <v>43</v>
      </c>
      <c r="B1050" s="2" t="str">
        <f t="shared" si="22"/>
        <v>EMPTY_WEST_F_2_22</v>
      </c>
      <c r="C1050" s="223" t="s">
        <v>32</v>
      </c>
      <c r="D1050" s="223" t="s">
        <v>19</v>
      </c>
      <c r="E1050" s="223" t="s">
        <v>7</v>
      </c>
      <c r="F1050" s="224">
        <v>2</v>
      </c>
      <c r="G1050" s="2">
        <v>22</v>
      </c>
      <c r="H1050" s="195">
        <f>VLOOKUP(B1050,'22'!$D$7:$K$120,8,0)</f>
        <v>35</v>
      </c>
    </row>
    <row r="1051" spans="1:8" ht="15.75" hidden="1" thickTop="1" x14ac:dyDescent="0.25">
      <c r="A1051" s="2">
        <v>43</v>
      </c>
      <c r="B1051" s="2" t="str">
        <f t="shared" si="22"/>
        <v>EMPTY_WEST_M_1_22</v>
      </c>
      <c r="C1051" s="223" t="s">
        <v>32</v>
      </c>
      <c r="D1051" s="223" t="s">
        <v>19</v>
      </c>
      <c r="E1051" s="223" t="s">
        <v>14</v>
      </c>
      <c r="F1051" s="224">
        <v>1</v>
      </c>
      <c r="G1051" s="2">
        <v>22</v>
      </c>
      <c r="H1051" s="195">
        <f>VLOOKUP(B1051,'22'!$D$7:$K$120,8,0)</f>
        <v>38</v>
      </c>
    </row>
    <row r="1052" spans="1:8" ht="15.75" hidden="1" thickTop="1" x14ac:dyDescent="0.25">
      <c r="A1052" s="2">
        <v>43</v>
      </c>
      <c r="B1052" s="2" t="str">
        <f t="shared" si="22"/>
        <v>SORTING_EAST_UNP_1_23</v>
      </c>
      <c r="C1052" s="223" t="s">
        <v>45</v>
      </c>
      <c r="D1052" s="223" t="s">
        <v>18</v>
      </c>
      <c r="E1052" s="223" t="s">
        <v>42</v>
      </c>
      <c r="F1052" s="224">
        <v>1</v>
      </c>
      <c r="G1052" s="2">
        <v>23</v>
      </c>
      <c r="H1052" s="195">
        <f>VLOOKUP(B1052,'23'!$D$7:$K$120,8,0)</f>
        <v>0</v>
      </c>
    </row>
    <row r="1053" spans="1:8" ht="15.75" hidden="1" thickTop="1" x14ac:dyDescent="0.25">
      <c r="A1053" s="2">
        <v>43</v>
      </c>
      <c r="B1053" s="2" t="str">
        <f t="shared" si="22"/>
        <v>SORTING_EAST_A_2_23</v>
      </c>
      <c r="C1053" s="223" t="s">
        <v>45</v>
      </c>
      <c r="D1053" s="223" t="s">
        <v>18</v>
      </c>
      <c r="E1053" s="352" t="s">
        <v>2</v>
      </c>
      <c r="F1053" s="224">
        <v>2</v>
      </c>
      <c r="G1053" s="2">
        <v>23</v>
      </c>
      <c r="H1053" s="195">
        <f>VLOOKUP(B1053,'23'!$D$7:$K$120,8,0)</f>
        <v>2</v>
      </c>
    </row>
    <row r="1054" spans="1:8" ht="15.75" hidden="1" thickTop="1" x14ac:dyDescent="0.25">
      <c r="A1054" s="2">
        <v>43</v>
      </c>
      <c r="B1054" s="2" t="str">
        <f t="shared" si="22"/>
        <v>SORTING_EAST_C/U_1_23</v>
      </c>
      <c r="C1054" s="223" t="s">
        <v>45</v>
      </c>
      <c r="D1054" s="223" t="s">
        <v>18</v>
      </c>
      <c r="E1054" s="352" t="s">
        <v>67</v>
      </c>
      <c r="F1054" s="224">
        <v>1</v>
      </c>
      <c r="G1054" s="2">
        <v>23</v>
      </c>
      <c r="H1054" s="195">
        <f>VLOOKUP(B1054,'23'!$D$7:$K$120,8,0)</f>
        <v>4</v>
      </c>
    </row>
    <row r="1055" spans="1:8" ht="15.75" hidden="1" thickTop="1" x14ac:dyDescent="0.25">
      <c r="A1055" s="2">
        <v>43</v>
      </c>
      <c r="B1055" s="2" t="str">
        <f t="shared" si="22"/>
        <v>SORTING_EAST_C_2_23</v>
      </c>
      <c r="C1055" s="223" t="s">
        <v>45</v>
      </c>
      <c r="D1055" s="223" t="s">
        <v>18</v>
      </c>
      <c r="E1055" s="223" t="s">
        <v>4</v>
      </c>
      <c r="F1055" s="224">
        <v>2</v>
      </c>
      <c r="G1055" s="2">
        <v>23</v>
      </c>
      <c r="H1055" s="195">
        <f>VLOOKUP(B1055,'23'!$D$7:$K$120,8,0)</f>
        <v>5</v>
      </c>
    </row>
    <row r="1056" spans="1:8" ht="15.75" hidden="1" thickTop="1" x14ac:dyDescent="0.25">
      <c r="A1056" s="2">
        <v>43</v>
      </c>
      <c r="B1056" s="2" t="str">
        <f t="shared" si="22"/>
        <v>SORTING_EAST_I_1_23</v>
      </c>
      <c r="C1056" s="223" t="s">
        <v>45</v>
      </c>
      <c r="D1056" s="223" t="s">
        <v>18</v>
      </c>
      <c r="E1056" s="223" t="s">
        <v>10</v>
      </c>
      <c r="F1056" s="224">
        <v>1</v>
      </c>
      <c r="G1056" s="2">
        <v>23</v>
      </c>
      <c r="H1056" s="195">
        <f>VLOOKUP(B1056,'23'!$D$7:$K$120,8,0)</f>
        <v>9</v>
      </c>
    </row>
    <row r="1057" spans="1:8" ht="15.75" hidden="1" thickTop="1" x14ac:dyDescent="0.25">
      <c r="A1057" s="2">
        <v>43</v>
      </c>
      <c r="B1057" s="2" t="str">
        <f t="shared" si="22"/>
        <v>SORTING_EAST_G_2_23</v>
      </c>
      <c r="C1057" s="223" t="s">
        <v>45</v>
      </c>
      <c r="D1057" s="223" t="s">
        <v>18</v>
      </c>
      <c r="E1057" s="223" t="s">
        <v>8</v>
      </c>
      <c r="F1057" s="224">
        <v>2</v>
      </c>
      <c r="G1057" s="2">
        <v>23</v>
      </c>
      <c r="H1057" s="195">
        <f>VLOOKUP(B1057,'23'!$D$7:$K$120,8,0)</f>
        <v>11</v>
      </c>
    </row>
    <row r="1058" spans="1:8" ht="15.75" hidden="1" thickTop="1" x14ac:dyDescent="0.25">
      <c r="A1058" s="2">
        <v>43</v>
      </c>
      <c r="B1058" s="2" t="str">
        <f t="shared" si="22"/>
        <v>SORTING_EAST_B_1_23</v>
      </c>
      <c r="C1058" s="223" t="s">
        <v>45</v>
      </c>
      <c r="D1058" s="223" t="s">
        <v>18</v>
      </c>
      <c r="E1058" s="223" t="s">
        <v>3</v>
      </c>
      <c r="F1058" s="224">
        <v>1</v>
      </c>
      <c r="G1058" s="2">
        <v>23</v>
      </c>
      <c r="H1058" s="195">
        <f>VLOOKUP(B1058,'23'!$D$7:$K$120,8,0)</f>
        <v>13</v>
      </c>
    </row>
    <row r="1059" spans="1:8" ht="15.75" hidden="1" thickTop="1" x14ac:dyDescent="0.25">
      <c r="A1059" s="2">
        <v>43</v>
      </c>
      <c r="B1059" s="2" t="str">
        <f t="shared" si="22"/>
        <v>SORTING_EAST_E_2_23</v>
      </c>
      <c r="C1059" s="223" t="s">
        <v>45</v>
      </c>
      <c r="D1059" s="223" t="s">
        <v>18</v>
      </c>
      <c r="E1059" s="223" t="s">
        <v>6</v>
      </c>
      <c r="F1059" s="224">
        <v>2</v>
      </c>
      <c r="G1059" s="2">
        <v>23</v>
      </c>
      <c r="H1059" s="195">
        <f>VLOOKUP(B1059,'23'!$D$7:$K$120,8,0)</f>
        <v>15</v>
      </c>
    </row>
    <row r="1060" spans="1:8" ht="15.75" hidden="1" thickTop="1" x14ac:dyDescent="0.25">
      <c r="A1060" s="2">
        <v>43</v>
      </c>
      <c r="B1060" s="2" t="str">
        <f t="shared" si="22"/>
        <v>SORTING_EAST_D_1_23</v>
      </c>
      <c r="C1060" s="223" t="s">
        <v>45</v>
      </c>
      <c r="D1060" s="223" t="s">
        <v>18</v>
      </c>
      <c r="E1060" s="223" t="s">
        <v>47</v>
      </c>
      <c r="F1060" s="224">
        <v>1</v>
      </c>
      <c r="G1060" s="2">
        <v>23</v>
      </c>
      <c r="H1060" s="195">
        <f>VLOOKUP(B1060,'23'!$D$7:$K$120,8,0)</f>
        <v>17</v>
      </c>
    </row>
    <row r="1061" spans="1:8" ht="15.75" hidden="1" thickTop="1" x14ac:dyDescent="0.25">
      <c r="A1061" s="2">
        <v>43</v>
      </c>
      <c r="B1061" s="2" t="str">
        <f t="shared" si="22"/>
        <v>SORTING_EAST_K_2_23</v>
      </c>
      <c r="C1061" s="223" t="s">
        <v>45</v>
      </c>
      <c r="D1061" s="223" t="s">
        <v>18</v>
      </c>
      <c r="E1061" s="223" t="s">
        <v>12</v>
      </c>
      <c r="F1061" s="224">
        <v>2</v>
      </c>
      <c r="G1061" s="2">
        <v>23</v>
      </c>
      <c r="H1061" s="195">
        <f>VLOOKUP(B1061,'23'!$D$7:$K$120,8,0)</f>
        <v>20</v>
      </c>
    </row>
    <row r="1062" spans="1:8" ht="15.75" hidden="1" thickTop="1" x14ac:dyDescent="0.25">
      <c r="A1062" s="2">
        <v>43</v>
      </c>
      <c r="B1062" s="2" t="str">
        <f t="shared" ref="B1062:B1128" si="23">C1062&amp;"_"&amp;D1062&amp;"_"&amp;E1062&amp;"_"&amp;F1062&amp;"_"&amp;G1062</f>
        <v>SORTING_WEST_H_1_23</v>
      </c>
      <c r="C1062" s="223" t="s">
        <v>45</v>
      </c>
      <c r="D1062" s="223" t="s">
        <v>19</v>
      </c>
      <c r="E1062" s="223" t="s">
        <v>9</v>
      </c>
      <c r="F1062" s="224">
        <v>1</v>
      </c>
      <c r="G1062" s="2">
        <v>23</v>
      </c>
      <c r="H1062" s="195">
        <f>VLOOKUP(B1062,'23'!$D$7:$K$120,8,0)</f>
        <v>0</v>
      </c>
    </row>
    <row r="1063" spans="1:8" ht="15.75" hidden="1" thickTop="1" x14ac:dyDescent="0.25">
      <c r="A1063" s="2">
        <v>43</v>
      </c>
      <c r="B1063" s="2" t="str">
        <f t="shared" si="23"/>
        <v>SORTING_WEST_P_2_23</v>
      </c>
      <c r="C1063" s="223" t="s">
        <v>45</v>
      </c>
      <c r="D1063" s="223" t="s">
        <v>19</v>
      </c>
      <c r="E1063" s="223" t="s">
        <v>41</v>
      </c>
      <c r="F1063" s="224">
        <v>2</v>
      </c>
      <c r="G1063" s="2">
        <v>23</v>
      </c>
      <c r="H1063" s="195">
        <f>VLOOKUP(B1063,'23'!$D$7:$K$120,8,0)</f>
        <v>2</v>
      </c>
    </row>
    <row r="1064" spans="1:8" ht="15.75" hidden="1" thickTop="1" x14ac:dyDescent="0.25">
      <c r="A1064" s="2">
        <v>43</v>
      </c>
      <c r="B1064" s="2" t="str">
        <f t="shared" si="23"/>
        <v>SORTING_WEST_O_1_23</v>
      </c>
      <c r="C1064" s="223" t="s">
        <v>45</v>
      </c>
      <c r="D1064" s="223" t="s">
        <v>19</v>
      </c>
      <c r="E1064" s="223" t="s">
        <v>40</v>
      </c>
      <c r="F1064" s="224">
        <v>1</v>
      </c>
      <c r="G1064" s="2">
        <v>23</v>
      </c>
      <c r="H1064" s="195">
        <f>VLOOKUP(B1064,'23'!$D$7:$K$120,8,0)</f>
        <v>5</v>
      </c>
    </row>
    <row r="1065" spans="1:8" ht="15.75" hidden="1" thickTop="1" x14ac:dyDescent="0.25">
      <c r="A1065" s="2">
        <v>43</v>
      </c>
      <c r="B1065" s="2" t="str">
        <f t="shared" si="23"/>
        <v>SORTING_WEST_L_2_23</v>
      </c>
      <c r="C1065" s="223" t="s">
        <v>45</v>
      </c>
      <c r="D1065" s="223" t="s">
        <v>19</v>
      </c>
      <c r="E1065" s="223" t="s">
        <v>13</v>
      </c>
      <c r="F1065" s="224">
        <v>2</v>
      </c>
      <c r="G1065" s="2">
        <v>23</v>
      </c>
      <c r="H1065" s="195">
        <f>VLOOKUP(B1065,'23'!$D$7:$K$120,8,0)</f>
        <v>9</v>
      </c>
    </row>
    <row r="1066" spans="1:8" ht="15.75" hidden="1" thickTop="1" x14ac:dyDescent="0.25">
      <c r="A1066" s="2">
        <v>43</v>
      </c>
      <c r="B1066" s="2" t="str">
        <f t="shared" si="23"/>
        <v>SORTING_WEST_N_1_23</v>
      </c>
      <c r="C1066" s="223" t="s">
        <v>45</v>
      </c>
      <c r="D1066" s="223" t="s">
        <v>19</v>
      </c>
      <c r="E1066" s="223" t="s">
        <v>15</v>
      </c>
      <c r="F1066" s="224">
        <v>1</v>
      </c>
      <c r="G1066" s="2">
        <v>23</v>
      </c>
      <c r="H1066" s="195">
        <f>VLOOKUP(B1066,'23'!$D$7:$K$120,8,0)</f>
        <v>11</v>
      </c>
    </row>
    <row r="1067" spans="1:8" ht="15.75" hidden="1" thickTop="1" x14ac:dyDescent="0.25">
      <c r="A1067" s="2">
        <v>43</v>
      </c>
      <c r="B1067" s="2" t="str">
        <f t="shared" si="23"/>
        <v>SORTING_WEST_J_2_23</v>
      </c>
      <c r="C1067" s="223" t="s">
        <v>45</v>
      </c>
      <c r="D1067" s="223" t="s">
        <v>19</v>
      </c>
      <c r="E1067" s="223" t="s">
        <v>11</v>
      </c>
      <c r="F1067" s="224">
        <v>2</v>
      </c>
      <c r="G1067" s="2">
        <v>23</v>
      </c>
      <c r="H1067" s="195">
        <f>VLOOKUP(B1067,'23'!$D$7:$K$120,8,0)</f>
        <v>13</v>
      </c>
    </row>
    <row r="1068" spans="1:8" ht="15.75" hidden="1" thickTop="1" x14ac:dyDescent="0.25">
      <c r="A1068" s="2">
        <v>43</v>
      </c>
      <c r="B1068" s="2" t="str">
        <f t="shared" si="23"/>
        <v>SORTING_WEST_Q_1_23</v>
      </c>
      <c r="C1068" s="223" t="s">
        <v>45</v>
      </c>
      <c r="D1068" s="223" t="s">
        <v>19</v>
      </c>
      <c r="E1068" s="223" t="s">
        <v>59</v>
      </c>
      <c r="F1068" s="224">
        <v>1</v>
      </c>
      <c r="G1068" s="2">
        <v>23</v>
      </c>
      <c r="H1068" s="195">
        <f>VLOOKUP(B1068,'23'!$D$7:$K$120,8,0)</f>
        <v>15</v>
      </c>
    </row>
    <row r="1069" spans="1:8" ht="15.75" hidden="1" thickTop="1" x14ac:dyDescent="0.25">
      <c r="A1069" s="2">
        <v>43</v>
      </c>
      <c r="B1069" s="2" t="str">
        <f t="shared" si="23"/>
        <v>SORTING_WEST_F_2_23</v>
      </c>
      <c r="C1069" s="223" t="s">
        <v>45</v>
      </c>
      <c r="D1069" s="223" t="s">
        <v>19</v>
      </c>
      <c r="E1069" s="223" t="s">
        <v>7</v>
      </c>
      <c r="F1069" s="224">
        <v>2</v>
      </c>
      <c r="G1069" s="2">
        <v>23</v>
      </c>
      <c r="H1069" s="195">
        <f>VLOOKUP(B1069,'23'!$D$7:$K$120,8,0)</f>
        <v>18</v>
      </c>
    </row>
    <row r="1070" spans="1:8" ht="15.75" hidden="1" thickTop="1" x14ac:dyDescent="0.25">
      <c r="A1070" s="2">
        <v>43</v>
      </c>
      <c r="B1070" s="2" t="str">
        <f t="shared" si="23"/>
        <v>SORTING_WEST_M_1_23</v>
      </c>
      <c r="C1070" s="223" t="s">
        <v>45</v>
      </c>
      <c r="D1070" s="223" t="s">
        <v>19</v>
      </c>
      <c r="E1070" s="223" t="s">
        <v>14</v>
      </c>
      <c r="F1070" s="224">
        <v>1</v>
      </c>
      <c r="G1070" s="2">
        <v>23</v>
      </c>
      <c r="H1070" s="195">
        <f>VLOOKUP(B1070,'23'!$D$7:$K$120,8,0)</f>
        <v>20</v>
      </c>
    </row>
    <row r="1071" spans="1:8" ht="15.75" hidden="1" thickTop="1" x14ac:dyDescent="0.25">
      <c r="A1071" s="2">
        <v>43</v>
      </c>
      <c r="B1071" s="2" t="str">
        <f t="shared" si="23"/>
        <v>TRANSFER_EAST_UNP_1_23</v>
      </c>
      <c r="C1071" s="223" t="s">
        <v>21</v>
      </c>
      <c r="D1071" s="223" t="s">
        <v>18</v>
      </c>
      <c r="E1071" s="223" t="s">
        <v>42</v>
      </c>
      <c r="F1071" s="224">
        <v>1</v>
      </c>
      <c r="G1071" s="2">
        <v>23</v>
      </c>
      <c r="H1071" s="195">
        <f>VLOOKUP(B1071,'23'!$D$7:$K$120,8,0)</f>
        <v>2</v>
      </c>
    </row>
    <row r="1072" spans="1:8" ht="15.75" hidden="1" thickTop="1" x14ac:dyDescent="0.25">
      <c r="A1072" s="2">
        <v>43</v>
      </c>
      <c r="B1072" s="2" t="str">
        <f t="shared" si="23"/>
        <v>TRANSFER_EAST_A_2_23</v>
      </c>
      <c r="C1072" s="223" t="s">
        <v>21</v>
      </c>
      <c r="D1072" s="223" t="s">
        <v>18</v>
      </c>
      <c r="E1072" s="352" t="s">
        <v>2</v>
      </c>
      <c r="F1072" s="224">
        <v>2</v>
      </c>
      <c r="G1072" s="2">
        <v>23</v>
      </c>
      <c r="H1072" s="195">
        <f>VLOOKUP(B1072,'23'!$D$7:$K$120,8,0)</f>
        <v>4</v>
      </c>
    </row>
    <row r="1073" spans="1:8" ht="15.75" hidden="1" thickTop="1" x14ac:dyDescent="0.25">
      <c r="A1073" s="2">
        <v>43</v>
      </c>
      <c r="B1073" s="2" t="str">
        <f t="shared" si="23"/>
        <v>TRANSFER_EAST_C/U_1_23</v>
      </c>
      <c r="C1073" s="223" t="s">
        <v>21</v>
      </c>
      <c r="D1073" s="223" t="s">
        <v>18</v>
      </c>
      <c r="E1073" s="352" t="s">
        <v>67</v>
      </c>
      <c r="F1073" s="224">
        <v>1</v>
      </c>
      <c r="G1073" s="2">
        <v>23</v>
      </c>
      <c r="H1073" s="195">
        <f>VLOOKUP(B1073,'23'!$D$7:$K$120,8,0)</f>
        <v>5</v>
      </c>
    </row>
    <row r="1074" spans="1:8" ht="15.75" hidden="1" thickTop="1" x14ac:dyDescent="0.25">
      <c r="A1074" s="2">
        <v>43</v>
      </c>
      <c r="B1074" s="2" t="str">
        <f t="shared" si="23"/>
        <v>TRANSFER_EAST_C_2_23</v>
      </c>
      <c r="C1074" s="223" t="s">
        <v>21</v>
      </c>
      <c r="D1074" s="223" t="s">
        <v>18</v>
      </c>
      <c r="E1074" s="223" t="s">
        <v>4</v>
      </c>
      <c r="F1074" s="224">
        <v>2</v>
      </c>
      <c r="G1074" s="2">
        <v>23</v>
      </c>
      <c r="H1074" s="195">
        <f>VLOOKUP(B1074,'23'!$D$7:$K$120,8,0)</f>
        <v>9</v>
      </c>
    </row>
    <row r="1075" spans="1:8" ht="15.75" hidden="1" thickTop="1" x14ac:dyDescent="0.25">
      <c r="A1075" s="2">
        <v>43</v>
      </c>
      <c r="B1075" s="2" t="str">
        <f t="shared" si="23"/>
        <v>TRANSFER_EAST_I_1_23</v>
      </c>
      <c r="C1075" s="223" t="s">
        <v>21</v>
      </c>
      <c r="D1075" s="223" t="s">
        <v>18</v>
      </c>
      <c r="E1075" s="223" t="s">
        <v>10</v>
      </c>
      <c r="F1075" s="224">
        <v>1</v>
      </c>
      <c r="G1075" s="2">
        <v>23</v>
      </c>
      <c r="H1075" s="195">
        <f>VLOOKUP(B1075,'23'!$D$7:$K$120,8,0)</f>
        <v>11</v>
      </c>
    </row>
    <row r="1076" spans="1:8" ht="15.75" hidden="1" thickTop="1" x14ac:dyDescent="0.25">
      <c r="A1076" s="2">
        <v>43</v>
      </c>
      <c r="B1076" s="2" t="str">
        <f t="shared" si="23"/>
        <v>TRANSFER_EAST_G_2_23</v>
      </c>
      <c r="C1076" s="223" t="s">
        <v>21</v>
      </c>
      <c r="D1076" s="223" t="s">
        <v>18</v>
      </c>
      <c r="E1076" s="223" t="s">
        <v>8</v>
      </c>
      <c r="F1076" s="224">
        <v>2</v>
      </c>
      <c r="G1076" s="2">
        <v>23</v>
      </c>
      <c r="H1076" s="195">
        <f>VLOOKUP(B1076,'23'!$D$7:$K$120,8,0)</f>
        <v>13</v>
      </c>
    </row>
    <row r="1077" spans="1:8" ht="15.75" hidden="1" thickTop="1" x14ac:dyDescent="0.25">
      <c r="A1077" s="2">
        <v>43</v>
      </c>
      <c r="B1077" s="2" t="str">
        <f t="shared" si="23"/>
        <v>TRANSFER_EAST_B_1_23</v>
      </c>
      <c r="C1077" s="223" t="s">
        <v>21</v>
      </c>
      <c r="D1077" s="223" t="s">
        <v>18</v>
      </c>
      <c r="E1077" s="223" t="s">
        <v>3</v>
      </c>
      <c r="F1077" s="224">
        <v>1</v>
      </c>
      <c r="G1077" s="2">
        <v>23</v>
      </c>
      <c r="H1077" s="195">
        <f>VLOOKUP(B1077,'23'!$D$7:$K$120,8,0)</f>
        <v>15</v>
      </c>
    </row>
    <row r="1078" spans="1:8" ht="15.75" hidden="1" thickTop="1" x14ac:dyDescent="0.25">
      <c r="A1078" s="2">
        <v>43</v>
      </c>
      <c r="B1078" s="2" t="str">
        <f t="shared" si="23"/>
        <v>TRANSFER_EAST_E_2_23</v>
      </c>
      <c r="C1078" s="223" t="s">
        <v>21</v>
      </c>
      <c r="D1078" s="223" t="s">
        <v>18</v>
      </c>
      <c r="E1078" s="223" t="s">
        <v>6</v>
      </c>
      <c r="F1078" s="224">
        <v>2</v>
      </c>
      <c r="G1078" s="2">
        <v>23</v>
      </c>
      <c r="H1078" s="195">
        <f>VLOOKUP(B1078,'23'!$D$7:$K$120,8,0)</f>
        <v>17</v>
      </c>
    </row>
    <row r="1079" spans="1:8" ht="15.75" hidden="1" thickTop="1" x14ac:dyDescent="0.25">
      <c r="A1079" s="2">
        <v>43</v>
      </c>
      <c r="B1079" s="2" t="str">
        <f t="shared" si="23"/>
        <v>TRANSFER_EAST_D_1_23</v>
      </c>
      <c r="C1079" s="223" t="s">
        <v>21</v>
      </c>
      <c r="D1079" s="223" t="s">
        <v>18</v>
      </c>
      <c r="E1079" s="223" t="s">
        <v>47</v>
      </c>
      <c r="F1079" s="224">
        <v>1</v>
      </c>
      <c r="G1079" s="2">
        <v>23</v>
      </c>
      <c r="H1079" s="195">
        <f>VLOOKUP(B1079,'23'!$D$7:$K$120,8,0)</f>
        <v>20</v>
      </c>
    </row>
    <row r="1080" spans="1:8" ht="15.75" hidden="1" thickTop="1" x14ac:dyDescent="0.25">
      <c r="A1080" s="2">
        <v>43</v>
      </c>
      <c r="B1080" s="2" t="str">
        <f t="shared" si="23"/>
        <v>TRANSFER_EAST_K_2_23</v>
      </c>
      <c r="C1080" s="223" t="s">
        <v>21</v>
      </c>
      <c r="D1080" s="223" t="s">
        <v>18</v>
      </c>
      <c r="E1080" s="223" t="s">
        <v>12</v>
      </c>
      <c r="F1080" s="224">
        <v>2</v>
      </c>
      <c r="G1080" s="2">
        <v>23</v>
      </c>
      <c r="H1080" s="195">
        <f>VLOOKUP(B1080,'23'!$D$7:$K$120,8,0)</f>
        <v>23</v>
      </c>
    </row>
    <row r="1081" spans="1:8" ht="15.75" hidden="1" thickTop="1" x14ac:dyDescent="0.25">
      <c r="A1081" s="2">
        <v>43</v>
      </c>
      <c r="B1081" s="2" t="str">
        <f t="shared" si="23"/>
        <v>TRANSFER_WEST_H_1_23</v>
      </c>
      <c r="C1081" s="223" t="s">
        <v>21</v>
      </c>
      <c r="D1081" s="223" t="s">
        <v>19</v>
      </c>
      <c r="E1081" s="223" t="s">
        <v>9</v>
      </c>
      <c r="F1081" s="224">
        <v>1</v>
      </c>
      <c r="G1081" s="2">
        <v>23</v>
      </c>
      <c r="H1081" s="195">
        <f>VLOOKUP(B1081,'23'!$D$7:$K$120,8,0)</f>
        <v>2</v>
      </c>
    </row>
    <row r="1082" spans="1:8" ht="15.75" hidden="1" thickTop="1" x14ac:dyDescent="0.25">
      <c r="A1082" s="2">
        <v>43</v>
      </c>
      <c r="B1082" s="2" t="str">
        <f t="shared" si="23"/>
        <v>TRANSFER_WEST_P_2_23</v>
      </c>
      <c r="C1082" s="223" t="s">
        <v>21</v>
      </c>
      <c r="D1082" s="223" t="s">
        <v>19</v>
      </c>
      <c r="E1082" s="223" t="s">
        <v>41</v>
      </c>
      <c r="F1082" s="224">
        <v>2</v>
      </c>
      <c r="G1082" s="2">
        <v>23</v>
      </c>
      <c r="H1082" s="195">
        <f>VLOOKUP(B1082,'23'!$D$7:$K$120,8,0)</f>
        <v>5</v>
      </c>
    </row>
    <row r="1083" spans="1:8" ht="15.75" hidden="1" thickTop="1" x14ac:dyDescent="0.25">
      <c r="A1083" s="2">
        <v>43</v>
      </c>
      <c r="B1083" s="2" t="str">
        <f t="shared" si="23"/>
        <v>TRANSFER_WEST_O_1_23</v>
      </c>
      <c r="C1083" s="223" t="s">
        <v>21</v>
      </c>
      <c r="D1083" s="223" t="s">
        <v>19</v>
      </c>
      <c r="E1083" s="223" t="s">
        <v>40</v>
      </c>
      <c r="F1083" s="224">
        <v>1</v>
      </c>
      <c r="G1083" s="2">
        <v>23</v>
      </c>
      <c r="H1083" s="195">
        <f>VLOOKUP(B1083,'23'!$D$7:$K$120,8,0)</f>
        <v>9</v>
      </c>
    </row>
    <row r="1084" spans="1:8" ht="15.75" hidden="1" thickTop="1" x14ac:dyDescent="0.25">
      <c r="A1084" s="2">
        <v>43</v>
      </c>
      <c r="B1084" s="2" t="str">
        <f t="shared" si="23"/>
        <v>TRANSFER_WEST_L_2_23</v>
      </c>
      <c r="C1084" s="223" t="s">
        <v>21</v>
      </c>
      <c r="D1084" s="223" t="s">
        <v>19</v>
      </c>
      <c r="E1084" s="223" t="s">
        <v>13</v>
      </c>
      <c r="F1084" s="224">
        <v>2</v>
      </c>
      <c r="G1084" s="2">
        <v>23</v>
      </c>
      <c r="H1084" s="195">
        <f>VLOOKUP(B1084,'23'!$D$7:$K$120,8,0)</f>
        <v>11</v>
      </c>
    </row>
    <row r="1085" spans="1:8" ht="15.75" hidden="1" thickTop="1" x14ac:dyDescent="0.25">
      <c r="A1085" s="2">
        <v>43</v>
      </c>
      <c r="B1085" s="2" t="str">
        <f t="shared" si="23"/>
        <v>TRANSFER_WEST_N_1_23</v>
      </c>
      <c r="C1085" s="223" t="s">
        <v>21</v>
      </c>
      <c r="D1085" s="223" t="s">
        <v>19</v>
      </c>
      <c r="E1085" s="223" t="s">
        <v>15</v>
      </c>
      <c r="F1085" s="224">
        <v>1</v>
      </c>
      <c r="G1085" s="2">
        <v>23</v>
      </c>
      <c r="H1085" s="195">
        <f>VLOOKUP(B1085,'23'!$D$7:$K$120,8,0)</f>
        <v>13</v>
      </c>
    </row>
    <row r="1086" spans="1:8" ht="15.75" hidden="1" thickTop="1" x14ac:dyDescent="0.25">
      <c r="A1086" s="2">
        <v>43</v>
      </c>
      <c r="B1086" s="2" t="str">
        <f t="shared" si="23"/>
        <v>TRANSFER_WEST_J_2_23</v>
      </c>
      <c r="C1086" s="223" t="s">
        <v>21</v>
      </c>
      <c r="D1086" s="223" t="s">
        <v>19</v>
      </c>
      <c r="E1086" s="223" t="s">
        <v>11</v>
      </c>
      <c r="F1086" s="224">
        <v>2</v>
      </c>
      <c r="G1086" s="2">
        <v>23</v>
      </c>
      <c r="H1086" s="195">
        <f>VLOOKUP(B1086,'23'!$D$7:$K$120,8,0)</f>
        <v>15</v>
      </c>
    </row>
    <row r="1087" spans="1:8" ht="15.75" hidden="1" thickTop="1" x14ac:dyDescent="0.25">
      <c r="A1087" s="2">
        <v>43</v>
      </c>
      <c r="B1087" s="2" t="str">
        <f t="shared" si="23"/>
        <v>TRANSFER_WEST_Q_1_23</v>
      </c>
      <c r="C1087" s="223" t="s">
        <v>21</v>
      </c>
      <c r="D1087" s="223" t="s">
        <v>19</v>
      </c>
      <c r="E1087" s="223" t="s">
        <v>59</v>
      </c>
      <c r="F1087" s="224">
        <v>1</v>
      </c>
      <c r="G1087" s="2">
        <v>23</v>
      </c>
      <c r="H1087" s="195">
        <f>VLOOKUP(B1087,'23'!$D$7:$K$120,8,0)</f>
        <v>18</v>
      </c>
    </row>
    <row r="1088" spans="1:8" ht="15.75" hidden="1" thickTop="1" x14ac:dyDescent="0.25">
      <c r="A1088" s="2">
        <v>43</v>
      </c>
      <c r="B1088" s="2" t="str">
        <f t="shared" si="23"/>
        <v>TRANSFER_WEST_F_2_23</v>
      </c>
      <c r="C1088" s="223" t="s">
        <v>21</v>
      </c>
      <c r="D1088" s="223" t="s">
        <v>19</v>
      </c>
      <c r="E1088" s="223" t="s">
        <v>7</v>
      </c>
      <c r="F1088" s="224">
        <v>2</v>
      </c>
      <c r="G1088" s="2">
        <v>23</v>
      </c>
      <c r="H1088" s="195">
        <f>VLOOKUP(B1088,'23'!$D$7:$K$120,8,0)</f>
        <v>20</v>
      </c>
    </row>
    <row r="1089" spans="1:8" ht="15.75" hidden="1" thickTop="1" x14ac:dyDescent="0.25">
      <c r="A1089" s="2">
        <v>43</v>
      </c>
      <c r="B1089" s="2" t="str">
        <f t="shared" si="23"/>
        <v>TRANSFER_WEST_M_1_23</v>
      </c>
      <c r="C1089" s="223" t="s">
        <v>21</v>
      </c>
      <c r="D1089" s="223" t="s">
        <v>19</v>
      </c>
      <c r="E1089" s="223" t="s">
        <v>14</v>
      </c>
      <c r="F1089" s="224">
        <v>1</v>
      </c>
      <c r="G1089" s="2">
        <v>23</v>
      </c>
      <c r="H1089" s="195">
        <f>VLOOKUP(B1089,'23'!$D$7:$K$120,8,0)</f>
        <v>23</v>
      </c>
    </row>
    <row r="1090" spans="1:8" ht="15.75" hidden="1" thickTop="1" x14ac:dyDescent="0.25">
      <c r="A1090" s="2">
        <v>43</v>
      </c>
      <c r="B1090" s="2" t="str">
        <f t="shared" si="23"/>
        <v>PREPARE_EAST_UNP_1_23</v>
      </c>
      <c r="C1090" s="223" t="s">
        <v>46</v>
      </c>
      <c r="D1090" s="223" t="s">
        <v>18</v>
      </c>
      <c r="E1090" s="223" t="s">
        <v>42</v>
      </c>
      <c r="F1090" s="224">
        <v>1</v>
      </c>
      <c r="G1090" s="2">
        <v>23</v>
      </c>
      <c r="H1090" s="195">
        <f>VLOOKUP(B1090,'23'!$D$7:$K$120,8,0)</f>
        <v>21</v>
      </c>
    </row>
    <row r="1091" spans="1:8" ht="15.75" hidden="1" thickTop="1" x14ac:dyDescent="0.25">
      <c r="A1091" s="2">
        <v>43</v>
      </c>
      <c r="B1091" s="2" t="str">
        <f t="shared" si="23"/>
        <v>PREPARE_EAST_A_2_23</v>
      </c>
      <c r="C1091" s="223" t="s">
        <v>46</v>
      </c>
      <c r="D1091" s="223" t="s">
        <v>18</v>
      </c>
      <c r="E1091" s="352" t="s">
        <v>2</v>
      </c>
      <c r="F1091" s="224">
        <v>2</v>
      </c>
      <c r="G1091" s="2">
        <v>23</v>
      </c>
      <c r="H1091" s="195">
        <f>VLOOKUP(B1091,'23'!$D$7:$K$120,8,0)</f>
        <v>24</v>
      </c>
    </row>
    <row r="1092" spans="1:8" ht="15.75" hidden="1" thickTop="1" x14ac:dyDescent="0.25">
      <c r="A1092" s="2">
        <v>43</v>
      </c>
      <c r="B1092" s="2" t="str">
        <f t="shared" si="23"/>
        <v>PREPARE_EAST_C/U_1_23</v>
      </c>
      <c r="C1092" s="223" t="s">
        <v>46</v>
      </c>
      <c r="D1092" s="223" t="s">
        <v>18</v>
      </c>
      <c r="E1092" s="352" t="s">
        <v>67</v>
      </c>
      <c r="F1092" s="224">
        <v>1</v>
      </c>
      <c r="G1092" s="2">
        <v>23</v>
      </c>
      <c r="H1092" s="195">
        <f>VLOOKUP(B1092,'23'!$D$7:$K$120,8,0)</f>
        <v>24</v>
      </c>
    </row>
    <row r="1093" spans="1:8" ht="15.75" hidden="1" thickTop="1" x14ac:dyDescent="0.25">
      <c r="A1093" s="2">
        <v>43</v>
      </c>
      <c r="B1093" s="2" t="str">
        <f t="shared" si="23"/>
        <v>PREPARE_EAST_C_2_23</v>
      </c>
      <c r="C1093" s="223" t="s">
        <v>46</v>
      </c>
      <c r="D1093" s="223" t="s">
        <v>18</v>
      </c>
      <c r="E1093" s="223" t="s">
        <v>4</v>
      </c>
      <c r="F1093" s="224">
        <v>2</v>
      </c>
      <c r="G1093" s="2">
        <v>23</v>
      </c>
      <c r="H1093" s="195">
        <f>VLOOKUP(B1093,'23'!$D$7:$K$120,8,0)</f>
        <v>27</v>
      </c>
    </row>
    <row r="1094" spans="1:8" ht="15.75" hidden="1" thickTop="1" x14ac:dyDescent="0.25">
      <c r="A1094" s="2">
        <v>43</v>
      </c>
      <c r="B1094" s="2" t="str">
        <f t="shared" si="23"/>
        <v>PREPARE_EAST_I_1_23</v>
      </c>
      <c r="C1094" s="223" t="s">
        <v>46</v>
      </c>
      <c r="D1094" s="223" t="s">
        <v>18</v>
      </c>
      <c r="E1094" s="223" t="s">
        <v>10</v>
      </c>
      <c r="F1094" s="224">
        <v>1</v>
      </c>
      <c r="G1094" s="2">
        <v>23</v>
      </c>
      <c r="H1094" s="195">
        <f>VLOOKUP(B1094,'23'!$D$7:$K$120,8,0)</f>
        <v>29</v>
      </c>
    </row>
    <row r="1095" spans="1:8" ht="15.75" hidden="1" thickTop="1" x14ac:dyDescent="0.25">
      <c r="A1095" s="2">
        <v>43</v>
      </c>
      <c r="B1095" s="2" t="str">
        <f t="shared" si="23"/>
        <v>PREPARE_EAST_G_2_23</v>
      </c>
      <c r="C1095" s="223" t="s">
        <v>46</v>
      </c>
      <c r="D1095" s="223" t="s">
        <v>18</v>
      </c>
      <c r="E1095" s="223" t="s">
        <v>8</v>
      </c>
      <c r="F1095" s="224">
        <v>2</v>
      </c>
      <c r="G1095" s="2">
        <v>23</v>
      </c>
      <c r="H1095" s="195">
        <f>VLOOKUP(B1095,'23'!$D$7:$K$120,8,0)</f>
        <v>31</v>
      </c>
    </row>
    <row r="1096" spans="1:8" ht="15.75" hidden="1" thickTop="1" x14ac:dyDescent="0.25">
      <c r="A1096" s="2">
        <v>43</v>
      </c>
      <c r="B1096" s="2" t="str">
        <f t="shared" si="23"/>
        <v>PREPARE_EAST_B_1_23</v>
      </c>
      <c r="C1096" s="223" t="s">
        <v>46</v>
      </c>
      <c r="D1096" s="223" t="s">
        <v>18</v>
      </c>
      <c r="E1096" s="223" t="s">
        <v>3</v>
      </c>
      <c r="F1096" s="224">
        <v>1</v>
      </c>
      <c r="G1096" s="2">
        <v>23</v>
      </c>
      <c r="H1096" s="195">
        <f>VLOOKUP(B1096,'23'!$D$7:$K$120,8,0)</f>
        <v>34</v>
      </c>
    </row>
    <row r="1097" spans="1:8" ht="15.75" hidden="1" thickTop="1" x14ac:dyDescent="0.25">
      <c r="A1097" s="2">
        <v>43</v>
      </c>
      <c r="B1097" s="2" t="str">
        <f t="shared" si="23"/>
        <v>PREPARE_EAST_E_2_23</v>
      </c>
      <c r="C1097" s="223" t="s">
        <v>46</v>
      </c>
      <c r="D1097" s="223" t="s">
        <v>18</v>
      </c>
      <c r="E1097" s="223" t="s">
        <v>6</v>
      </c>
      <c r="F1097" s="224">
        <v>2</v>
      </c>
      <c r="G1097" s="2">
        <v>23</v>
      </c>
      <c r="H1097" s="195">
        <f>VLOOKUP(B1097,'23'!$D$7:$K$120,8,0)</f>
        <v>37</v>
      </c>
    </row>
    <row r="1098" spans="1:8" ht="15.75" hidden="1" thickTop="1" x14ac:dyDescent="0.25">
      <c r="A1098" s="2">
        <v>43</v>
      </c>
      <c r="B1098" s="2" t="str">
        <f t="shared" si="23"/>
        <v>PREPARE_EAST_D_1_23</v>
      </c>
      <c r="C1098" s="223" t="s">
        <v>46</v>
      </c>
      <c r="D1098" s="223" t="s">
        <v>18</v>
      </c>
      <c r="E1098" s="223" t="s">
        <v>47</v>
      </c>
      <c r="F1098" s="224">
        <v>1</v>
      </c>
      <c r="G1098" s="2">
        <v>23</v>
      </c>
      <c r="H1098" s="195">
        <f>VLOOKUP(B1098,'23'!$D$7:$K$120,8,0)</f>
        <v>39</v>
      </c>
    </row>
    <row r="1099" spans="1:8" ht="15.75" hidden="1" thickTop="1" x14ac:dyDescent="0.25">
      <c r="A1099" s="2">
        <v>43</v>
      </c>
      <c r="B1099" s="2" t="str">
        <f t="shared" si="23"/>
        <v>PREPARE_EAST_K_2_23</v>
      </c>
      <c r="C1099" s="223" t="s">
        <v>46</v>
      </c>
      <c r="D1099" s="223" t="s">
        <v>18</v>
      </c>
      <c r="E1099" s="223" t="s">
        <v>12</v>
      </c>
      <c r="F1099" s="224">
        <v>2</v>
      </c>
      <c r="G1099" s="2">
        <v>23</v>
      </c>
      <c r="H1099" s="195">
        <f>VLOOKUP(B1099,'23'!$D$7:$K$120,8,0)</f>
        <v>42</v>
      </c>
    </row>
    <row r="1100" spans="1:8" ht="15.75" hidden="1" thickTop="1" x14ac:dyDescent="0.25">
      <c r="A1100" s="2">
        <v>43</v>
      </c>
      <c r="B1100" s="2" t="str">
        <f t="shared" si="23"/>
        <v>PREPARE_WEST_H_1_23</v>
      </c>
      <c r="C1100" s="223" t="s">
        <v>46</v>
      </c>
      <c r="D1100" s="223" t="s">
        <v>19</v>
      </c>
      <c r="E1100" s="223" t="s">
        <v>9</v>
      </c>
      <c r="F1100" s="224">
        <v>1</v>
      </c>
      <c r="G1100" s="2">
        <v>23</v>
      </c>
      <c r="H1100" s="195">
        <f>VLOOKUP(B1100,'23'!$D$7:$K$120,8,0)</f>
        <v>22</v>
      </c>
    </row>
    <row r="1101" spans="1:8" ht="15.75" hidden="1" thickTop="1" x14ac:dyDescent="0.25">
      <c r="A1101" s="2">
        <v>43</v>
      </c>
      <c r="B1101" s="2" t="str">
        <f t="shared" si="23"/>
        <v>PREPARE_WEST_P_2_23</v>
      </c>
      <c r="C1101" s="223" t="s">
        <v>46</v>
      </c>
      <c r="D1101" s="223" t="s">
        <v>19</v>
      </c>
      <c r="E1101" s="223" t="s">
        <v>41</v>
      </c>
      <c r="F1101" s="224">
        <v>2</v>
      </c>
      <c r="G1101" s="2">
        <v>23</v>
      </c>
      <c r="H1101" s="195">
        <f>VLOOKUP(B1101,'23'!$D$7:$K$120,8,0)</f>
        <v>25</v>
      </c>
    </row>
    <row r="1102" spans="1:8" ht="15.75" hidden="1" thickTop="1" x14ac:dyDescent="0.25">
      <c r="A1102" s="2">
        <v>43</v>
      </c>
      <c r="B1102" s="2" t="str">
        <f t="shared" si="23"/>
        <v>PREPARE_WEST_O_1_23</v>
      </c>
      <c r="C1102" s="223" t="s">
        <v>46</v>
      </c>
      <c r="D1102" s="223" t="s">
        <v>19</v>
      </c>
      <c r="E1102" s="223" t="s">
        <v>40</v>
      </c>
      <c r="F1102" s="224">
        <v>1</v>
      </c>
      <c r="G1102" s="2">
        <v>23</v>
      </c>
      <c r="H1102" s="195">
        <f>VLOOKUP(B1102,'23'!$D$7:$K$120,8,0)</f>
        <v>29</v>
      </c>
    </row>
    <row r="1103" spans="1:8" ht="15.75" hidden="1" thickTop="1" x14ac:dyDescent="0.25">
      <c r="A1103" s="2">
        <v>43</v>
      </c>
      <c r="B1103" s="2" t="str">
        <f t="shared" si="23"/>
        <v>PREPARE_WEST_L_2_23</v>
      </c>
      <c r="C1103" s="223" t="s">
        <v>46</v>
      </c>
      <c r="D1103" s="223" t="s">
        <v>19</v>
      </c>
      <c r="E1103" s="223" t="s">
        <v>13</v>
      </c>
      <c r="F1103" s="224">
        <v>2</v>
      </c>
      <c r="G1103" s="2">
        <v>23</v>
      </c>
      <c r="H1103" s="195">
        <f>VLOOKUP(B1103,'23'!$D$7:$K$120,8,0)</f>
        <v>31</v>
      </c>
    </row>
    <row r="1104" spans="1:8" ht="15.75" hidden="1" thickTop="1" x14ac:dyDescent="0.25">
      <c r="A1104" s="2">
        <v>43</v>
      </c>
      <c r="B1104" s="2" t="str">
        <f t="shared" si="23"/>
        <v>PREPARE_WEST_N_1_23</v>
      </c>
      <c r="C1104" s="223" t="s">
        <v>46</v>
      </c>
      <c r="D1104" s="223" t="s">
        <v>19</v>
      </c>
      <c r="E1104" s="223" t="s">
        <v>15</v>
      </c>
      <c r="F1104" s="224">
        <v>1</v>
      </c>
      <c r="G1104" s="2">
        <v>23</v>
      </c>
      <c r="H1104" s="195">
        <f>VLOOKUP(B1104,'23'!$D$7:$K$120,8,0)</f>
        <v>33</v>
      </c>
    </row>
    <row r="1105" spans="1:8" ht="15.75" hidden="1" thickTop="1" x14ac:dyDescent="0.25">
      <c r="A1105" s="2">
        <v>43</v>
      </c>
      <c r="B1105" s="2" t="str">
        <f t="shared" si="23"/>
        <v>PREPARE_WEST_J_2_23</v>
      </c>
      <c r="C1105" s="223" t="s">
        <v>46</v>
      </c>
      <c r="D1105" s="223" t="s">
        <v>19</v>
      </c>
      <c r="E1105" s="223" t="s">
        <v>11</v>
      </c>
      <c r="F1105" s="224">
        <v>2</v>
      </c>
      <c r="G1105" s="2">
        <v>23</v>
      </c>
      <c r="H1105" s="195">
        <f>VLOOKUP(B1105,'23'!$D$7:$K$120,8,0)</f>
        <v>36</v>
      </c>
    </row>
    <row r="1106" spans="1:8" ht="15.75" hidden="1" thickTop="1" x14ac:dyDescent="0.25">
      <c r="A1106" s="2">
        <v>43</v>
      </c>
      <c r="B1106" s="2" t="str">
        <f t="shared" si="23"/>
        <v>PREPARE_WEST_Q_1_23</v>
      </c>
      <c r="C1106" s="223" t="s">
        <v>46</v>
      </c>
      <c r="D1106" s="223" t="s">
        <v>19</v>
      </c>
      <c r="E1106" s="223" t="s">
        <v>59</v>
      </c>
      <c r="F1106" s="224">
        <v>1</v>
      </c>
      <c r="G1106" s="2">
        <v>23</v>
      </c>
      <c r="H1106" s="195">
        <f>VLOOKUP(B1106,'23'!$D$7:$K$120,8,0)</f>
        <v>38</v>
      </c>
    </row>
    <row r="1107" spans="1:8" ht="15.75" hidden="1" thickTop="1" x14ac:dyDescent="0.25">
      <c r="A1107" s="2">
        <v>43</v>
      </c>
      <c r="B1107" s="2" t="str">
        <f t="shared" si="23"/>
        <v>PREPARE_WEST_F_2_23</v>
      </c>
      <c r="C1107" s="223" t="s">
        <v>46</v>
      </c>
      <c r="D1107" s="223" t="s">
        <v>19</v>
      </c>
      <c r="E1107" s="223" t="s">
        <v>7</v>
      </c>
      <c r="F1107" s="224">
        <v>2</v>
      </c>
      <c r="G1107" s="2">
        <v>23</v>
      </c>
      <c r="H1107" s="195">
        <f>VLOOKUP(B1107,'23'!$D$7:$K$120,8,0)</f>
        <v>39</v>
      </c>
    </row>
    <row r="1108" spans="1:8" ht="15.75" hidden="1" thickTop="1" x14ac:dyDescent="0.25">
      <c r="A1108" s="2">
        <v>43</v>
      </c>
      <c r="B1108" s="2" t="str">
        <f t="shared" si="23"/>
        <v>PREPARE_WEST_M_1_23</v>
      </c>
      <c r="C1108" s="223" t="s">
        <v>46</v>
      </c>
      <c r="D1108" s="223" t="s">
        <v>19</v>
      </c>
      <c r="E1108" s="223" t="s">
        <v>14</v>
      </c>
      <c r="F1108" s="224">
        <v>1</v>
      </c>
      <c r="G1108" s="2">
        <v>23</v>
      </c>
      <c r="H1108" s="195">
        <f>VLOOKUP(B1108,'23'!$D$7:$K$120,8,0)</f>
        <v>42</v>
      </c>
    </row>
    <row r="1109" spans="1:8" ht="15.75" hidden="1" thickTop="1" x14ac:dyDescent="0.25">
      <c r="A1109" s="2">
        <v>43</v>
      </c>
      <c r="B1109" s="2" t="str">
        <f t="shared" si="23"/>
        <v>SUPPLY_EAST_UNP_1_23</v>
      </c>
      <c r="C1109" s="223" t="s">
        <v>0</v>
      </c>
      <c r="D1109" s="223" t="s">
        <v>18</v>
      </c>
      <c r="E1109" s="223" t="s">
        <v>42</v>
      </c>
      <c r="F1109" s="224">
        <v>1</v>
      </c>
      <c r="G1109" s="2">
        <v>23</v>
      </c>
      <c r="H1109" s="195">
        <f>VLOOKUP(B1109,'23'!$D$7:$K$120,8,0)</f>
        <v>0</v>
      </c>
    </row>
    <row r="1110" spans="1:8" ht="15.75" hidden="1" thickTop="1" x14ac:dyDescent="0.25">
      <c r="A1110" s="2">
        <v>43</v>
      </c>
      <c r="B1110" s="2" t="str">
        <f t="shared" si="23"/>
        <v>SUPPLY_EAST_A_2_23</v>
      </c>
      <c r="C1110" s="223" t="s">
        <v>0</v>
      </c>
      <c r="D1110" s="223" t="s">
        <v>18</v>
      </c>
      <c r="E1110" s="352" t="s">
        <v>2</v>
      </c>
      <c r="F1110" s="224">
        <v>2</v>
      </c>
      <c r="G1110" s="2">
        <v>23</v>
      </c>
      <c r="H1110" s="195">
        <f>VLOOKUP(B1110,'23'!$D$7:$K$120,8,0)</f>
        <v>4</v>
      </c>
    </row>
    <row r="1111" spans="1:8" ht="15.75" hidden="1" thickTop="1" x14ac:dyDescent="0.25">
      <c r="A1111" s="2">
        <v>43</v>
      </c>
      <c r="B1111" s="2" t="str">
        <f t="shared" si="23"/>
        <v>SUPPLY_EAST_C/U_1_23</v>
      </c>
      <c r="C1111" s="223" t="s">
        <v>0</v>
      </c>
      <c r="D1111" s="223" t="s">
        <v>18</v>
      </c>
      <c r="E1111" s="352" t="s">
        <v>67</v>
      </c>
      <c r="F1111" s="224">
        <v>1</v>
      </c>
      <c r="G1111" s="2">
        <v>23</v>
      </c>
      <c r="H1111" s="195">
        <f>VLOOKUP(B1111,'23'!$D$7:$K$120,8,0)</f>
        <v>5</v>
      </c>
    </row>
    <row r="1112" spans="1:8" ht="15.75" hidden="1" thickTop="1" x14ac:dyDescent="0.25">
      <c r="A1112" s="2">
        <v>43</v>
      </c>
      <c r="B1112" s="2" t="str">
        <f t="shared" si="23"/>
        <v>SUPPLY_EAST_C_2_23</v>
      </c>
      <c r="C1112" s="223" t="s">
        <v>0</v>
      </c>
      <c r="D1112" s="223" t="s">
        <v>18</v>
      </c>
      <c r="E1112" s="223" t="s">
        <v>4</v>
      </c>
      <c r="F1112" s="224">
        <v>2</v>
      </c>
      <c r="G1112" s="2">
        <v>23</v>
      </c>
      <c r="H1112" s="195">
        <f>VLOOKUP(B1112,'23'!$D$7:$K$120,8,0)</f>
        <v>6</v>
      </c>
    </row>
    <row r="1113" spans="1:8" ht="15.75" hidden="1" thickTop="1" x14ac:dyDescent="0.25">
      <c r="A1113" s="2">
        <v>43</v>
      </c>
      <c r="B1113" s="2" t="str">
        <f t="shared" si="23"/>
        <v>SUPPLY_EAST_I_1_23</v>
      </c>
      <c r="C1113" s="223" t="s">
        <v>0</v>
      </c>
      <c r="D1113" s="223" t="s">
        <v>18</v>
      </c>
      <c r="E1113" s="223" t="s">
        <v>10</v>
      </c>
      <c r="F1113" s="224">
        <v>1</v>
      </c>
      <c r="G1113" s="2">
        <v>23</v>
      </c>
      <c r="H1113" s="195">
        <f>VLOOKUP(B1113,'23'!$D$7:$K$120,8,0)</f>
        <v>8</v>
      </c>
    </row>
    <row r="1114" spans="1:8" ht="15.75" hidden="1" thickTop="1" x14ac:dyDescent="0.25">
      <c r="A1114" s="2">
        <v>43</v>
      </c>
      <c r="B1114" s="2" t="str">
        <f t="shared" si="23"/>
        <v>SUPPLY_EAST_G_2_23</v>
      </c>
      <c r="C1114" s="223" t="s">
        <v>0</v>
      </c>
      <c r="D1114" s="223" t="s">
        <v>18</v>
      </c>
      <c r="E1114" s="223" t="s">
        <v>8</v>
      </c>
      <c r="F1114" s="224">
        <v>2</v>
      </c>
      <c r="G1114" s="2">
        <v>23</v>
      </c>
      <c r="H1114" s="195">
        <f>VLOOKUP(B1114,'23'!$D$7:$K$120,8,0)</f>
        <v>10</v>
      </c>
    </row>
    <row r="1115" spans="1:8" ht="15.75" hidden="1" thickTop="1" x14ac:dyDescent="0.25">
      <c r="A1115" s="2">
        <v>43</v>
      </c>
      <c r="B1115" s="2" t="str">
        <f t="shared" si="23"/>
        <v>SUPPLY_EAST_B_1_23</v>
      </c>
      <c r="C1115" s="223" t="s">
        <v>0</v>
      </c>
      <c r="D1115" s="223" t="s">
        <v>18</v>
      </c>
      <c r="E1115" s="223" t="s">
        <v>3</v>
      </c>
      <c r="F1115" s="224">
        <v>1</v>
      </c>
      <c r="G1115" s="2">
        <v>23</v>
      </c>
      <c r="H1115" s="195">
        <f>VLOOKUP(B1115,'23'!$D$7:$K$120,8,0)</f>
        <v>13</v>
      </c>
    </row>
    <row r="1116" spans="1:8" ht="15.75" hidden="1" thickTop="1" x14ac:dyDescent="0.25">
      <c r="A1116" s="2">
        <v>43</v>
      </c>
      <c r="B1116" s="2" t="str">
        <f t="shared" si="23"/>
        <v>SUPPLY_EAST_E_2_23</v>
      </c>
      <c r="C1116" s="223" t="s">
        <v>0</v>
      </c>
      <c r="D1116" s="223" t="s">
        <v>18</v>
      </c>
      <c r="E1116" s="223" t="s">
        <v>6</v>
      </c>
      <c r="F1116" s="224">
        <v>2</v>
      </c>
      <c r="G1116" s="2">
        <v>23</v>
      </c>
      <c r="H1116" s="195">
        <f>VLOOKUP(B1116,'23'!$D$7:$K$120,8,0)</f>
        <v>16</v>
      </c>
    </row>
    <row r="1117" spans="1:8" ht="15.75" hidden="1" thickTop="1" x14ac:dyDescent="0.25">
      <c r="A1117" s="2">
        <v>43</v>
      </c>
      <c r="B1117" s="2" t="str">
        <f t="shared" si="23"/>
        <v>SUPPLY_EAST_D_1_23</v>
      </c>
      <c r="C1117" s="223" t="s">
        <v>0</v>
      </c>
      <c r="D1117" s="223" t="s">
        <v>18</v>
      </c>
      <c r="E1117" s="223" t="s">
        <v>47</v>
      </c>
      <c r="F1117" s="224">
        <v>1</v>
      </c>
      <c r="G1117" s="2">
        <v>23</v>
      </c>
      <c r="H1117" s="195">
        <f>VLOOKUP(B1117,'23'!$D$7:$K$120,8,0)</f>
        <v>18</v>
      </c>
    </row>
    <row r="1118" spans="1:8" ht="15.75" hidden="1" thickTop="1" x14ac:dyDescent="0.25">
      <c r="A1118" s="2">
        <v>43</v>
      </c>
      <c r="B1118" s="2" t="str">
        <f t="shared" si="23"/>
        <v>SUPPLY_EAST_K_2_23</v>
      </c>
      <c r="C1118" s="223" t="s">
        <v>0</v>
      </c>
      <c r="D1118" s="223" t="s">
        <v>18</v>
      </c>
      <c r="E1118" s="223" t="s">
        <v>12</v>
      </c>
      <c r="F1118" s="224">
        <v>2</v>
      </c>
      <c r="G1118" s="2">
        <v>23</v>
      </c>
      <c r="H1118" s="195">
        <f>VLOOKUP(B1118,'23'!$D$7:$K$120,8,0)</f>
        <v>21</v>
      </c>
    </row>
    <row r="1119" spans="1:8" ht="15.75" hidden="1" thickTop="1" x14ac:dyDescent="0.25">
      <c r="A1119" s="2">
        <v>43</v>
      </c>
      <c r="B1119" s="2" t="str">
        <f t="shared" si="23"/>
        <v>SUPPLY_WEST_H_1_23</v>
      </c>
      <c r="C1119" s="223" t="s">
        <v>0</v>
      </c>
      <c r="D1119" s="223" t="s">
        <v>19</v>
      </c>
      <c r="E1119" s="223" t="s">
        <v>9</v>
      </c>
      <c r="F1119" s="224">
        <v>1</v>
      </c>
      <c r="G1119" s="2">
        <v>23</v>
      </c>
      <c r="H1119" s="195">
        <f>VLOOKUP(B1119,'23'!$D$7:$K$120,8,0)</f>
        <v>0</v>
      </c>
    </row>
    <row r="1120" spans="1:8" ht="15.75" hidden="1" thickTop="1" x14ac:dyDescent="0.25">
      <c r="A1120" s="2">
        <v>43</v>
      </c>
      <c r="B1120" s="2" t="str">
        <f t="shared" si="23"/>
        <v>SUPPLY_WEST_P_2_23</v>
      </c>
      <c r="C1120" s="223" t="s">
        <v>0</v>
      </c>
      <c r="D1120" s="223" t="s">
        <v>19</v>
      </c>
      <c r="E1120" s="223" t="s">
        <v>41</v>
      </c>
      <c r="F1120" s="224">
        <v>2</v>
      </c>
      <c r="G1120" s="2">
        <v>23</v>
      </c>
      <c r="H1120" s="195">
        <f>VLOOKUP(B1120,'23'!$D$7:$K$120,8,0)</f>
        <v>5</v>
      </c>
    </row>
    <row r="1121" spans="1:8" ht="15.75" hidden="1" thickTop="1" x14ac:dyDescent="0.25">
      <c r="A1121" s="2">
        <v>43</v>
      </c>
      <c r="B1121" s="2" t="str">
        <f t="shared" si="23"/>
        <v>SUPPLY_WEST_O_1_23</v>
      </c>
      <c r="C1121" s="223" t="s">
        <v>0</v>
      </c>
      <c r="D1121" s="223" t="s">
        <v>19</v>
      </c>
      <c r="E1121" s="223" t="s">
        <v>40</v>
      </c>
      <c r="F1121" s="224">
        <v>1</v>
      </c>
      <c r="G1121" s="2">
        <v>23</v>
      </c>
      <c r="H1121" s="195">
        <f>VLOOKUP(B1121,'23'!$D$7:$K$120,8,0)</f>
        <v>8</v>
      </c>
    </row>
    <row r="1122" spans="1:8" ht="15.75" hidden="1" thickTop="1" x14ac:dyDescent="0.25">
      <c r="A1122" s="2">
        <v>43</v>
      </c>
      <c r="B1122" s="2" t="str">
        <f t="shared" si="23"/>
        <v>SUPPLY_WEST_L_2_23</v>
      </c>
      <c r="C1122" s="223" t="s">
        <v>0</v>
      </c>
      <c r="D1122" s="223" t="s">
        <v>19</v>
      </c>
      <c r="E1122" s="223" t="s">
        <v>13</v>
      </c>
      <c r="F1122" s="224">
        <v>2</v>
      </c>
      <c r="G1122" s="2">
        <v>23</v>
      </c>
      <c r="H1122" s="195">
        <f>VLOOKUP(B1122,'23'!$D$7:$K$120,8,0)</f>
        <v>10</v>
      </c>
    </row>
    <row r="1123" spans="1:8" ht="15.75" hidden="1" thickTop="1" x14ac:dyDescent="0.25">
      <c r="A1123" s="2">
        <v>43</v>
      </c>
      <c r="B1123" s="2" t="str">
        <f t="shared" si="23"/>
        <v>SUPPLY_WEST_N_1_23</v>
      </c>
      <c r="C1123" s="223" t="s">
        <v>0</v>
      </c>
      <c r="D1123" s="223" t="s">
        <v>19</v>
      </c>
      <c r="E1123" s="223" t="s">
        <v>15</v>
      </c>
      <c r="F1123" s="224">
        <v>1</v>
      </c>
      <c r="G1123" s="2">
        <v>23</v>
      </c>
      <c r="H1123" s="195">
        <f>VLOOKUP(B1123,'23'!$D$7:$K$120,8,0)</f>
        <v>13</v>
      </c>
    </row>
    <row r="1124" spans="1:8" ht="15.75" hidden="1" thickTop="1" x14ac:dyDescent="0.25">
      <c r="A1124" s="2">
        <v>43</v>
      </c>
      <c r="B1124" s="2" t="str">
        <f t="shared" si="23"/>
        <v>SUPPLY_WEST_J_2_23</v>
      </c>
      <c r="C1124" s="223" t="s">
        <v>0</v>
      </c>
      <c r="D1124" s="223" t="s">
        <v>19</v>
      </c>
      <c r="E1124" s="223" t="s">
        <v>11</v>
      </c>
      <c r="F1124" s="224">
        <v>2</v>
      </c>
      <c r="G1124" s="2">
        <v>23</v>
      </c>
      <c r="H1124" s="195">
        <f>VLOOKUP(B1124,'23'!$D$7:$K$120,8,0)</f>
        <v>15</v>
      </c>
    </row>
    <row r="1125" spans="1:8" ht="15.75" hidden="1" thickTop="1" x14ac:dyDescent="0.25">
      <c r="A1125" s="2">
        <v>43</v>
      </c>
      <c r="B1125" s="2" t="str">
        <f t="shared" si="23"/>
        <v>SUPPLY_WEST_Q_1_23</v>
      </c>
      <c r="C1125" s="223" t="s">
        <v>0</v>
      </c>
      <c r="D1125" s="223" t="s">
        <v>19</v>
      </c>
      <c r="E1125" s="223" t="s">
        <v>59</v>
      </c>
      <c r="F1125" s="224">
        <v>1</v>
      </c>
      <c r="G1125" s="2">
        <v>23</v>
      </c>
      <c r="H1125" s="195">
        <f>VLOOKUP(B1125,'23'!$D$7:$K$120,8,0)</f>
        <v>17</v>
      </c>
    </row>
    <row r="1126" spans="1:8" ht="15.75" hidden="1" thickTop="1" x14ac:dyDescent="0.25">
      <c r="A1126" s="2">
        <v>43</v>
      </c>
      <c r="B1126" s="2" t="str">
        <f t="shared" si="23"/>
        <v>SUPPLY_WEST_F_2_23</v>
      </c>
      <c r="C1126" s="223" t="s">
        <v>0</v>
      </c>
      <c r="D1126" s="223" t="s">
        <v>19</v>
      </c>
      <c r="E1126" s="223" t="s">
        <v>7</v>
      </c>
      <c r="F1126" s="224">
        <v>2</v>
      </c>
      <c r="G1126" s="2">
        <v>23</v>
      </c>
      <c r="H1126" s="195">
        <f>VLOOKUP(B1126,'23'!$D$7:$K$120,8,0)</f>
        <v>18</v>
      </c>
    </row>
    <row r="1127" spans="1:8" ht="15.75" hidden="1" thickTop="1" x14ac:dyDescent="0.25">
      <c r="A1127" s="2">
        <v>43</v>
      </c>
      <c r="B1127" s="2" t="str">
        <f t="shared" si="23"/>
        <v>SUPPLY_WEST_M_1_23</v>
      </c>
      <c r="C1127" s="223" t="s">
        <v>0</v>
      </c>
      <c r="D1127" s="223" t="s">
        <v>19</v>
      </c>
      <c r="E1127" s="223" t="s">
        <v>14</v>
      </c>
      <c r="F1127" s="224">
        <v>1</v>
      </c>
      <c r="G1127" s="2">
        <v>23</v>
      </c>
      <c r="H1127" s="195">
        <f>VLOOKUP(B1127,'23'!$D$7:$K$120,8,0)</f>
        <v>21</v>
      </c>
    </row>
    <row r="1128" spans="1:8" ht="15.75" hidden="1" thickTop="1" x14ac:dyDescent="0.25">
      <c r="A1128" s="2">
        <v>43</v>
      </c>
      <c r="B1128" s="2" t="str">
        <f t="shared" si="23"/>
        <v>EMPTY_EAST_UNP_1_23</v>
      </c>
      <c r="C1128" s="223" t="s">
        <v>32</v>
      </c>
      <c r="D1128" s="223" t="s">
        <v>18</v>
      </c>
      <c r="E1128" s="223" t="s">
        <v>42</v>
      </c>
      <c r="F1128" s="224">
        <v>1</v>
      </c>
      <c r="G1128" s="2">
        <v>23</v>
      </c>
      <c r="H1128" s="195">
        <f>VLOOKUP(B1128,'23'!$D$7:$K$120,8,0)</f>
        <v>19</v>
      </c>
    </row>
    <row r="1129" spans="1:8" ht="15.75" hidden="1" thickTop="1" x14ac:dyDescent="0.25">
      <c r="A1129" s="2">
        <v>43</v>
      </c>
      <c r="B1129" s="2" t="str">
        <f t="shared" ref="B1129:B1146" si="24">C1129&amp;"_"&amp;D1129&amp;"_"&amp;E1129&amp;"_"&amp;F1129&amp;"_"&amp;G1129</f>
        <v>EMPTY_EAST_A_2_23</v>
      </c>
      <c r="C1129" s="223" t="s">
        <v>32</v>
      </c>
      <c r="D1129" s="223" t="s">
        <v>18</v>
      </c>
      <c r="E1129" s="352" t="s">
        <v>2</v>
      </c>
      <c r="F1129" s="224">
        <v>2</v>
      </c>
      <c r="G1129" s="2">
        <v>23</v>
      </c>
      <c r="H1129" s="195">
        <f>VLOOKUP(B1129,'23'!$D$7:$K$120,8,0)</f>
        <v>21</v>
      </c>
    </row>
    <row r="1130" spans="1:8" ht="15.75" hidden="1" thickTop="1" x14ac:dyDescent="0.25">
      <c r="A1130" s="2">
        <v>43</v>
      </c>
      <c r="B1130" s="2" t="str">
        <f t="shared" si="24"/>
        <v>EMPTY_EAST_C/U_1_23</v>
      </c>
      <c r="C1130" s="223" t="s">
        <v>32</v>
      </c>
      <c r="D1130" s="223" t="s">
        <v>18</v>
      </c>
      <c r="E1130" s="352" t="s">
        <v>67</v>
      </c>
      <c r="F1130" s="224">
        <v>1</v>
      </c>
      <c r="G1130" s="2">
        <v>23</v>
      </c>
      <c r="H1130" s="195">
        <f>VLOOKUP(B1130,'23'!$D$7:$K$120,8,0)</f>
        <v>22</v>
      </c>
    </row>
    <row r="1131" spans="1:8" ht="15.75" hidden="1" thickTop="1" x14ac:dyDescent="0.25">
      <c r="A1131" s="2">
        <v>43</v>
      </c>
      <c r="B1131" s="2" t="str">
        <f t="shared" si="24"/>
        <v>EMPTY_EAST_C_2_23</v>
      </c>
      <c r="C1131" s="223" t="s">
        <v>32</v>
      </c>
      <c r="D1131" s="223" t="s">
        <v>18</v>
      </c>
      <c r="E1131" s="223" t="s">
        <v>4</v>
      </c>
      <c r="F1131" s="224">
        <v>2</v>
      </c>
      <c r="G1131" s="2">
        <v>23</v>
      </c>
      <c r="H1131" s="195">
        <f>VLOOKUP(B1131,'23'!$D$7:$K$120,8,0)</f>
        <v>24</v>
      </c>
    </row>
    <row r="1132" spans="1:8" ht="15.75" hidden="1" thickTop="1" x14ac:dyDescent="0.25">
      <c r="A1132" s="2">
        <v>43</v>
      </c>
      <c r="B1132" s="2" t="str">
        <f t="shared" si="24"/>
        <v>EMPTY_EAST_I_1_23</v>
      </c>
      <c r="C1132" s="223" t="s">
        <v>32</v>
      </c>
      <c r="D1132" s="223" t="s">
        <v>18</v>
      </c>
      <c r="E1132" s="223" t="s">
        <v>10</v>
      </c>
      <c r="F1132" s="224">
        <v>1</v>
      </c>
      <c r="G1132" s="2">
        <v>23</v>
      </c>
      <c r="H1132" s="195">
        <f>VLOOKUP(B1132,'23'!$D$7:$K$120,8,0)</f>
        <v>27</v>
      </c>
    </row>
    <row r="1133" spans="1:8" ht="15.75" hidden="1" thickTop="1" x14ac:dyDescent="0.25">
      <c r="A1133" s="2">
        <v>43</v>
      </c>
      <c r="B1133" s="2" t="str">
        <f t="shared" si="24"/>
        <v>EMPTY_EAST_G_2_23</v>
      </c>
      <c r="C1133" s="223" t="s">
        <v>32</v>
      </c>
      <c r="D1133" s="223" t="s">
        <v>18</v>
      </c>
      <c r="E1133" s="223" t="s">
        <v>8</v>
      </c>
      <c r="F1133" s="224">
        <v>2</v>
      </c>
      <c r="G1133" s="2">
        <v>23</v>
      </c>
      <c r="H1133" s="195">
        <f>VLOOKUP(B1133,'23'!$D$7:$K$120,8,0)</f>
        <v>29</v>
      </c>
    </row>
    <row r="1134" spans="1:8" ht="15.75" hidden="1" thickTop="1" x14ac:dyDescent="0.25">
      <c r="A1134" s="2">
        <v>43</v>
      </c>
      <c r="B1134" s="2" t="str">
        <f t="shared" si="24"/>
        <v>EMPTY_EAST_B_1_23</v>
      </c>
      <c r="C1134" s="223" t="s">
        <v>32</v>
      </c>
      <c r="D1134" s="223" t="s">
        <v>18</v>
      </c>
      <c r="E1134" s="223" t="s">
        <v>3</v>
      </c>
      <c r="F1134" s="224">
        <v>1</v>
      </c>
      <c r="G1134" s="2">
        <v>23</v>
      </c>
      <c r="H1134" s="195">
        <f>VLOOKUP(B1134,'23'!$D$7:$K$120,8,0)</f>
        <v>31</v>
      </c>
    </row>
    <row r="1135" spans="1:8" ht="15.75" hidden="1" thickTop="1" x14ac:dyDescent="0.25">
      <c r="A1135" s="2">
        <v>43</v>
      </c>
      <c r="B1135" s="2" t="str">
        <f t="shared" si="24"/>
        <v>EMPTY_EAST_E_2_23</v>
      </c>
      <c r="C1135" s="223" t="s">
        <v>32</v>
      </c>
      <c r="D1135" s="223" t="s">
        <v>18</v>
      </c>
      <c r="E1135" s="223" t="s">
        <v>6</v>
      </c>
      <c r="F1135" s="224">
        <v>2</v>
      </c>
      <c r="G1135" s="2">
        <v>23</v>
      </c>
      <c r="H1135" s="195">
        <f>VLOOKUP(B1135,'23'!$D$7:$K$120,8,0)</f>
        <v>34</v>
      </c>
    </row>
    <row r="1136" spans="1:8" ht="15.75" hidden="1" thickTop="1" x14ac:dyDescent="0.25">
      <c r="A1136" s="2">
        <v>43</v>
      </c>
      <c r="B1136" s="2" t="str">
        <f t="shared" si="24"/>
        <v>EMPTY_EAST_D_1_23</v>
      </c>
      <c r="C1136" s="223" t="s">
        <v>32</v>
      </c>
      <c r="D1136" s="223" t="s">
        <v>18</v>
      </c>
      <c r="E1136" s="223" t="s">
        <v>47</v>
      </c>
      <c r="F1136" s="224">
        <v>1</v>
      </c>
      <c r="G1136" s="2">
        <v>23</v>
      </c>
      <c r="H1136" s="195">
        <f>VLOOKUP(B1136,'23'!$D$7:$K$120,8,0)</f>
        <v>36</v>
      </c>
    </row>
    <row r="1137" spans="1:8" ht="15.75" hidden="1" thickTop="1" x14ac:dyDescent="0.25">
      <c r="A1137" s="2">
        <v>43</v>
      </c>
      <c r="B1137" s="2" t="str">
        <f t="shared" si="24"/>
        <v>EMPTY_EAST_K_2_23</v>
      </c>
      <c r="C1137" s="223" t="s">
        <v>32</v>
      </c>
      <c r="D1137" s="223" t="s">
        <v>18</v>
      </c>
      <c r="E1137" s="223" t="s">
        <v>12</v>
      </c>
      <c r="F1137" s="224">
        <v>2</v>
      </c>
      <c r="G1137" s="2">
        <v>23</v>
      </c>
      <c r="H1137" s="195">
        <f>VLOOKUP(B1137,'23'!$D$7:$K$120,8,0)</f>
        <v>39</v>
      </c>
    </row>
    <row r="1138" spans="1:8" ht="15.75" hidden="1" thickTop="1" x14ac:dyDescent="0.25">
      <c r="A1138" s="2">
        <v>43</v>
      </c>
      <c r="B1138" s="2" t="str">
        <f t="shared" si="24"/>
        <v>EMPTY_WEST_H_1_23</v>
      </c>
      <c r="C1138" s="223" t="s">
        <v>32</v>
      </c>
      <c r="D1138" s="223" t="s">
        <v>19</v>
      </c>
      <c r="E1138" s="223" t="s">
        <v>9</v>
      </c>
      <c r="F1138" s="224">
        <v>1</v>
      </c>
      <c r="G1138" s="2">
        <v>23</v>
      </c>
      <c r="H1138" s="195">
        <f>VLOOKUP(B1138,'23'!$D$7:$K$120,8,0)</f>
        <v>20</v>
      </c>
    </row>
    <row r="1139" spans="1:8" ht="15.75" hidden="1" thickTop="1" x14ac:dyDescent="0.25">
      <c r="A1139" s="2">
        <v>43</v>
      </c>
      <c r="B1139" s="2" t="str">
        <f t="shared" si="24"/>
        <v>EMPTY_WEST_P_2_23</v>
      </c>
      <c r="C1139" s="223" t="s">
        <v>32</v>
      </c>
      <c r="D1139" s="223" t="s">
        <v>19</v>
      </c>
      <c r="E1139" s="223" t="s">
        <v>41</v>
      </c>
      <c r="F1139" s="224">
        <v>2</v>
      </c>
      <c r="G1139" s="2">
        <v>23</v>
      </c>
      <c r="H1139" s="195">
        <f>VLOOKUP(B1139,'23'!$D$7:$K$120,8,0)</f>
        <v>22</v>
      </c>
    </row>
    <row r="1140" spans="1:8" ht="15.75" hidden="1" thickTop="1" x14ac:dyDescent="0.25">
      <c r="A1140" s="2">
        <v>43</v>
      </c>
      <c r="B1140" s="2" t="str">
        <f t="shared" si="24"/>
        <v>EMPTY_WEST_O_1_23</v>
      </c>
      <c r="C1140" s="223" t="s">
        <v>32</v>
      </c>
      <c r="D1140" s="223" t="s">
        <v>19</v>
      </c>
      <c r="E1140" s="223" t="s">
        <v>40</v>
      </c>
      <c r="F1140" s="224">
        <v>1</v>
      </c>
      <c r="G1140" s="2">
        <v>23</v>
      </c>
      <c r="H1140" s="195">
        <f>VLOOKUP(B1140,'23'!$D$7:$K$120,8,0)</f>
        <v>26</v>
      </c>
    </row>
    <row r="1141" spans="1:8" ht="15.75" hidden="1" thickTop="1" x14ac:dyDescent="0.25">
      <c r="A1141" s="2">
        <v>43</v>
      </c>
      <c r="B1141" s="2" t="str">
        <f t="shared" si="24"/>
        <v>EMPTY_WEST_L_2_23</v>
      </c>
      <c r="C1141" s="223" t="s">
        <v>32</v>
      </c>
      <c r="D1141" s="223" t="s">
        <v>19</v>
      </c>
      <c r="E1141" s="223" t="s">
        <v>13</v>
      </c>
      <c r="F1141" s="224">
        <v>2</v>
      </c>
      <c r="G1141" s="2">
        <v>23</v>
      </c>
      <c r="H1141" s="195">
        <f>VLOOKUP(B1141,'23'!$D$7:$K$120,8,0)</f>
        <v>28</v>
      </c>
    </row>
    <row r="1142" spans="1:8" ht="15.75" hidden="1" thickTop="1" x14ac:dyDescent="0.25">
      <c r="A1142" s="2">
        <v>43</v>
      </c>
      <c r="B1142" s="2" t="str">
        <f t="shared" si="24"/>
        <v>EMPTY_WEST_N_1_23</v>
      </c>
      <c r="C1142" s="223" t="s">
        <v>32</v>
      </c>
      <c r="D1142" s="223" t="s">
        <v>19</v>
      </c>
      <c r="E1142" s="223" t="s">
        <v>15</v>
      </c>
      <c r="F1142" s="224">
        <v>1</v>
      </c>
      <c r="G1142" s="2">
        <v>23</v>
      </c>
      <c r="H1142" s="195">
        <f>VLOOKUP(B1142,'23'!$D$7:$K$120,8,0)</f>
        <v>30</v>
      </c>
    </row>
    <row r="1143" spans="1:8" ht="15.75" hidden="1" thickTop="1" x14ac:dyDescent="0.25">
      <c r="A1143" s="2">
        <v>43</v>
      </c>
      <c r="B1143" s="2" t="str">
        <f t="shared" si="24"/>
        <v>EMPTY_WEST_J_2_23</v>
      </c>
      <c r="C1143" s="223" t="s">
        <v>32</v>
      </c>
      <c r="D1143" s="223" t="s">
        <v>19</v>
      </c>
      <c r="E1143" s="223" t="s">
        <v>11</v>
      </c>
      <c r="F1143" s="224">
        <v>2</v>
      </c>
      <c r="G1143" s="2">
        <v>23</v>
      </c>
      <c r="H1143" s="195">
        <f>VLOOKUP(B1143,'23'!$D$7:$K$120,8,0)</f>
        <v>33</v>
      </c>
    </row>
    <row r="1144" spans="1:8" ht="15.75" hidden="1" thickTop="1" x14ac:dyDescent="0.25">
      <c r="A1144" s="2">
        <v>43</v>
      </c>
      <c r="B1144" s="2" t="str">
        <f t="shared" si="24"/>
        <v>EMPTY_WEST_Q_1_23</v>
      </c>
      <c r="C1144" s="223" t="s">
        <v>32</v>
      </c>
      <c r="D1144" s="223" t="s">
        <v>19</v>
      </c>
      <c r="E1144" s="223" t="s">
        <v>59</v>
      </c>
      <c r="F1144" s="224">
        <v>1</v>
      </c>
      <c r="G1144" s="2">
        <v>23</v>
      </c>
      <c r="H1144" s="195">
        <f>VLOOKUP(B1144,'23'!$D$7:$K$120,8,0)</f>
        <v>35</v>
      </c>
    </row>
    <row r="1145" spans="1:8" ht="15.75" hidden="1" thickTop="1" x14ac:dyDescent="0.25">
      <c r="A1145" s="2">
        <v>43</v>
      </c>
      <c r="B1145" s="2" t="str">
        <f t="shared" si="24"/>
        <v>EMPTY_WEST_F_2_23</v>
      </c>
      <c r="C1145" s="223" t="s">
        <v>32</v>
      </c>
      <c r="D1145" s="223" t="s">
        <v>19</v>
      </c>
      <c r="E1145" s="223" t="s">
        <v>7</v>
      </c>
      <c r="F1145" s="224">
        <v>2</v>
      </c>
      <c r="G1145" s="2">
        <v>23</v>
      </c>
      <c r="H1145" s="195">
        <f>VLOOKUP(B1145,'23'!$D$7:$K$120,8,0)</f>
        <v>37</v>
      </c>
    </row>
    <row r="1146" spans="1:8" ht="15.75" hidden="1" thickTop="1" x14ac:dyDescent="0.25">
      <c r="A1146" s="2">
        <v>43</v>
      </c>
      <c r="B1146" s="2" t="str">
        <f t="shared" si="24"/>
        <v>EMPTY_WEST_M_1_23</v>
      </c>
      <c r="C1146" s="223" t="s">
        <v>32</v>
      </c>
      <c r="D1146" s="223" t="s">
        <v>19</v>
      </c>
      <c r="E1146" s="223" t="s">
        <v>14</v>
      </c>
      <c r="F1146" s="224">
        <v>1</v>
      </c>
      <c r="G1146" s="2">
        <v>23</v>
      </c>
      <c r="H1146" s="195">
        <f>VLOOKUP(B1146,'23'!$D$7:$K$120,8,0)</f>
        <v>40</v>
      </c>
    </row>
    <row r="1147" spans="1:8" ht="15.75" thickTop="1" x14ac:dyDescent="0.25">
      <c r="A1147" s="2">
        <v>43</v>
      </c>
      <c r="B1147" s="2" t="s">
        <v>163</v>
      </c>
      <c r="C1147" s="2" t="s">
        <v>45</v>
      </c>
      <c r="D1147" s="2" t="s">
        <v>18</v>
      </c>
      <c r="E1147" s="2" t="s">
        <v>42</v>
      </c>
      <c r="F1147" s="2">
        <v>1</v>
      </c>
      <c r="G1147" s="2">
        <v>24</v>
      </c>
      <c r="H1147" s="2">
        <v>0</v>
      </c>
    </row>
    <row r="1148" spans="1:8" x14ac:dyDescent="0.25">
      <c r="A1148" s="2">
        <v>43</v>
      </c>
      <c r="B1148" s="2" t="s">
        <v>164</v>
      </c>
      <c r="C1148" s="2" t="s">
        <v>45</v>
      </c>
      <c r="D1148" s="2" t="s">
        <v>18</v>
      </c>
      <c r="E1148" s="2" t="s">
        <v>2</v>
      </c>
      <c r="F1148" s="2">
        <v>2</v>
      </c>
      <c r="G1148" s="2">
        <v>24</v>
      </c>
      <c r="H1148" s="2">
        <v>2</v>
      </c>
    </row>
    <row r="1149" spans="1:8" x14ac:dyDescent="0.25">
      <c r="A1149" s="2">
        <v>43</v>
      </c>
      <c r="B1149" s="2" t="s">
        <v>165</v>
      </c>
      <c r="C1149" s="2" t="s">
        <v>45</v>
      </c>
      <c r="D1149" s="2" t="s">
        <v>18</v>
      </c>
      <c r="E1149" s="2" t="s">
        <v>67</v>
      </c>
      <c r="F1149" s="2">
        <v>1</v>
      </c>
      <c r="G1149" s="2">
        <v>24</v>
      </c>
      <c r="H1149" s="2">
        <v>4</v>
      </c>
    </row>
    <row r="1150" spans="1:8" x14ac:dyDescent="0.25">
      <c r="A1150" s="2">
        <v>43</v>
      </c>
      <c r="B1150" s="2" t="s">
        <v>166</v>
      </c>
      <c r="C1150" s="2" t="s">
        <v>45</v>
      </c>
      <c r="D1150" s="2" t="s">
        <v>18</v>
      </c>
      <c r="E1150" s="2" t="s">
        <v>4</v>
      </c>
      <c r="F1150" s="2">
        <v>2</v>
      </c>
      <c r="G1150" s="2">
        <v>24</v>
      </c>
      <c r="H1150" s="2">
        <v>5</v>
      </c>
    </row>
    <row r="1151" spans="1:8" x14ac:dyDescent="0.25">
      <c r="A1151" s="2">
        <v>43</v>
      </c>
      <c r="B1151" s="2" t="s">
        <v>167</v>
      </c>
      <c r="C1151" s="2" t="s">
        <v>45</v>
      </c>
      <c r="D1151" s="2" t="s">
        <v>18</v>
      </c>
      <c r="E1151" s="2" t="s">
        <v>10</v>
      </c>
      <c r="F1151" s="2">
        <v>1</v>
      </c>
      <c r="G1151" s="2">
        <v>24</v>
      </c>
      <c r="H1151" s="2">
        <v>10</v>
      </c>
    </row>
    <row r="1152" spans="1:8" x14ac:dyDescent="0.25">
      <c r="A1152" s="2">
        <v>43</v>
      </c>
      <c r="B1152" s="2" t="s">
        <v>168</v>
      </c>
      <c r="C1152" s="2" t="s">
        <v>45</v>
      </c>
      <c r="D1152" s="2" t="s">
        <v>18</v>
      </c>
      <c r="E1152" s="2" t="s">
        <v>8</v>
      </c>
      <c r="F1152" s="2">
        <v>2</v>
      </c>
      <c r="G1152" s="2">
        <v>24</v>
      </c>
      <c r="H1152" s="2">
        <v>12</v>
      </c>
    </row>
    <row r="1153" spans="1:8" x14ac:dyDescent="0.25">
      <c r="A1153" s="2">
        <v>43</v>
      </c>
      <c r="B1153" s="2" t="s">
        <v>169</v>
      </c>
      <c r="C1153" s="2" t="s">
        <v>45</v>
      </c>
      <c r="D1153" s="2" t="s">
        <v>18</v>
      </c>
      <c r="E1153" s="2" t="s">
        <v>3</v>
      </c>
      <c r="F1153" s="2">
        <v>1</v>
      </c>
      <c r="G1153" s="2">
        <v>24</v>
      </c>
      <c r="H1153" s="2">
        <v>14</v>
      </c>
    </row>
    <row r="1154" spans="1:8" x14ac:dyDescent="0.25">
      <c r="A1154" s="2">
        <v>43</v>
      </c>
      <c r="B1154" s="2" t="s">
        <v>170</v>
      </c>
      <c r="C1154" s="2" t="s">
        <v>45</v>
      </c>
      <c r="D1154" s="2" t="s">
        <v>18</v>
      </c>
      <c r="E1154" s="2" t="s">
        <v>6</v>
      </c>
      <c r="F1154" s="2">
        <v>2</v>
      </c>
      <c r="G1154" s="2">
        <v>24</v>
      </c>
      <c r="H1154" s="2">
        <v>16</v>
      </c>
    </row>
    <row r="1155" spans="1:8" x14ac:dyDescent="0.25">
      <c r="A1155" s="2">
        <v>43</v>
      </c>
      <c r="B1155" s="2" t="s">
        <v>171</v>
      </c>
      <c r="C1155" s="2" t="s">
        <v>45</v>
      </c>
      <c r="D1155" s="2" t="s">
        <v>18</v>
      </c>
      <c r="E1155" s="2" t="s">
        <v>47</v>
      </c>
      <c r="F1155" s="2">
        <v>1</v>
      </c>
      <c r="G1155" s="2">
        <v>24</v>
      </c>
      <c r="H1155" s="2">
        <v>18</v>
      </c>
    </row>
    <row r="1156" spans="1:8" x14ac:dyDescent="0.25">
      <c r="A1156" s="2">
        <v>43</v>
      </c>
      <c r="B1156" s="2" t="s">
        <v>172</v>
      </c>
      <c r="C1156" s="2" t="s">
        <v>45</v>
      </c>
      <c r="D1156" s="2" t="s">
        <v>18</v>
      </c>
      <c r="E1156" s="2" t="s">
        <v>12</v>
      </c>
      <c r="F1156" s="2">
        <v>2</v>
      </c>
      <c r="G1156" s="2">
        <v>24</v>
      </c>
      <c r="H1156" s="2">
        <v>21</v>
      </c>
    </row>
    <row r="1157" spans="1:8" x14ac:dyDescent="0.25">
      <c r="A1157" s="2">
        <v>43</v>
      </c>
      <c r="B1157" s="2" t="s">
        <v>173</v>
      </c>
      <c r="C1157" s="2" t="s">
        <v>45</v>
      </c>
      <c r="D1157" s="2" t="s">
        <v>19</v>
      </c>
      <c r="E1157" s="2" t="s">
        <v>9</v>
      </c>
      <c r="F1157" s="2">
        <v>1</v>
      </c>
      <c r="G1157" s="2">
        <v>24</v>
      </c>
      <c r="H1157" s="2">
        <v>0</v>
      </c>
    </row>
    <row r="1158" spans="1:8" x14ac:dyDescent="0.25">
      <c r="A1158" s="2">
        <v>43</v>
      </c>
      <c r="B1158" s="2" t="s">
        <v>174</v>
      </c>
      <c r="C1158" s="2" t="s">
        <v>45</v>
      </c>
      <c r="D1158" s="2" t="s">
        <v>19</v>
      </c>
      <c r="E1158" s="2" t="s">
        <v>41</v>
      </c>
      <c r="F1158" s="2">
        <v>2</v>
      </c>
      <c r="G1158" s="2">
        <v>24</v>
      </c>
      <c r="H1158" s="2">
        <v>2</v>
      </c>
    </row>
    <row r="1159" spans="1:8" x14ac:dyDescent="0.25">
      <c r="A1159" s="2">
        <v>43</v>
      </c>
      <c r="B1159" s="2" t="s">
        <v>175</v>
      </c>
      <c r="C1159" s="2" t="s">
        <v>45</v>
      </c>
      <c r="D1159" s="2" t="s">
        <v>19</v>
      </c>
      <c r="E1159" s="2" t="s">
        <v>40</v>
      </c>
      <c r="F1159" s="2">
        <v>1</v>
      </c>
      <c r="G1159" s="2">
        <v>24</v>
      </c>
      <c r="H1159" s="2">
        <v>5</v>
      </c>
    </row>
    <row r="1160" spans="1:8" x14ac:dyDescent="0.25">
      <c r="A1160" s="2">
        <v>43</v>
      </c>
      <c r="B1160" s="2" t="s">
        <v>176</v>
      </c>
      <c r="C1160" s="2" t="s">
        <v>45</v>
      </c>
      <c r="D1160" s="2" t="s">
        <v>19</v>
      </c>
      <c r="E1160" s="2" t="s">
        <v>13</v>
      </c>
      <c r="F1160" s="2">
        <v>2</v>
      </c>
      <c r="G1160" s="2">
        <v>24</v>
      </c>
      <c r="H1160" s="2">
        <v>10</v>
      </c>
    </row>
    <row r="1161" spans="1:8" x14ac:dyDescent="0.25">
      <c r="A1161" s="2">
        <v>43</v>
      </c>
      <c r="B1161" s="2" t="s">
        <v>177</v>
      </c>
      <c r="C1161" s="2" t="s">
        <v>45</v>
      </c>
      <c r="D1161" s="2" t="s">
        <v>19</v>
      </c>
      <c r="E1161" s="2" t="s">
        <v>15</v>
      </c>
      <c r="F1161" s="2">
        <v>1</v>
      </c>
      <c r="G1161" s="2">
        <v>24</v>
      </c>
      <c r="H1161" s="2">
        <v>12</v>
      </c>
    </row>
    <row r="1162" spans="1:8" x14ac:dyDescent="0.25">
      <c r="A1162" s="2">
        <v>43</v>
      </c>
      <c r="B1162" s="2" t="s">
        <v>178</v>
      </c>
      <c r="C1162" s="2" t="s">
        <v>45</v>
      </c>
      <c r="D1162" s="2" t="s">
        <v>19</v>
      </c>
      <c r="E1162" s="2" t="s">
        <v>11</v>
      </c>
      <c r="F1162" s="2">
        <v>2</v>
      </c>
      <c r="G1162" s="2">
        <v>24</v>
      </c>
      <c r="H1162" s="2">
        <v>14</v>
      </c>
    </row>
    <row r="1163" spans="1:8" x14ac:dyDescent="0.25">
      <c r="A1163" s="2">
        <v>43</v>
      </c>
      <c r="B1163" s="2" t="s">
        <v>179</v>
      </c>
      <c r="C1163" s="2" t="s">
        <v>45</v>
      </c>
      <c r="D1163" s="2" t="s">
        <v>19</v>
      </c>
      <c r="E1163" s="2" t="s">
        <v>59</v>
      </c>
      <c r="F1163" s="2">
        <v>1</v>
      </c>
      <c r="G1163" s="2">
        <v>24</v>
      </c>
      <c r="H1163" s="2">
        <v>16</v>
      </c>
    </row>
    <row r="1164" spans="1:8" x14ac:dyDescent="0.25">
      <c r="A1164" s="2">
        <v>43</v>
      </c>
      <c r="B1164" s="2" t="s">
        <v>180</v>
      </c>
      <c r="C1164" s="2" t="s">
        <v>45</v>
      </c>
      <c r="D1164" s="2" t="s">
        <v>19</v>
      </c>
      <c r="E1164" s="2" t="s">
        <v>7</v>
      </c>
      <c r="F1164" s="2">
        <v>2</v>
      </c>
      <c r="G1164" s="2">
        <v>24</v>
      </c>
      <c r="H1164" s="2">
        <v>19</v>
      </c>
    </row>
    <row r="1165" spans="1:8" x14ac:dyDescent="0.25">
      <c r="A1165" s="2">
        <v>43</v>
      </c>
      <c r="B1165" s="2" t="s">
        <v>181</v>
      </c>
      <c r="C1165" s="2" t="s">
        <v>45</v>
      </c>
      <c r="D1165" s="2" t="s">
        <v>19</v>
      </c>
      <c r="E1165" s="2" t="s">
        <v>14</v>
      </c>
      <c r="F1165" s="2">
        <v>1</v>
      </c>
      <c r="G1165" s="2">
        <v>24</v>
      </c>
      <c r="H1165" s="2">
        <v>21</v>
      </c>
    </row>
    <row r="1166" spans="1:8" x14ac:dyDescent="0.25">
      <c r="A1166" s="2">
        <v>43</v>
      </c>
      <c r="B1166" s="2" t="s">
        <v>182</v>
      </c>
      <c r="C1166" s="2" t="s">
        <v>21</v>
      </c>
      <c r="D1166" s="2" t="s">
        <v>18</v>
      </c>
      <c r="E1166" s="2" t="s">
        <v>42</v>
      </c>
      <c r="F1166" s="2">
        <v>1</v>
      </c>
      <c r="G1166" s="2">
        <v>24</v>
      </c>
      <c r="H1166" s="2">
        <v>2</v>
      </c>
    </row>
    <row r="1167" spans="1:8" x14ac:dyDescent="0.25">
      <c r="A1167" s="2">
        <v>43</v>
      </c>
      <c r="B1167" s="2" t="s">
        <v>183</v>
      </c>
      <c r="C1167" s="2" t="s">
        <v>21</v>
      </c>
      <c r="D1167" s="2" t="s">
        <v>18</v>
      </c>
      <c r="E1167" s="2" t="s">
        <v>2</v>
      </c>
      <c r="F1167" s="2">
        <v>2</v>
      </c>
      <c r="G1167" s="2">
        <v>24</v>
      </c>
      <c r="H1167" s="2">
        <v>4</v>
      </c>
    </row>
    <row r="1168" spans="1:8" x14ac:dyDescent="0.25">
      <c r="A1168" s="2">
        <v>43</v>
      </c>
      <c r="B1168" s="2" t="s">
        <v>184</v>
      </c>
      <c r="C1168" s="2" t="s">
        <v>21</v>
      </c>
      <c r="D1168" s="2" t="s">
        <v>18</v>
      </c>
      <c r="E1168" s="2" t="s">
        <v>67</v>
      </c>
      <c r="F1168" s="2">
        <v>1</v>
      </c>
      <c r="G1168" s="2">
        <v>24</v>
      </c>
      <c r="H1168" s="2">
        <v>5</v>
      </c>
    </row>
    <row r="1169" spans="1:8" x14ac:dyDescent="0.25">
      <c r="A1169" s="2">
        <v>43</v>
      </c>
      <c r="B1169" s="2" t="s">
        <v>185</v>
      </c>
      <c r="C1169" s="2" t="s">
        <v>21</v>
      </c>
      <c r="D1169" s="2" t="s">
        <v>18</v>
      </c>
      <c r="E1169" s="2" t="s">
        <v>4</v>
      </c>
      <c r="F1169" s="2">
        <v>2</v>
      </c>
      <c r="G1169" s="2">
        <v>24</v>
      </c>
      <c r="H1169" s="2">
        <v>10</v>
      </c>
    </row>
    <row r="1170" spans="1:8" x14ac:dyDescent="0.25">
      <c r="A1170" s="2">
        <v>43</v>
      </c>
      <c r="B1170" s="2" t="s">
        <v>186</v>
      </c>
      <c r="C1170" s="2" t="s">
        <v>21</v>
      </c>
      <c r="D1170" s="2" t="s">
        <v>18</v>
      </c>
      <c r="E1170" s="2" t="s">
        <v>10</v>
      </c>
      <c r="F1170" s="2">
        <v>1</v>
      </c>
      <c r="G1170" s="2">
        <v>24</v>
      </c>
      <c r="H1170" s="2">
        <v>12</v>
      </c>
    </row>
    <row r="1171" spans="1:8" x14ac:dyDescent="0.25">
      <c r="A1171" s="2">
        <v>43</v>
      </c>
      <c r="B1171" s="2" t="s">
        <v>187</v>
      </c>
      <c r="C1171" s="2" t="s">
        <v>21</v>
      </c>
      <c r="D1171" s="2" t="s">
        <v>18</v>
      </c>
      <c r="E1171" s="2" t="s">
        <v>8</v>
      </c>
      <c r="F1171" s="2">
        <v>2</v>
      </c>
      <c r="G1171" s="2">
        <v>24</v>
      </c>
      <c r="H1171" s="2">
        <v>14</v>
      </c>
    </row>
    <row r="1172" spans="1:8" x14ac:dyDescent="0.25">
      <c r="A1172" s="2">
        <v>43</v>
      </c>
      <c r="B1172" s="2" t="s">
        <v>188</v>
      </c>
      <c r="C1172" s="2" t="s">
        <v>21</v>
      </c>
      <c r="D1172" s="2" t="s">
        <v>18</v>
      </c>
      <c r="E1172" s="2" t="s">
        <v>3</v>
      </c>
      <c r="F1172" s="2">
        <v>1</v>
      </c>
      <c r="G1172" s="2">
        <v>24</v>
      </c>
      <c r="H1172" s="2">
        <v>16</v>
      </c>
    </row>
    <row r="1173" spans="1:8" x14ac:dyDescent="0.25">
      <c r="A1173" s="2">
        <v>43</v>
      </c>
      <c r="B1173" s="2" t="s">
        <v>189</v>
      </c>
      <c r="C1173" s="2" t="s">
        <v>21</v>
      </c>
      <c r="D1173" s="2" t="s">
        <v>18</v>
      </c>
      <c r="E1173" s="2" t="s">
        <v>6</v>
      </c>
      <c r="F1173" s="2">
        <v>2</v>
      </c>
      <c r="G1173" s="2">
        <v>24</v>
      </c>
      <c r="H1173" s="2">
        <v>18</v>
      </c>
    </row>
    <row r="1174" spans="1:8" x14ac:dyDescent="0.25">
      <c r="A1174" s="2">
        <v>43</v>
      </c>
      <c r="B1174" s="2" t="s">
        <v>190</v>
      </c>
      <c r="C1174" s="2" t="s">
        <v>21</v>
      </c>
      <c r="D1174" s="2" t="s">
        <v>18</v>
      </c>
      <c r="E1174" s="2" t="s">
        <v>47</v>
      </c>
      <c r="F1174" s="2">
        <v>1</v>
      </c>
      <c r="G1174" s="2">
        <v>24</v>
      </c>
      <c r="H1174" s="2">
        <v>21</v>
      </c>
    </row>
    <row r="1175" spans="1:8" x14ac:dyDescent="0.25">
      <c r="A1175" s="2">
        <v>43</v>
      </c>
      <c r="B1175" s="2" t="s">
        <v>191</v>
      </c>
      <c r="C1175" s="2" t="s">
        <v>21</v>
      </c>
      <c r="D1175" s="2" t="s">
        <v>18</v>
      </c>
      <c r="E1175" s="2" t="s">
        <v>12</v>
      </c>
      <c r="F1175" s="2">
        <v>2</v>
      </c>
      <c r="G1175" s="2">
        <v>24</v>
      </c>
      <c r="H1175" s="2">
        <v>24</v>
      </c>
    </row>
    <row r="1176" spans="1:8" x14ac:dyDescent="0.25">
      <c r="A1176" s="2">
        <v>43</v>
      </c>
      <c r="B1176" s="2" t="s">
        <v>192</v>
      </c>
      <c r="C1176" s="2" t="s">
        <v>21</v>
      </c>
      <c r="D1176" s="2" t="s">
        <v>19</v>
      </c>
      <c r="E1176" s="2" t="s">
        <v>9</v>
      </c>
      <c r="F1176" s="2">
        <v>1</v>
      </c>
      <c r="G1176" s="2">
        <v>24</v>
      </c>
      <c r="H1176" s="2">
        <v>2</v>
      </c>
    </row>
    <row r="1177" spans="1:8" x14ac:dyDescent="0.25">
      <c r="A1177" s="2">
        <v>43</v>
      </c>
      <c r="B1177" s="2" t="s">
        <v>193</v>
      </c>
      <c r="C1177" s="2" t="s">
        <v>21</v>
      </c>
      <c r="D1177" s="2" t="s">
        <v>19</v>
      </c>
      <c r="E1177" s="2" t="s">
        <v>41</v>
      </c>
      <c r="F1177" s="2">
        <v>2</v>
      </c>
      <c r="G1177" s="2">
        <v>24</v>
      </c>
      <c r="H1177" s="2">
        <v>5</v>
      </c>
    </row>
    <row r="1178" spans="1:8" x14ac:dyDescent="0.25">
      <c r="A1178" s="2">
        <v>43</v>
      </c>
      <c r="B1178" s="2" t="s">
        <v>194</v>
      </c>
      <c r="C1178" s="2" t="s">
        <v>21</v>
      </c>
      <c r="D1178" s="2" t="s">
        <v>19</v>
      </c>
      <c r="E1178" s="2" t="s">
        <v>40</v>
      </c>
      <c r="F1178" s="2">
        <v>1</v>
      </c>
      <c r="G1178" s="2">
        <v>24</v>
      </c>
      <c r="H1178" s="2">
        <v>10</v>
      </c>
    </row>
    <row r="1179" spans="1:8" x14ac:dyDescent="0.25">
      <c r="A1179" s="2">
        <v>43</v>
      </c>
      <c r="B1179" s="2" t="s">
        <v>195</v>
      </c>
      <c r="C1179" s="2" t="s">
        <v>21</v>
      </c>
      <c r="D1179" s="2" t="s">
        <v>19</v>
      </c>
      <c r="E1179" s="2" t="s">
        <v>13</v>
      </c>
      <c r="F1179" s="2">
        <v>2</v>
      </c>
      <c r="G1179" s="2">
        <v>24</v>
      </c>
      <c r="H1179" s="2">
        <v>12</v>
      </c>
    </row>
    <row r="1180" spans="1:8" x14ac:dyDescent="0.25">
      <c r="A1180" s="2">
        <v>43</v>
      </c>
      <c r="B1180" s="2" t="s">
        <v>196</v>
      </c>
      <c r="C1180" s="2" t="s">
        <v>21</v>
      </c>
      <c r="D1180" s="2" t="s">
        <v>19</v>
      </c>
      <c r="E1180" s="2" t="s">
        <v>15</v>
      </c>
      <c r="F1180" s="2">
        <v>1</v>
      </c>
      <c r="G1180" s="2">
        <v>24</v>
      </c>
      <c r="H1180" s="2">
        <v>14</v>
      </c>
    </row>
    <row r="1181" spans="1:8" x14ac:dyDescent="0.25">
      <c r="A1181" s="2">
        <v>43</v>
      </c>
      <c r="B1181" s="2" t="s">
        <v>197</v>
      </c>
      <c r="C1181" s="2" t="s">
        <v>21</v>
      </c>
      <c r="D1181" s="2" t="s">
        <v>19</v>
      </c>
      <c r="E1181" s="2" t="s">
        <v>11</v>
      </c>
      <c r="F1181" s="2">
        <v>2</v>
      </c>
      <c r="G1181" s="2">
        <v>24</v>
      </c>
      <c r="H1181" s="2">
        <v>16</v>
      </c>
    </row>
    <row r="1182" spans="1:8" x14ac:dyDescent="0.25">
      <c r="A1182" s="2">
        <v>43</v>
      </c>
      <c r="B1182" s="2" t="s">
        <v>198</v>
      </c>
      <c r="C1182" s="2" t="s">
        <v>21</v>
      </c>
      <c r="D1182" s="2" t="s">
        <v>19</v>
      </c>
      <c r="E1182" s="2" t="s">
        <v>59</v>
      </c>
      <c r="F1182" s="2">
        <v>1</v>
      </c>
      <c r="G1182" s="2">
        <v>24</v>
      </c>
      <c r="H1182" s="2">
        <v>19</v>
      </c>
    </row>
    <row r="1183" spans="1:8" x14ac:dyDescent="0.25">
      <c r="A1183" s="2">
        <v>43</v>
      </c>
      <c r="B1183" s="2" t="s">
        <v>199</v>
      </c>
      <c r="C1183" s="2" t="s">
        <v>21</v>
      </c>
      <c r="D1183" s="2" t="s">
        <v>19</v>
      </c>
      <c r="E1183" s="2" t="s">
        <v>7</v>
      </c>
      <c r="F1183" s="2">
        <v>2</v>
      </c>
      <c r="G1183" s="2">
        <v>24</v>
      </c>
      <c r="H1183" s="2">
        <v>21</v>
      </c>
    </row>
    <row r="1184" spans="1:8" x14ac:dyDescent="0.25">
      <c r="A1184" s="2">
        <v>43</v>
      </c>
      <c r="B1184" s="2" t="s">
        <v>200</v>
      </c>
      <c r="C1184" s="2" t="s">
        <v>21</v>
      </c>
      <c r="D1184" s="2" t="s">
        <v>19</v>
      </c>
      <c r="E1184" s="2" t="s">
        <v>14</v>
      </c>
      <c r="F1184" s="2">
        <v>1</v>
      </c>
      <c r="G1184" s="2">
        <v>24</v>
      </c>
      <c r="H1184" s="2">
        <v>24</v>
      </c>
    </row>
    <row r="1185" spans="1:8" x14ac:dyDescent="0.25">
      <c r="A1185" s="2">
        <v>43</v>
      </c>
      <c r="B1185" s="2" t="s">
        <v>201</v>
      </c>
      <c r="C1185" s="2" t="s">
        <v>46</v>
      </c>
      <c r="D1185" s="2" t="s">
        <v>18</v>
      </c>
      <c r="E1185" s="2" t="s">
        <v>42</v>
      </c>
      <c r="F1185" s="2">
        <v>1</v>
      </c>
      <c r="G1185" s="2">
        <v>24</v>
      </c>
      <c r="H1185" s="2">
        <v>22</v>
      </c>
    </row>
    <row r="1186" spans="1:8" x14ac:dyDescent="0.25">
      <c r="A1186" s="2">
        <v>43</v>
      </c>
      <c r="B1186" s="2" t="s">
        <v>202</v>
      </c>
      <c r="C1186" s="2" t="s">
        <v>46</v>
      </c>
      <c r="D1186" s="2" t="s">
        <v>18</v>
      </c>
      <c r="E1186" s="2" t="s">
        <v>2</v>
      </c>
      <c r="F1186" s="2">
        <v>2</v>
      </c>
      <c r="G1186" s="2">
        <v>24</v>
      </c>
      <c r="H1186" s="2">
        <v>26</v>
      </c>
    </row>
    <row r="1187" spans="1:8" x14ac:dyDescent="0.25">
      <c r="A1187" s="2">
        <v>43</v>
      </c>
      <c r="B1187" s="2" t="s">
        <v>203</v>
      </c>
      <c r="C1187" s="2" t="s">
        <v>46</v>
      </c>
      <c r="D1187" s="2" t="s">
        <v>18</v>
      </c>
      <c r="E1187" s="2" t="s">
        <v>67</v>
      </c>
      <c r="F1187" s="2">
        <v>1</v>
      </c>
      <c r="G1187" s="2">
        <v>24</v>
      </c>
      <c r="H1187" s="2">
        <v>26</v>
      </c>
    </row>
    <row r="1188" spans="1:8" x14ac:dyDescent="0.25">
      <c r="A1188" s="2">
        <v>43</v>
      </c>
      <c r="B1188" s="2" t="s">
        <v>204</v>
      </c>
      <c r="C1188" s="2" t="s">
        <v>46</v>
      </c>
      <c r="D1188" s="2" t="s">
        <v>18</v>
      </c>
      <c r="E1188" s="2" t="s">
        <v>4</v>
      </c>
      <c r="F1188" s="2">
        <v>2</v>
      </c>
      <c r="G1188" s="2">
        <v>24</v>
      </c>
      <c r="H1188" s="2">
        <v>29</v>
      </c>
    </row>
    <row r="1189" spans="1:8" x14ac:dyDescent="0.25">
      <c r="A1189" s="2">
        <v>43</v>
      </c>
      <c r="B1189" s="2" t="s">
        <v>205</v>
      </c>
      <c r="C1189" s="2" t="s">
        <v>46</v>
      </c>
      <c r="D1189" s="2" t="s">
        <v>18</v>
      </c>
      <c r="E1189" s="2" t="s">
        <v>10</v>
      </c>
      <c r="F1189" s="2">
        <v>1</v>
      </c>
      <c r="G1189" s="2">
        <v>24</v>
      </c>
      <c r="H1189" s="2">
        <v>31</v>
      </c>
    </row>
    <row r="1190" spans="1:8" x14ac:dyDescent="0.25">
      <c r="A1190" s="2">
        <v>43</v>
      </c>
      <c r="B1190" s="2" t="s">
        <v>206</v>
      </c>
      <c r="C1190" s="2" t="s">
        <v>46</v>
      </c>
      <c r="D1190" s="2" t="s">
        <v>18</v>
      </c>
      <c r="E1190" s="2" t="s">
        <v>8</v>
      </c>
      <c r="F1190" s="2">
        <v>2</v>
      </c>
      <c r="G1190" s="2">
        <v>24</v>
      </c>
      <c r="H1190" s="2">
        <v>33</v>
      </c>
    </row>
    <row r="1191" spans="1:8" x14ac:dyDescent="0.25">
      <c r="A1191" s="2">
        <v>43</v>
      </c>
      <c r="B1191" s="2" t="s">
        <v>207</v>
      </c>
      <c r="C1191" s="2" t="s">
        <v>46</v>
      </c>
      <c r="D1191" s="2" t="s">
        <v>18</v>
      </c>
      <c r="E1191" s="2" t="s">
        <v>3</v>
      </c>
      <c r="F1191" s="2">
        <v>1</v>
      </c>
      <c r="G1191" s="2">
        <v>24</v>
      </c>
      <c r="H1191" s="2">
        <v>36</v>
      </c>
    </row>
    <row r="1192" spans="1:8" x14ac:dyDescent="0.25">
      <c r="A1192" s="2">
        <v>43</v>
      </c>
      <c r="B1192" s="2" t="s">
        <v>208</v>
      </c>
      <c r="C1192" s="2" t="s">
        <v>46</v>
      </c>
      <c r="D1192" s="2" t="s">
        <v>18</v>
      </c>
      <c r="E1192" s="2" t="s">
        <v>6</v>
      </c>
      <c r="F1192" s="2">
        <v>2</v>
      </c>
      <c r="G1192" s="2">
        <v>24</v>
      </c>
      <c r="H1192" s="2">
        <v>39</v>
      </c>
    </row>
    <row r="1193" spans="1:8" x14ac:dyDescent="0.25">
      <c r="A1193" s="2">
        <v>43</v>
      </c>
      <c r="B1193" s="2" t="s">
        <v>209</v>
      </c>
      <c r="C1193" s="2" t="s">
        <v>46</v>
      </c>
      <c r="D1193" s="2" t="s">
        <v>18</v>
      </c>
      <c r="E1193" s="2" t="s">
        <v>47</v>
      </c>
      <c r="F1193" s="2">
        <v>1</v>
      </c>
      <c r="G1193" s="2">
        <v>24</v>
      </c>
      <c r="H1193" s="2">
        <v>41</v>
      </c>
    </row>
    <row r="1194" spans="1:8" x14ac:dyDescent="0.25">
      <c r="A1194" s="2">
        <v>43</v>
      </c>
      <c r="B1194" s="2" t="s">
        <v>210</v>
      </c>
      <c r="C1194" s="2" t="s">
        <v>46</v>
      </c>
      <c r="D1194" s="2" t="s">
        <v>18</v>
      </c>
      <c r="E1194" s="2" t="s">
        <v>12</v>
      </c>
      <c r="F1194" s="2">
        <v>2</v>
      </c>
      <c r="G1194" s="2">
        <v>24</v>
      </c>
      <c r="H1194" s="2">
        <v>44</v>
      </c>
    </row>
    <row r="1195" spans="1:8" x14ac:dyDescent="0.25">
      <c r="A1195" s="2">
        <v>43</v>
      </c>
      <c r="B1195" s="2" t="s">
        <v>211</v>
      </c>
      <c r="C1195" s="2" t="s">
        <v>46</v>
      </c>
      <c r="D1195" s="2" t="s">
        <v>19</v>
      </c>
      <c r="E1195" s="2" t="s">
        <v>9</v>
      </c>
      <c r="F1195" s="2">
        <v>1</v>
      </c>
      <c r="G1195" s="2">
        <v>24</v>
      </c>
      <c r="H1195" s="2">
        <v>23</v>
      </c>
    </row>
    <row r="1196" spans="1:8" x14ac:dyDescent="0.25">
      <c r="A1196" s="2">
        <v>43</v>
      </c>
      <c r="B1196" s="2" t="s">
        <v>212</v>
      </c>
      <c r="C1196" s="2" t="s">
        <v>46</v>
      </c>
      <c r="D1196" s="2" t="s">
        <v>19</v>
      </c>
      <c r="E1196" s="2" t="s">
        <v>41</v>
      </c>
      <c r="F1196" s="2">
        <v>2</v>
      </c>
      <c r="G1196" s="2">
        <v>24</v>
      </c>
      <c r="H1196" s="2">
        <v>26</v>
      </c>
    </row>
    <row r="1197" spans="1:8" x14ac:dyDescent="0.25">
      <c r="A1197" s="2">
        <v>43</v>
      </c>
      <c r="B1197" s="2" t="s">
        <v>213</v>
      </c>
      <c r="C1197" s="2" t="s">
        <v>46</v>
      </c>
      <c r="D1197" s="2" t="s">
        <v>19</v>
      </c>
      <c r="E1197" s="2" t="s">
        <v>40</v>
      </c>
      <c r="F1197" s="2">
        <v>1</v>
      </c>
      <c r="G1197" s="2">
        <v>24</v>
      </c>
      <c r="H1197" s="2">
        <v>31</v>
      </c>
    </row>
    <row r="1198" spans="1:8" x14ac:dyDescent="0.25">
      <c r="A1198" s="2">
        <v>43</v>
      </c>
      <c r="B1198" s="2" t="s">
        <v>214</v>
      </c>
      <c r="C1198" s="2" t="s">
        <v>46</v>
      </c>
      <c r="D1198" s="2" t="s">
        <v>19</v>
      </c>
      <c r="E1198" s="2" t="s">
        <v>13</v>
      </c>
      <c r="F1198" s="2">
        <v>2</v>
      </c>
      <c r="G1198" s="2">
        <v>24</v>
      </c>
      <c r="H1198" s="2">
        <v>33</v>
      </c>
    </row>
    <row r="1199" spans="1:8" x14ac:dyDescent="0.25">
      <c r="A1199" s="2">
        <v>43</v>
      </c>
      <c r="B1199" s="2" t="s">
        <v>215</v>
      </c>
      <c r="C1199" s="2" t="s">
        <v>46</v>
      </c>
      <c r="D1199" s="2" t="s">
        <v>19</v>
      </c>
      <c r="E1199" s="2" t="s">
        <v>15</v>
      </c>
      <c r="F1199" s="2">
        <v>1</v>
      </c>
      <c r="G1199" s="2">
        <v>24</v>
      </c>
      <c r="H1199" s="2">
        <v>34</v>
      </c>
    </row>
    <row r="1200" spans="1:8" x14ac:dyDescent="0.25">
      <c r="A1200" s="2">
        <v>43</v>
      </c>
      <c r="B1200" s="2" t="s">
        <v>216</v>
      </c>
      <c r="C1200" s="2" t="s">
        <v>46</v>
      </c>
      <c r="D1200" s="2" t="s">
        <v>19</v>
      </c>
      <c r="E1200" s="2" t="s">
        <v>11</v>
      </c>
      <c r="F1200" s="2">
        <v>2</v>
      </c>
      <c r="G1200" s="2">
        <v>24</v>
      </c>
      <c r="H1200" s="2">
        <v>38</v>
      </c>
    </row>
    <row r="1201" spans="1:8" x14ac:dyDescent="0.25">
      <c r="A1201" s="2">
        <v>43</v>
      </c>
      <c r="B1201" s="2" t="s">
        <v>217</v>
      </c>
      <c r="C1201" s="2" t="s">
        <v>46</v>
      </c>
      <c r="D1201" s="2" t="s">
        <v>19</v>
      </c>
      <c r="E1201" s="2" t="s">
        <v>59</v>
      </c>
      <c r="F1201" s="2">
        <v>1</v>
      </c>
      <c r="G1201" s="2">
        <v>24</v>
      </c>
      <c r="H1201" s="2">
        <v>40</v>
      </c>
    </row>
    <row r="1202" spans="1:8" x14ac:dyDescent="0.25">
      <c r="A1202" s="2">
        <v>43</v>
      </c>
      <c r="B1202" s="2" t="s">
        <v>218</v>
      </c>
      <c r="C1202" s="2" t="s">
        <v>46</v>
      </c>
      <c r="D1202" s="2" t="s">
        <v>19</v>
      </c>
      <c r="E1202" s="2" t="s">
        <v>7</v>
      </c>
      <c r="F1202" s="2">
        <v>2</v>
      </c>
      <c r="G1202" s="2">
        <v>24</v>
      </c>
      <c r="H1202" s="2">
        <v>41</v>
      </c>
    </row>
    <row r="1203" spans="1:8" x14ac:dyDescent="0.25">
      <c r="A1203" s="2">
        <v>43</v>
      </c>
      <c r="B1203" s="2" t="s">
        <v>219</v>
      </c>
      <c r="C1203" s="2" t="s">
        <v>46</v>
      </c>
      <c r="D1203" s="2" t="s">
        <v>19</v>
      </c>
      <c r="E1203" s="2" t="s">
        <v>14</v>
      </c>
      <c r="F1203" s="2">
        <v>1</v>
      </c>
      <c r="G1203" s="2">
        <v>24</v>
      </c>
      <c r="H1203" s="2">
        <v>44</v>
      </c>
    </row>
    <row r="1204" spans="1:8" x14ac:dyDescent="0.25">
      <c r="A1204" s="2">
        <v>43</v>
      </c>
      <c r="B1204" s="2" t="s">
        <v>220</v>
      </c>
      <c r="C1204" s="2" t="s">
        <v>0</v>
      </c>
      <c r="D1204" s="2" t="s">
        <v>18</v>
      </c>
      <c r="E1204" s="2" t="s">
        <v>42</v>
      </c>
      <c r="F1204" s="2">
        <v>1</v>
      </c>
      <c r="G1204" s="2">
        <v>24</v>
      </c>
      <c r="H1204" s="2">
        <v>0</v>
      </c>
    </row>
    <row r="1205" spans="1:8" x14ac:dyDescent="0.25">
      <c r="A1205" s="2">
        <v>43</v>
      </c>
      <c r="B1205" s="2" t="s">
        <v>221</v>
      </c>
      <c r="C1205" s="2" t="s">
        <v>0</v>
      </c>
      <c r="D1205" s="2" t="s">
        <v>18</v>
      </c>
      <c r="E1205" s="2" t="s">
        <v>2</v>
      </c>
      <c r="F1205" s="2">
        <v>2</v>
      </c>
      <c r="G1205" s="2">
        <v>24</v>
      </c>
      <c r="H1205" s="2">
        <v>5</v>
      </c>
    </row>
    <row r="1206" spans="1:8" x14ac:dyDescent="0.25">
      <c r="A1206" s="2">
        <v>43</v>
      </c>
      <c r="B1206" s="2" t="s">
        <v>222</v>
      </c>
      <c r="C1206" s="2" t="s">
        <v>0</v>
      </c>
      <c r="D1206" s="2" t="s">
        <v>18</v>
      </c>
      <c r="E1206" s="2" t="s">
        <v>67</v>
      </c>
      <c r="F1206" s="2">
        <v>1</v>
      </c>
      <c r="G1206" s="2">
        <v>24</v>
      </c>
      <c r="H1206" s="2">
        <v>6</v>
      </c>
    </row>
    <row r="1207" spans="1:8" x14ac:dyDescent="0.25">
      <c r="A1207" s="2">
        <v>43</v>
      </c>
      <c r="B1207" s="2" t="s">
        <v>223</v>
      </c>
      <c r="C1207" s="2" t="s">
        <v>0</v>
      </c>
      <c r="D1207" s="2" t="s">
        <v>18</v>
      </c>
      <c r="E1207" s="2" t="s">
        <v>4</v>
      </c>
      <c r="F1207" s="2">
        <v>2</v>
      </c>
      <c r="G1207" s="2">
        <v>24</v>
      </c>
      <c r="H1207" s="2">
        <v>7</v>
      </c>
    </row>
    <row r="1208" spans="1:8" x14ac:dyDescent="0.25">
      <c r="A1208" s="2">
        <v>43</v>
      </c>
      <c r="B1208" s="2" t="s">
        <v>224</v>
      </c>
      <c r="C1208" s="2" t="s">
        <v>0</v>
      </c>
      <c r="D1208" s="2" t="s">
        <v>18</v>
      </c>
      <c r="E1208" s="2" t="s">
        <v>10</v>
      </c>
      <c r="F1208" s="2">
        <v>1</v>
      </c>
      <c r="G1208" s="2">
        <v>24</v>
      </c>
      <c r="H1208" s="2">
        <v>9</v>
      </c>
    </row>
    <row r="1209" spans="1:8" x14ac:dyDescent="0.25">
      <c r="A1209" s="2">
        <v>43</v>
      </c>
      <c r="B1209" s="2" t="s">
        <v>225</v>
      </c>
      <c r="C1209" s="2" t="s">
        <v>0</v>
      </c>
      <c r="D1209" s="2" t="s">
        <v>18</v>
      </c>
      <c r="E1209" s="2" t="s">
        <v>8</v>
      </c>
      <c r="F1209" s="2">
        <v>2</v>
      </c>
      <c r="G1209" s="2">
        <v>24</v>
      </c>
      <c r="H1209" s="2">
        <v>11</v>
      </c>
    </row>
    <row r="1210" spans="1:8" x14ac:dyDescent="0.25">
      <c r="A1210" s="2">
        <v>43</v>
      </c>
      <c r="B1210" s="2" t="s">
        <v>226</v>
      </c>
      <c r="C1210" s="2" t="s">
        <v>0</v>
      </c>
      <c r="D1210" s="2" t="s">
        <v>18</v>
      </c>
      <c r="E1210" s="2" t="s">
        <v>3</v>
      </c>
      <c r="F1210" s="2">
        <v>1</v>
      </c>
      <c r="G1210" s="2">
        <v>24</v>
      </c>
      <c r="H1210" s="2">
        <v>14</v>
      </c>
    </row>
    <row r="1211" spans="1:8" x14ac:dyDescent="0.25">
      <c r="A1211" s="2">
        <v>43</v>
      </c>
      <c r="B1211" s="2" t="s">
        <v>227</v>
      </c>
      <c r="C1211" s="2" t="s">
        <v>0</v>
      </c>
      <c r="D1211" s="2" t="s">
        <v>18</v>
      </c>
      <c r="E1211" s="2" t="s">
        <v>6</v>
      </c>
      <c r="F1211" s="2">
        <v>2</v>
      </c>
      <c r="G1211" s="2">
        <v>24</v>
      </c>
      <c r="H1211" s="2">
        <v>17</v>
      </c>
    </row>
    <row r="1212" spans="1:8" x14ac:dyDescent="0.25">
      <c r="A1212" s="2">
        <v>43</v>
      </c>
      <c r="B1212" s="2" t="s">
        <v>228</v>
      </c>
      <c r="C1212" s="2" t="s">
        <v>0</v>
      </c>
      <c r="D1212" s="2" t="s">
        <v>18</v>
      </c>
      <c r="E1212" s="2" t="s">
        <v>47</v>
      </c>
      <c r="F1212" s="2">
        <v>1</v>
      </c>
      <c r="G1212" s="2">
        <v>24</v>
      </c>
      <c r="H1212" s="2">
        <v>19</v>
      </c>
    </row>
    <row r="1213" spans="1:8" x14ac:dyDescent="0.25">
      <c r="A1213" s="2">
        <v>43</v>
      </c>
      <c r="B1213" s="2" t="s">
        <v>229</v>
      </c>
      <c r="C1213" s="2" t="s">
        <v>0</v>
      </c>
      <c r="D1213" s="2" t="s">
        <v>18</v>
      </c>
      <c r="E1213" s="2" t="s">
        <v>12</v>
      </c>
      <c r="F1213" s="2">
        <v>2</v>
      </c>
      <c r="G1213" s="2">
        <v>24</v>
      </c>
      <c r="H1213" s="2">
        <v>22</v>
      </c>
    </row>
    <row r="1214" spans="1:8" x14ac:dyDescent="0.25">
      <c r="A1214" s="2">
        <v>43</v>
      </c>
      <c r="B1214" s="2" t="s">
        <v>230</v>
      </c>
      <c r="C1214" s="2" t="s">
        <v>0</v>
      </c>
      <c r="D1214" s="2" t="s">
        <v>19</v>
      </c>
      <c r="E1214" s="2" t="s">
        <v>9</v>
      </c>
      <c r="F1214" s="2">
        <v>1</v>
      </c>
      <c r="G1214" s="2">
        <v>24</v>
      </c>
      <c r="H1214" s="2">
        <v>0</v>
      </c>
    </row>
    <row r="1215" spans="1:8" x14ac:dyDescent="0.25">
      <c r="A1215" s="2">
        <v>43</v>
      </c>
      <c r="B1215" s="2" t="s">
        <v>231</v>
      </c>
      <c r="C1215" s="2" t="s">
        <v>0</v>
      </c>
      <c r="D1215" s="2" t="s">
        <v>19</v>
      </c>
      <c r="E1215" s="2" t="s">
        <v>41</v>
      </c>
      <c r="F1215" s="2">
        <v>2</v>
      </c>
      <c r="G1215" s="2">
        <v>24</v>
      </c>
      <c r="H1215" s="2">
        <v>6</v>
      </c>
    </row>
    <row r="1216" spans="1:8" x14ac:dyDescent="0.25">
      <c r="A1216" s="2">
        <v>43</v>
      </c>
      <c r="B1216" s="2" t="s">
        <v>232</v>
      </c>
      <c r="C1216" s="2" t="s">
        <v>0</v>
      </c>
      <c r="D1216" s="2" t="s">
        <v>19</v>
      </c>
      <c r="E1216" s="2" t="s">
        <v>40</v>
      </c>
      <c r="F1216" s="2">
        <v>1</v>
      </c>
      <c r="G1216" s="2">
        <v>24</v>
      </c>
      <c r="H1216" s="2">
        <v>9</v>
      </c>
    </row>
    <row r="1217" spans="1:8" x14ac:dyDescent="0.25">
      <c r="A1217" s="2">
        <v>43</v>
      </c>
      <c r="B1217" s="2" t="s">
        <v>233</v>
      </c>
      <c r="C1217" s="2" t="s">
        <v>0</v>
      </c>
      <c r="D1217" s="2" t="s">
        <v>19</v>
      </c>
      <c r="E1217" s="2" t="s">
        <v>13</v>
      </c>
      <c r="F1217" s="2">
        <v>2</v>
      </c>
      <c r="G1217" s="2">
        <v>24</v>
      </c>
      <c r="H1217" s="2">
        <v>11</v>
      </c>
    </row>
    <row r="1218" spans="1:8" x14ac:dyDescent="0.25">
      <c r="A1218" s="2">
        <v>43</v>
      </c>
      <c r="B1218" s="2" t="s">
        <v>234</v>
      </c>
      <c r="C1218" s="2" t="s">
        <v>0</v>
      </c>
      <c r="D1218" s="2" t="s">
        <v>19</v>
      </c>
      <c r="E1218" s="2" t="s">
        <v>15</v>
      </c>
      <c r="F1218" s="2">
        <v>1</v>
      </c>
      <c r="G1218" s="2">
        <v>24</v>
      </c>
      <c r="H1218" s="2">
        <v>14</v>
      </c>
    </row>
    <row r="1219" spans="1:8" x14ac:dyDescent="0.25">
      <c r="A1219" s="2">
        <v>43</v>
      </c>
      <c r="B1219" s="2" t="s">
        <v>235</v>
      </c>
      <c r="C1219" s="2" t="s">
        <v>0</v>
      </c>
      <c r="D1219" s="2" t="s">
        <v>19</v>
      </c>
      <c r="E1219" s="2" t="s">
        <v>11</v>
      </c>
      <c r="F1219" s="2">
        <v>2</v>
      </c>
      <c r="G1219" s="2">
        <v>24</v>
      </c>
      <c r="H1219" s="2">
        <v>16</v>
      </c>
    </row>
    <row r="1220" spans="1:8" x14ac:dyDescent="0.25">
      <c r="A1220" s="2">
        <v>43</v>
      </c>
      <c r="B1220" s="2" t="s">
        <v>236</v>
      </c>
      <c r="C1220" s="2" t="s">
        <v>0</v>
      </c>
      <c r="D1220" s="2" t="s">
        <v>19</v>
      </c>
      <c r="E1220" s="2" t="s">
        <v>59</v>
      </c>
      <c r="F1220" s="2">
        <v>1</v>
      </c>
      <c r="G1220" s="2">
        <v>24</v>
      </c>
      <c r="H1220" s="2">
        <v>18</v>
      </c>
    </row>
    <row r="1221" spans="1:8" x14ac:dyDescent="0.25">
      <c r="A1221" s="2">
        <v>43</v>
      </c>
      <c r="B1221" s="2" t="s">
        <v>237</v>
      </c>
      <c r="C1221" s="2" t="s">
        <v>0</v>
      </c>
      <c r="D1221" s="2" t="s">
        <v>19</v>
      </c>
      <c r="E1221" s="2" t="s">
        <v>7</v>
      </c>
      <c r="F1221" s="2">
        <v>2</v>
      </c>
      <c r="G1221" s="2">
        <v>24</v>
      </c>
      <c r="H1221" s="2">
        <v>19</v>
      </c>
    </row>
    <row r="1222" spans="1:8" x14ac:dyDescent="0.25">
      <c r="A1222" s="2">
        <v>43</v>
      </c>
      <c r="B1222" s="2" t="s">
        <v>238</v>
      </c>
      <c r="C1222" s="2" t="s">
        <v>0</v>
      </c>
      <c r="D1222" s="2" t="s">
        <v>19</v>
      </c>
      <c r="E1222" s="2" t="s">
        <v>14</v>
      </c>
      <c r="F1222" s="2">
        <v>1</v>
      </c>
      <c r="G1222" s="2">
        <v>24</v>
      </c>
      <c r="H1222" s="2">
        <v>22</v>
      </c>
    </row>
    <row r="1223" spans="1:8" x14ac:dyDescent="0.25">
      <c r="A1223" s="2">
        <v>43</v>
      </c>
      <c r="B1223" s="2" t="s">
        <v>239</v>
      </c>
      <c r="C1223" s="2" t="s">
        <v>32</v>
      </c>
      <c r="D1223" s="2" t="s">
        <v>18</v>
      </c>
      <c r="E1223" s="2" t="s">
        <v>42</v>
      </c>
      <c r="F1223" s="2">
        <v>1</v>
      </c>
      <c r="G1223" s="2">
        <v>24</v>
      </c>
      <c r="H1223" s="2">
        <v>20</v>
      </c>
    </row>
    <row r="1224" spans="1:8" x14ac:dyDescent="0.25">
      <c r="A1224" s="2">
        <v>43</v>
      </c>
      <c r="B1224" s="2" t="s">
        <v>240</v>
      </c>
      <c r="C1224" s="2" t="s">
        <v>32</v>
      </c>
      <c r="D1224" s="2" t="s">
        <v>18</v>
      </c>
      <c r="E1224" s="2" t="s">
        <v>2</v>
      </c>
      <c r="F1224" s="2">
        <v>2</v>
      </c>
      <c r="G1224" s="2">
        <v>24</v>
      </c>
      <c r="H1224" s="2">
        <v>22</v>
      </c>
    </row>
    <row r="1225" spans="1:8" x14ac:dyDescent="0.25">
      <c r="A1225" s="2">
        <v>43</v>
      </c>
      <c r="B1225" s="2" t="s">
        <v>241</v>
      </c>
      <c r="C1225" s="2" t="s">
        <v>32</v>
      </c>
      <c r="D1225" s="2" t="s">
        <v>18</v>
      </c>
      <c r="E1225" s="2" t="s">
        <v>67</v>
      </c>
      <c r="F1225" s="2">
        <v>1</v>
      </c>
      <c r="G1225" s="2">
        <v>24</v>
      </c>
      <c r="H1225" s="2">
        <v>23</v>
      </c>
    </row>
    <row r="1226" spans="1:8" x14ac:dyDescent="0.25">
      <c r="A1226" s="2">
        <v>43</v>
      </c>
      <c r="B1226" s="2" t="s">
        <v>242</v>
      </c>
      <c r="C1226" s="2" t="s">
        <v>32</v>
      </c>
      <c r="D1226" s="2" t="s">
        <v>18</v>
      </c>
      <c r="E1226" s="2" t="s">
        <v>4</v>
      </c>
      <c r="F1226" s="2">
        <v>2</v>
      </c>
      <c r="G1226" s="2">
        <v>24</v>
      </c>
      <c r="H1226" s="2">
        <v>26</v>
      </c>
    </row>
    <row r="1227" spans="1:8" x14ac:dyDescent="0.25">
      <c r="A1227" s="2">
        <v>43</v>
      </c>
      <c r="B1227" s="2" t="s">
        <v>243</v>
      </c>
      <c r="C1227" s="2" t="s">
        <v>32</v>
      </c>
      <c r="D1227" s="2" t="s">
        <v>18</v>
      </c>
      <c r="E1227" s="2" t="s">
        <v>10</v>
      </c>
      <c r="F1227" s="2">
        <v>1</v>
      </c>
      <c r="G1227" s="2">
        <v>24</v>
      </c>
      <c r="H1227" s="2">
        <v>29</v>
      </c>
    </row>
    <row r="1228" spans="1:8" x14ac:dyDescent="0.25">
      <c r="A1228" s="2">
        <v>43</v>
      </c>
      <c r="B1228" s="2" t="s">
        <v>244</v>
      </c>
      <c r="C1228" s="2" t="s">
        <v>32</v>
      </c>
      <c r="D1228" s="2" t="s">
        <v>18</v>
      </c>
      <c r="E1228" s="2" t="s">
        <v>8</v>
      </c>
      <c r="F1228" s="2">
        <v>2</v>
      </c>
      <c r="G1228" s="2">
        <v>24</v>
      </c>
      <c r="H1228" s="2">
        <v>31</v>
      </c>
    </row>
    <row r="1229" spans="1:8" x14ac:dyDescent="0.25">
      <c r="A1229" s="2">
        <v>43</v>
      </c>
      <c r="B1229" s="2" t="s">
        <v>245</v>
      </c>
      <c r="C1229" s="2" t="s">
        <v>32</v>
      </c>
      <c r="D1229" s="2" t="s">
        <v>18</v>
      </c>
      <c r="E1229" s="2" t="s">
        <v>3</v>
      </c>
      <c r="F1229" s="2">
        <v>1</v>
      </c>
      <c r="G1229" s="2">
        <v>24</v>
      </c>
      <c r="H1229" s="2">
        <v>33</v>
      </c>
    </row>
    <row r="1230" spans="1:8" x14ac:dyDescent="0.25">
      <c r="A1230" s="2">
        <v>43</v>
      </c>
      <c r="B1230" s="2" t="s">
        <v>246</v>
      </c>
      <c r="C1230" s="2" t="s">
        <v>32</v>
      </c>
      <c r="D1230" s="2" t="s">
        <v>18</v>
      </c>
      <c r="E1230" s="2" t="s">
        <v>6</v>
      </c>
      <c r="F1230" s="2">
        <v>2</v>
      </c>
      <c r="G1230" s="2">
        <v>24</v>
      </c>
      <c r="H1230" s="2">
        <v>36</v>
      </c>
    </row>
    <row r="1231" spans="1:8" x14ac:dyDescent="0.25">
      <c r="A1231" s="2">
        <v>43</v>
      </c>
      <c r="B1231" s="2" t="s">
        <v>247</v>
      </c>
      <c r="C1231" s="2" t="s">
        <v>32</v>
      </c>
      <c r="D1231" s="2" t="s">
        <v>18</v>
      </c>
      <c r="E1231" s="2" t="s">
        <v>47</v>
      </c>
      <c r="F1231" s="2">
        <v>1</v>
      </c>
      <c r="G1231" s="2">
        <v>24</v>
      </c>
      <c r="H1231" s="2">
        <v>38</v>
      </c>
    </row>
    <row r="1232" spans="1:8" x14ac:dyDescent="0.25">
      <c r="A1232" s="2">
        <v>43</v>
      </c>
      <c r="B1232" s="2" t="s">
        <v>248</v>
      </c>
      <c r="C1232" s="2" t="s">
        <v>32</v>
      </c>
      <c r="D1232" s="2" t="s">
        <v>18</v>
      </c>
      <c r="E1232" s="2" t="s">
        <v>12</v>
      </c>
      <c r="F1232" s="2">
        <v>2</v>
      </c>
      <c r="G1232" s="2">
        <v>24</v>
      </c>
      <c r="H1232" s="2">
        <v>41</v>
      </c>
    </row>
    <row r="1233" spans="1:8" x14ac:dyDescent="0.25">
      <c r="A1233" s="2">
        <v>43</v>
      </c>
      <c r="B1233" s="2" t="s">
        <v>249</v>
      </c>
      <c r="C1233" s="2" t="s">
        <v>32</v>
      </c>
      <c r="D1233" s="2" t="s">
        <v>19</v>
      </c>
      <c r="E1233" s="2" t="s">
        <v>9</v>
      </c>
      <c r="F1233" s="2">
        <v>1</v>
      </c>
      <c r="G1233" s="2">
        <v>24</v>
      </c>
      <c r="H1233" s="2">
        <v>21</v>
      </c>
    </row>
    <row r="1234" spans="1:8" x14ac:dyDescent="0.25">
      <c r="A1234" s="2">
        <v>43</v>
      </c>
      <c r="B1234" s="2" t="s">
        <v>250</v>
      </c>
      <c r="C1234" s="2" t="s">
        <v>32</v>
      </c>
      <c r="D1234" s="2" t="s">
        <v>19</v>
      </c>
      <c r="E1234" s="2" t="s">
        <v>41</v>
      </c>
      <c r="F1234" s="2">
        <v>2</v>
      </c>
      <c r="G1234" s="2">
        <v>24</v>
      </c>
      <c r="H1234" s="2">
        <v>23</v>
      </c>
    </row>
    <row r="1235" spans="1:8" x14ac:dyDescent="0.25">
      <c r="A1235" s="2">
        <v>43</v>
      </c>
      <c r="B1235" s="2" t="s">
        <v>251</v>
      </c>
      <c r="C1235" s="2" t="s">
        <v>32</v>
      </c>
      <c r="D1235" s="2" t="s">
        <v>19</v>
      </c>
      <c r="E1235" s="2" t="s">
        <v>40</v>
      </c>
      <c r="F1235" s="2">
        <v>1</v>
      </c>
      <c r="G1235" s="2">
        <v>24</v>
      </c>
      <c r="H1235" s="2">
        <v>28</v>
      </c>
    </row>
    <row r="1236" spans="1:8" x14ac:dyDescent="0.25">
      <c r="A1236" s="2">
        <v>43</v>
      </c>
      <c r="B1236" s="2" t="s">
        <v>252</v>
      </c>
      <c r="C1236" s="2" t="s">
        <v>32</v>
      </c>
      <c r="D1236" s="2" t="s">
        <v>19</v>
      </c>
      <c r="E1236" s="2" t="s">
        <v>13</v>
      </c>
      <c r="F1236" s="2">
        <v>2</v>
      </c>
      <c r="G1236" s="2">
        <v>24</v>
      </c>
      <c r="H1236" s="2">
        <v>30</v>
      </c>
    </row>
    <row r="1237" spans="1:8" x14ac:dyDescent="0.25">
      <c r="A1237" s="2">
        <v>43</v>
      </c>
      <c r="B1237" s="2" t="s">
        <v>253</v>
      </c>
      <c r="C1237" s="2" t="s">
        <v>32</v>
      </c>
      <c r="D1237" s="2" t="s">
        <v>19</v>
      </c>
      <c r="E1237" s="2" t="s">
        <v>15</v>
      </c>
      <c r="F1237" s="2">
        <v>1</v>
      </c>
      <c r="G1237" s="2">
        <v>24</v>
      </c>
      <c r="H1237" s="2">
        <v>30</v>
      </c>
    </row>
    <row r="1238" spans="1:8" x14ac:dyDescent="0.25">
      <c r="A1238" s="2">
        <v>43</v>
      </c>
      <c r="B1238" s="2" t="s">
        <v>254</v>
      </c>
      <c r="C1238" s="2" t="s">
        <v>32</v>
      </c>
      <c r="D1238" s="2" t="s">
        <v>19</v>
      </c>
      <c r="E1238" s="2" t="s">
        <v>11</v>
      </c>
      <c r="F1238" s="2">
        <v>2</v>
      </c>
      <c r="G1238" s="2">
        <v>24</v>
      </c>
      <c r="H1238" s="2">
        <v>35</v>
      </c>
    </row>
    <row r="1239" spans="1:8" x14ac:dyDescent="0.25">
      <c r="A1239" s="2">
        <v>43</v>
      </c>
      <c r="B1239" s="2" t="s">
        <v>255</v>
      </c>
      <c r="C1239" s="2" t="s">
        <v>32</v>
      </c>
      <c r="D1239" s="2" t="s">
        <v>19</v>
      </c>
      <c r="E1239" s="2" t="s">
        <v>59</v>
      </c>
      <c r="F1239" s="2">
        <v>1</v>
      </c>
      <c r="G1239" s="2">
        <v>24</v>
      </c>
      <c r="H1239" s="2">
        <v>37</v>
      </c>
    </row>
    <row r="1240" spans="1:8" x14ac:dyDescent="0.25">
      <c r="A1240" s="2">
        <v>43</v>
      </c>
      <c r="B1240" s="2" t="s">
        <v>256</v>
      </c>
      <c r="C1240" s="2" t="s">
        <v>32</v>
      </c>
      <c r="D1240" s="2" t="s">
        <v>19</v>
      </c>
      <c r="E1240" s="2" t="s">
        <v>7</v>
      </c>
      <c r="F1240" s="2">
        <v>2</v>
      </c>
      <c r="G1240" s="2">
        <v>24</v>
      </c>
      <c r="H1240" s="2">
        <v>39</v>
      </c>
    </row>
    <row r="1241" spans="1:8" x14ac:dyDescent="0.25">
      <c r="A1241" s="2">
        <v>43</v>
      </c>
      <c r="B1241" s="2" t="s">
        <v>257</v>
      </c>
      <c r="C1241" s="2" t="s">
        <v>32</v>
      </c>
      <c r="D1241" s="2" t="s">
        <v>19</v>
      </c>
      <c r="E1241" s="2" t="s">
        <v>14</v>
      </c>
      <c r="F1241" s="2">
        <v>1</v>
      </c>
      <c r="G1241" s="2">
        <v>24</v>
      </c>
      <c r="H1241" s="2">
        <v>42</v>
      </c>
    </row>
  </sheetData>
  <autoFilter ref="A6:I1241">
    <filterColumn colId="6">
      <filters>
        <filter val="24"/>
      </filters>
    </filterColumn>
  </autoFilter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6"/>
  <sheetViews>
    <sheetView topLeftCell="O1" workbookViewId="0">
      <selection activeCell="V1" sqref="V1"/>
    </sheetView>
  </sheetViews>
  <sheetFormatPr defaultRowHeight="15" x14ac:dyDescent="0.25"/>
  <cols>
    <col min="2" max="2" width="25.7109375" bestFit="1" customWidth="1"/>
    <col min="11" max="11" width="25.7109375" bestFit="1" customWidth="1"/>
    <col min="20" max="20" width="25.7109375" bestFit="1" customWidth="1"/>
    <col min="21" max="21" width="12.28515625" bestFit="1" customWidth="1"/>
  </cols>
  <sheetData>
    <row r="1" spans="1:41" ht="15.75" thickBot="1" x14ac:dyDescent="0.3">
      <c r="A1" s="229" t="s">
        <v>52</v>
      </c>
      <c r="B1" s="229"/>
      <c r="C1" s="229" t="s">
        <v>53</v>
      </c>
      <c r="D1" s="229" t="s">
        <v>54</v>
      </c>
      <c r="E1" s="229" t="s">
        <v>55</v>
      </c>
      <c r="F1" s="229" t="s">
        <v>56</v>
      </c>
      <c r="G1" s="229" t="s">
        <v>57</v>
      </c>
      <c r="H1" s="229" t="s">
        <v>58</v>
      </c>
      <c r="J1" s="229" t="s">
        <v>52</v>
      </c>
      <c r="K1" s="229"/>
      <c r="L1" s="229" t="s">
        <v>53</v>
      </c>
      <c r="M1" s="229" t="s">
        <v>54</v>
      </c>
      <c r="N1" s="229" t="s">
        <v>55</v>
      </c>
      <c r="O1" s="229" t="s">
        <v>56</v>
      </c>
      <c r="P1" s="229" t="s">
        <v>57</v>
      </c>
      <c r="Q1" s="229" t="s">
        <v>58</v>
      </c>
      <c r="S1" s="229" t="s">
        <v>52</v>
      </c>
      <c r="T1" s="229"/>
      <c r="U1" s="229" t="s">
        <v>53</v>
      </c>
      <c r="V1" s="229" t="s">
        <v>54</v>
      </c>
      <c r="W1" s="229" t="s">
        <v>55</v>
      </c>
      <c r="X1" s="229" t="s">
        <v>56</v>
      </c>
      <c r="Y1" s="229" t="s">
        <v>57</v>
      </c>
      <c r="Z1" s="229" t="s">
        <v>58</v>
      </c>
      <c r="AD1" s="229" t="s">
        <v>52</v>
      </c>
      <c r="AE1" s="229"/>
      <c r="AF1" s="229" t="s">
        <v>53</v>
      </c>
      <c r="AG1" s="229" t="s">
        <v>54</v>
      </c>
      <c r="AH1" s="229" t="s">
        <v>55</v>
      </c>
      <c r="AI1" s="229" t="s">
        <v>56</v>
      </c>
      <c r="AJ1" s="229" t="s">
        <v>57</v>
      </c>
      <c r="AK1" s="229" t="s">
        <v>58</v>
      </c>
    </row>
    <row r="2" spans="1:41" ht="15.75" thickTop="1" x14ac:dyDescent="0.25">
      <c r="A2" s="2">
        <v>43</v>
      </c>
      <c r="B2" s="2" t="s">
        <v>258</v>
      </c>
      <c r="C2" s="223" t="s">
        <v>45</v>
      </c>
      <c r="D2" s="223" t="s">
        <v>18</v>
      </c>
      <c r="E2" s="223" t="s">
        <v>42</v>
      </c>
      <c r="F2" s="224">
        <v>1</v>
      </c>
      <c r="G2" s="2">
        <v>21</v>
      </c>
      <c r="H2" s="195">
        <v>0</v>
      </c>
      <c r="J2" s="2">
        <v>43</v>
      </c>
      <c r="K2" s="2" t="s">
        <v>68</v>
      </c>
      <c r="L2" s="223" t="s">
        <v>45</v>
      </c>
      <c r="M2" s="223" t="s">
        <v>18</v>
      </c>
      <c r="N2" s="223" t="s">
        <v>42</v>
      </c>
      <c r="O2" s="224">
        <v>1</v>
      </c>
      <c r="P2" s="2">
        <v>22</v>
      </c>
      <c r="Q2" s="195">
        <v>0</v>
      </c>
      <c r="S2" s="2">
        <v>43</v>
      </c>
      <c r="T2" s="2" t="s">
        <v>163</v>
      </c>
      <c r="U2" s="223" t="s">
        <v>45</v>
      </c>
      <c r="V2" s="223" t="s">
        <v>18</v>
      </c>
      <c r="W2" s="223" t="s">
        <v>42</v>
      </c>
      <c r="X2" s="224">
        <v>1</v>
      </c>
      <c r="Y2" s="2">
        <v>23</v>
      </c>
      <c r="Z2" s="195">
        <v>0</v>
      </c>
      <c r="AB2">
        <f>Z2-Q2</f>
        <v>0</v>
      </c>
      <c r="AD2" s="2">
        <v>43</v>
      </c>
      <c r="AE2" s="2" t="s">
        <v>163</v>
      </c>
      <c r="AF2" s="223" t="s">
        <v>45</v>
      </c>
      <c r="AG2" s="223" t="s">
        <v>18</v>
      </c>
      <c r="AH2" s="223" t="s">
        <v>42</v>
      </c>
      <c r="AI2" s="224">
        <v>1</v>
      </c>
      <c r="AJ2" s="2">
        <v>24</v>
      </c>
      <c r="AK2" s="195">
        <v>0</v>
      </c>
      <c r="AM2">
        <f>AK2-Z2</f>
        <v>0</v>
      </c>
      <c r="AN2">
        <v>0</v>
      </c>
      <c r="AO2" t="b">
        <f>AB2=AM2</f>
        <v>1</v>
      </c>
    </row>
    <row r="3" spans="1:41" x14ac:dyDescent="0.25">
      <c r="A3" s="2">
        <v>43</v>
      </c>
      <c r="B3" s="2" t="s">
        <v>259</v>
      </c>
      <c r="C3" s="223" t="s">
        <v>45</v>
      </c>
      <c r="D3" s="223" t="s">
        <v>18</v>
      </c>
      <c r="E3" s="352" t="s">
        <v>2</v>
      </c>
      <c r="F3" s="224">
        <v>2</v>
      </c>
      <c r="G3" s="2">
        <v>21</v>
      </c>
      <c r="H3" s="195">
        <v>2</v>
      </c>
      <c r="J3" s="2">
        <v>43</v>
      </c>
      <c r="K3" s="2" t="s">
        <v>69</v>
      </c>
      <c r="L3" s="223" t="s">
        <v>45</v>
      </c>
      <c r="M3" s="223" t="s">
        <v>18</v>
      </c>
      <c r="N3" s="352" t="s">
        <v>2</v>
      </c>
      <c r="O3" s="224">
        <v>2</v>
      </c>
      <c r="P3" s="2">
        <v>22</v>
      </c>
      <c r="Q3" s="195">
        <v>2</v>
      </c>
      <c r="S3" s="2">
        <v>43</v>
      </c>
      <c r="T3" s="2" t="s">
        <v>164</v>
      </c>
      <c r="U3" s="223" t="s">
        <v>45</v>
      </c>
      <c r="V3" s="223" t="s">
        <v>18</v>
      </c>
      <c r="W3" s="352" t="s">
        <v>2</v>
      </c>
      <c r="X3" s="224">
        <v>2</v>
      </c>
      <c r="Y3" s="2">
        <v>23</v>
      </c>
      <c r="Z3" s="195">
        <v>2</v>
      </c>
      <c r="AB3">
        <f t="shared" ref="AB3:AB66" si="0">Z3-Q3</f>
        <v>0</v>
      </c>
      <c r="AD3" s="2">
        <v>43</v>
      </c>
      <c r="AE3" s="2" t="s">
        <v>164</v>
      </c>
      <c r="AF3" s="223" t="s">
        <v>45</v>
      </c>
      <c r="AG3" s="223" t="s">
        <v>18</v>
      </c>
      <c r="AH3" s="352" t="s">
        <v>2</v>
      </c>
      <c r="AI3" s="224">
        <v>2</v>
      </c>
      <c r="AJ3" s="2">
        <v>24</v>
      </c>
      <c r="AK3" s="195">
        <v>2</v>
      </c>
      <c r="AM3">
        <f t="shared" ref="AM3:AM66" si="1">AK3-Z3</f>
        <v>0</v>
      </c>
      <c r="AN3">
        <v>0</v>
      </c>
      <c r="AO3" t="b">
        <f t="shared" ref="AO3:AO66" si="2">AB3=AM3</f>
        <v>1</v>
      </c>
    </row>
    <row r="4" spans="1:41" x14ac:dyDescent="0.25">
      <c r="A4" s="2">
        <v>43</v>
      </c>
      <c r="B4" s="2" t="s">
        <v>260</v>
      </c>
      <c r="C4" s="223" t="s">
        <v>45</v>
      </c>
      <c r="D4" s="223" t="s">
        <v>18</v>
      </c>
      <c r="E4" s="352" t="s">
        <v>67</v>
      </c>
      <c r="F4" s="224">
        <v>1</v>
      </c>
      <c r="G4" s="2">
        <v>21</v>
      </c>
      <c r="H4" s="195">
        <v>4</v>
      </c>
      <c r="J4" s="2">
        <v>43</v>
      </c>
      <c r="K4" s="2" t="s">
        <v>70</v>
      </c>
      <c r="L4" s="223" t="s">
        <v>45</v>
      </c>
      <c r="M4" s="223" t="s">
        <v>18</v>
      </c>
      <c r="N4" s="352" t="s">
        <v>67</v>
      </c>
      <c r="O4" s="224">
        <v>1</v>
      </c>
      <c r="P4" s="2">
        <v>22</v>
      </c>
      <c r="Q4" s="195">
        <v>4</v>
      </c>
      <c r="S4" s="2">
        <v>43</v>
      </c>
      <c r="T4" s="2" t="s">
        <v>165</v>
      </c>
      <c r="U4" s="223" t="s">
        <v>45</v>
      </c>
      <c r="V4" s="223" t="s">
        <v>18</v>
      </c>
      <c r="W4" s="352" t="s">
        <v>67</v>
      </c>
      <c r="X4" s="224">
        <v>1</v>
      </c>
      <c r="Y4" s="2">
        <v>23</v>
      </c>
      <c r="Z4" s="195">
        <v>4</v>
      </c>
      <c r="AB4">
        <f t="shared" si="0"/>
        <v>0</v>
      </c>
      <c r="AD4" s="2">
        <v>43</v>
      </c>
      <c r="AE4" s="2" t="s">
        <v>165</v>
      </c>
      <c r="AF4" s="223" t="s">
        <v>45</v>
      </c>
      <c r="AG4" s="223" t="s">
        <v>18</v>
      </c>
      <c r="AH4" s="352" t="s">
        <v>67</v>
      </c>
      <c r="AI4" s="224">
        <v>1</v>
      </c>
      <c r="AJ4" s="2">
        <v>24</v>
      </c>
      <c r="AK4" s="195">
        <v>4</v>
      </c>
      <c r="AM4">
        <f t="shared" si="1"/>
        <v>0</v>
      </c>
      <c r="AN4">
        <v>0</v>
      </c>
      <c r="AO4" t="b">
        <f t="shared" si="2"/>
        <v>1</v>
      </c>
    </row>
    <row r="5" spans="1:41" x14ac:dyDescent="0.25">
      <c r="A5" s="2">
        <v>43</v>
      </c>
      <c r="B5" s="2" t="s">
        <v>261</v>
      </c>
      <c r="C5" s="223" t="s">
        <v>45</v>
      </c>
      <c r="D5" s="223" t="s">
        <v>18</v>
      </c>
      <c r="E5" s="223" t="s">
        <v>4</v>
      </c>
      <c r="F5" s="224">
        <v>2</v>
      </c>
      <c r="G5" s="2">
        <v>21</v>
      </c>
      <c r="H5" s="195">
        <v>5</v>
      </c>
      <c r="J5" s="2">
        <v>43</v>
      </c>
      <c r="K5" s="2" t="s">
        <v>71</v>
      </c>
      <c r="L5" s="223" t="s">
        <v>45</v>
      </c>
      <c r="M5" s="223" t="s">
        <v>18</v>
      </c>
      <c r="N5" s="223" t="s">
        <v>4</v>
      </c>
      <c r="O5" s="224">
        <v>2</v>
      </c>
      <c r="P5" s="2">
        <v>22</v>
      </c>
      <c r="Q5" s="195">
        <v>5</v>
      </c>
      <c r="S5" s="2">
        <v>43</v>
      </c>
      <c r="T5" s="2" t="s">
        <v>166</v>
      </c>
      <c r="U5" s="223" t="s">
        <v>45</v>
      </c>
      <c r="V5" s="223" t="s">
        <v>18</v>
      </c>
      <c r="W5" s="223" t="s">
        <v>4</v>
      </c>
      <c r="X5" s="224">
        <v>2</v>
      </c>
      <c r="Y5" s="2">
        <v>23</v>
      </c>
      <c r="Z5" s="195">
        <v>5</v>
      </c>
      <c r="AB5">
        <f t="shared" si="0"/>
        <v>0</v>
      </c>
      <c r="AD5" s="2">
        <v>43</v>
      </c>
      <c r="AE5" s="2" t="s">
        <v>166</v>
      </c>
      <c r="AF5" s="223" t="s">
        <v>45</v>
      </c>
      <c r="AG5" s="223" t="s">
        <v>18</v>
      </c>
      <c r="AH5" s="223" t="s">
        <v>4</v>
      </c>
      <c r="AI5" s="224">
        <v>2</v>
      </c>
      <c r="AJ5" s="2">
        <v>24</v>
      </c>
      <c r="AK5" s="195">
        <v>5</v>
      </c>
      <c r="AM5">
        <f t="shared" si="1"/>
        <v>0</v>
      </c>
      <c r="AN5">
        <v>0</v>
      </c>
      <c r="AO5" t="b">
        <f t="shared" si="2"/>
        <v>1</v>
      </c>
    </row>
    <row r="6" spans="1:41" x14ac:dyDescent="0.25">
      <c r="A6" s="2">
        <v>43</v>
      </c>
      <c r="B6" s="2" t="s">
        <v>262</v>
      </c>
      <c r="C6" s="223" t="s">
        <v>45</v>
      </c>
      <c r="D6" s="223" t="s">
        <v>18</v>
      </c>
      <c r="E6" s="223" t="s">
        <v>10</v>
      </c>
      <c r="F6" s="224">
        <v>1</v>
      </c>
      <c r="G6" s="2">
        <v>21</v>
      </c>
      <c r="H6" s="195">
        <v>7</v>
      </c>
      <c r="J6" s="2">
        <v>43</v>
      </c>
      <c r="K6" s="2" t="s">
        <v>72</v>
      </c>
      <c r="L6" s="223" t="s">
        <v>45</v>
      </c>
      <c r="M6" s="223" t="s">
        <v>18</v>
      </c>
      <c r="N6" s="223" t="s">
        <v>10</v>
      </c>
      <c r="O6" s="224">
        <v>1</v>
      </c>
      <c r="P6" s="2">
        <v>22</v>
      </c>
      <c r="Q6" s="195">
        <v>8</v>
      </c>
      <c r="S6" s="2">
        <v>43</v>
      </c>
      <c r="T6" s="2" t="s">
        <v>167</v>
      </c>
      <c r="U6" s="223" t="s">
        <v>45</v>
      </c>
      <c r="V6" s="223" t="s">
        <v>18</v>
      </c>
      <c r="W6" s="223" t="s">
        <v>10</v>
      </c>
      <c r="X6" s="224">
        <v>1</v>
      </c>
      <c r="Y6" s="2">
        <v>23</v>
      </c>
      <c r="Z6" s="195">
        <v>9</v>
      </c>
      <c r="AB6">
        <f t="shared" si="0"/>
        <v>1</v>
      </c>
      <c r="AD6" s="2">
        <v>43</v>
      </c>
      <c r="AE6" s="2" t="s">
        <v>167</v>
      </c>
      <c r="AF6" s="223" t="s">
        <v>45</v>
      </c>
      <c r="AG6" s="223" t="s">
        <v>18</v>
      </c>
      <c r="AH6" s="223" t="s">
        <v>10</v>
      </c>
      <c r="AI6" s="224">
        <v>1</v>
      </c>
      <c r="AJ6" s="2">
        <v>24</v>
      </c>
      <c r="AK6" s="195">
        <v>10</v>
      </c>
      <c r="AM6">
        <f t="shared" si="1"/>
        <v>1</v>
      </c>
      <c r="AN6">
        <v>1</v>
      </c>
      <c r="AO6" t="b">
        <f t="shared" si="2"/>
        <v>1</v>
      </c>
    </row>
    <row r="7" spans="1:41" x14ac:dyDescent="0.25">
      <c r="A7" s="2">
        <v>43</v>
      </c>
      <c r="B7" s="2" t="s">
        <v>263</v>
      </c>
      <c r="C7" s="223" t="s">
        <v>45</v>
      </c>
      <c r="D7" s="223" t="s">
        <v>18</v>
      </c>
      <c r="E7" s="223" t="s">
        <v>8</v>
      </c>
      <c r="F7" s="224">
        <v>2</v>
      </c>
      <c r="G7" s="2">
        <v>21</v>
      </c>
      <c r="H7" s="195">
        <v>9</v>
      </c>
      <c r="J7" s="2">
        <v>43</v>
      </c>
      <c r="K7" s="2" t="s">
        <v>73</v>
      </c>
      <c r="L7" s="223" t="s">
        <v>45</v>
      </c>
      <c r="M7" s="223" t="s">
        <v>18</v>
      </c>
      <c r="N7" s="223" t="s">
        <v>8</v>
      </c>
      <c r="O7" s="224">
        <v>2</v>
      </c>
      <c r="P7" s="2">
        <v>22</v>
      </c>
      <c r="Q7" s="195">
        <v>10</v>
      </c>
      <c r="S7" s="2">
        <v>43</v>
      </c>
      <c r="T7" s="2" t="s">
        <v>168</v>
      </c>
      <c r="U7" s="223" t="s">
        <v>45</v>
      </c>
      <c r="V7" s="223" t="s">
        <v>18</v>
      </c>
      <c r="W7" s="223" t="s">
        <v>8</v>
      </c>
      <c r="X7" s="224">
        <v>2</v>
      </c>
      <c r="Y7" s="2">
        <v>23</v>
      </c>
      <c r="Z7" s="195">
        <v>11</v>
      </c>
      <c r="AB7">
        <f t="shared" si="0"/>
        <v>1</v>
      </c>
      <c r="AD7" s="2">
        <v>43</v>
      </c>
      <c r="AE7" s="2" t="s">
        <v>168</v>
      </c>
      <c r="AF7" s="223" t="s">
        <v>45</v>
      </c>
      <c r="AG7" s="223" t="s">
        <v>18</v>
      </c>
      <c r="AH7" s="223" t="s">
        <v>8</v>
      </c>
      <c r="AI7" s="224">
        <v>2</v>
      </c>
      <c r="AJ7" s="2">
        <v>24</v>
      </c>
      <c r="AK7" s="195">
        <v>12</v>
      </c>
      <c r="AM7">
        <f t="shared" si="1"/>
        <v>1</v>
      </c>
      <c r="AN7">
        <v>1</v>
      </c>
      <c r="AO7" t="b">
        <f t="shared" si="2"/>
        <v>1</v>
      </c>
    </row>
    <row r="8" spans="1:41" x14ac:dyDescent="0.25">
      <c r="A8" s="2">
        <v>43</v>
      </c>
      <c r="B8" s="2" t="s">
        <v>264</v>
      </c>
      <c r="C8" s="223" t="s">
        <v>45</v>
      </c>
      <c r="D8" s="223" t="s">
        <v>18</v>
      </c>
      <c r="E8" s="223" t="s">
        <v>3</v>
      </c>
      <c r="F8" s="224">
        <v>1</v>
      </c>
      <c r="G8" s="2">
        <v>21</v>
      </c>
      <c r="H8" s="195">
        <v>11</v>
      </c>
      <c r="J8" s="2">
        <v>43</v>
      </c>
      <c r="K8" s="2" t="s">
        <v>74</v>
      </c>
      <c r="L8" s="223" t="s">
        <v>45</v>
      </c>
      <c r="M8" s="223" t="s">
        <v>18</v>
      </c>
      <c r="N8" s="223" t="s">
        <v>3</v>
      </c>
      <c r="O8" s="224">
        <v>1</v>
      </c>
      <c r="P8" s="2">
        <v>22</v>
      </c>
      <c r="Q8" s="195">
        <v>12</v>
      </c>
      <c r="S8" s="2">
        <v>43</v>
      </c>
      <c r="T8" s="2" t="s">
        <v>169</v>
      </c>
      <c r="U8" s="223" t="s">
        <v>45</v>
      </c>
      <c r="V8" s="223" t="s">
        <v>18</v>
      </c>
      <c r="W8" s="223" t="s">
        <v>3</v>
      </c>
      <c r="X8" s="224">
        <v>1</v>
      </c>
      <c r="Y8" s="2">
        <v>23</v>
      </c>
      <c r="Z8" s="195">
        <v>13</v>
      </c>
      <c r="AB8">
        <f t="shared" si="0"/>
        <v>1</v>
      </c>
      <c r="AD8" s="2">
        <v>43</v>
      </c>
      <c r="AE8" s="2" t="s">
        <v>169</v>
      </c>
      <c r="AF8" s="223" t="s">
        <v>45</v>
      </c>
      <c r="AG8" s="223" t="s">
        <v>18</v>
      </c>
      <c r="AH8" s="223" t="s">
        <v>3</v>
      </c>
      <c r="AI8" s="224">
        <v>1</v>
      </c>
      <c r="AJ8" s="2">
        <v>24</v>
      </c>
      <c r="AK8" s="195">
        <v>14</v>
      </c>
      <c r="AM8">
        <f t="shared" si="1"/>
        <v>1</v>
      </c>
      <c r="AN8">
        <v>1</v>
      </c>
      <c r="AO8" t="b">
        <f t="shared" si="2"/>
        <v>1</v>
      </c>
    </row>
    <row r="9" spans="1:41" x14ac:dyDescent="0.25">
      <c r="A9" s="2">
        <v>43</v>
      </c>
      <c r="B9" s="2" t="s">
        <v>265</v>
      </c>
      <c r="C9" s="223" t="s">
        <v>45</v>
      </c>
      <c r="D9" s="223" t="s">
        <v>18</v>
      </c>
      <c r="E9" s="223" t="s">
        <v>6</v>
      </c>
      <c r="F9" s="224">
        <v>2</v>
      </c>
      <c r="G9" s="2">
        <v>21</v>
      </c>
      <c r="H9" s="195">
        <v>13</v>
      </c>
      <c r="J9" s="2">
        <v>43</v>
      </c>
      <c r="K9" s="2" t="s">
        <v>75</v>
      </c>
      <c r="L9" s="223" t="s">
        <v>45</v>
      </c>
      <c r="M9" s="223" t="s">
        <v>18</v>
      </c>
      <c r="N9" s="223" t="s">
        <v>6</v>
      </c>
      <c r="O9" s="224">
        <v>2</v>
      </c>
      <c r="P9" s="2">
        <v>22</v>
      </c>
      <c r="Q9" s="195">
        <v>14</v>
      </c>
      <c r="S9" s="2">
        <v>43</v>
      </c>
      <c r="T9" s="2" t="s">
        <v>170</v>
      </c>
      <c r="U9" s="223" t="s">
        <v>45</v>
      </c>
      <c r="V9" s="223" t="s">
        <v>18</v>
      </c>
      <c r="W9" s="223" t="s">
        <v>6</v>
      </c>
      <c r="X9" s="224">
        <v>2</v>
      </c>
      <c r="Y9" s="2">
        <v>23</v>
      </c>
      <c r="Z9" s="195">
        <v>15</v>
      </c>
      <c r="AB9">
        <f t="shared" si="0"/>
        <v>1</v>
      </c>
      <c r="AD9" s="2">
        <v>43</v>
      </c>
      <c r="AE9" s="2" t="s">
        <v>170</v>
      </c>
      <c r="AF9" s="223" t="s">
        <v>45</v>
      </c>
      <c r="AG9" s="223" t="s">
        <v>18</v>
      </c>
      <c r="AH9" s="223" t="s">
        <v>6</v>
      </c>
      <c r="AI9" s="224">
        <v>2</v>
      </c>
      <c r="AJ9" s="2">
        <v>24</v>
      </c>
      <c r="AK9" s="195">
        <v>16</v>
      </c>
      <c r="AM9">
        <f t="shared" si="1"/>
        <v>1</v>
      </c>
      <c r="AN9">
        <v>1</v>
      </c>
      <c r="AO9" t="b">
        <f t="shared" si="2"/>
        <v>1</v>
      </c>
    </row>
    <row r="10" spans="1:41" x14ac:dyDescent="0.25">
      <c r="A10" s="2">
        <v>43</v>
      </c>
      <c r="B10" s="2" t="s">
        <v>266</v>
      </c>
      <c r="C10" s="223" t="s">
        <v>45</v>
      </c>
      <c r="D10" s="223" t="s">
        <v>18</v>
      </c>
      <c r="E10" s="223" t="s">
        <v>47</v>
      </c>
      <c r="F10" s="224">
        <v>1</v>
      </c>
      <c r="G10" s="2">
        <v>21</v>
      </c>
      <c r="H10" s="195">
        <v>15</v>
      </c>
      <c r="J10" s="2">
        <v>43</v>
      </c>
      <c r="K10" s="2" t="s">
        <v>76</v>
      </c>
      <c r="L10" s="223" t="s">
        <v>45</v>
      </c>
      <c r="M10" s="223" t="s">
        <v>18</v>
      </c>
      <c r="N10" s="223" t="s">
        <v>47</v>
      </c>
      <c r="O10" s="224">
        <v>1</v>
      </c>
      <c r="P10" s="2">
        <v>22</v>
      </c>
      <c r="Q10" s="195">
        <v>16</v>
      </c>
      <c r="S10" s="2">
        <v>43</v>
      </c>
      <c r="T10" s="2" t="s">
        <v>171</v>
      </c>
      <c r="U10" s="223" t="s">
        <v>45</v>
      </c>
      <c r="V10" s="223" t="s">
        <v>18</v>
      </c>
      <c r="W10" s="223" t="s">
        <v>47</v>
      </c>
      <c r="X10" s="224">
        <v>1</v>
      </c>
      <c r="Y10" s="2">
        <v>23</v>
      </c>
      <c r="Z10" s="195">
        <v>17</v>
      </c>
      <c r="AB10">
        <f t="shared" si="0"/>
        <v>1</v>
      </c>
      <c r="AD10" s="2">
        <v>43</v>
      </c>
      <c r="AE10" s="2" t="s">
        <v>171</v>
      </c>
      <c r="AF10" s="223" t="s">
        <v>45</v>
      </c>
      <c r="AG10" s="223" t="s">
        <v>18</v>
      </c>
      <c r="AH10" s="223" t="s">
        <v>47</v>
      </c>
      <c r="AI10" s="224">
        <v>1</v>
      </c>
      <c r="AJ10" s="2">
        <v>24</v>
      </c>
      <c r="AK10" s="195">
        <v>18</v>
      </c>
      <c r="AM10">
        <f t="shared" si="1"/>
        <v>1</v>
      </c>
      <c r="AN10">
        <v>1</v>
      </c>
      <c r="AO10" t="b">
        <f t="shared" si="2"/>
        <v>1</v>
      </c>
    </row>
    <row r="11" spans="1:41" x14ac:dyDescent="0.25">
      <c r="A11" s="2">
        <v>43</v>
      </c>
      <c r="B11" s="2" t="s">
        <v>267</v>
      </c>
      <c r="C11" s="223" t="s">
        <v>45</v>
      </c>
      <c r="D11" s="223" t="s">
        <v>18</v>
      </c>
      <c r="E11" s="223" t="s">
        <v>12</v>
      </c>
      <c r="F11" s="224">
        <v>2</v>
      </c>
      <c r="G11" s="2">
        <v>21</v>
      </c>
      <c r="H11" s="195">
        <v>18</v>
      </c>
      <c r="J11" s="2">
        <v>43</v>
      </c>
      <c r="K11" s="2" t="s">
        <v>77</v>
      </c>
      <c r="L11" s="223" t="s">
        <v>45</v>
      </c>
      <c r="M11" s="223" t="s">
        <v>18</v>
      </c>
      <c r="N11" s="223" t="s">
        <v>12</v>
      </c>
      <c r="O11" s="224">
        <v>2</v>
      </c>
      <c r="P11" s="2">
        <v>22</v>
      </c>
      <c r="Q11" s="195">
        <v>19</v>
      </c>
      <c r="S11" s="2">
        <v>43</v>
      </c>
      <c r="T11" s="2" t="s">
        <v>172</v>
      </c>
      <c r="U11" s="223" t="s">
        <v>45</v>
      </c>
      <c r="V11" s="223" t="s">
        <v>18</v>
      </c>
      <c r="W11" s="223" t="s">
        <v>12</v>
      </c>
      <c r="X11" s="224">
        <v>2</v>
      </c>
      <c r="Y11" s="2">
        <v>23</v>
      </c>
      <c r="Z11" s="195">
        <v>20</v>
      </c>
      <c r="AB11">
        <f t="shared" si="0"/>
        <v>1</v>
      </c>
      <c r="AD11" s="2">
        <v>43</v>
      </c>
      <c r="AE11" s="2" t="s">
        <v>172</v>
      </c>
      <c r="AF11" s="223" t="s">
        <v>45</v>
      </c>
      <c r="AG11" s="223" t="s">
        <v>18</v>
      </c>
      <c r="AH11" s="223" t="s">
        <v>12</v>
      </c>
      <c r="AI11" s="224">
        <v>2</v>
      </c>
      <c r="AJ11" s="2">
        <v>24</v>
      </c>
      <c r="AK11" s="195">
        <v>21</v>
      </c>
      <c r="AM11">
        <f t="shared" si="1"/>
        <v>1</v>
      </c>
      <c r="AN11">
        <v>1</v>
      </c>
      <c r="AO11" t="b">
        <f t="shared" si="2"/>
        <v>1</v>
      </c>
    </row>
    <row r="12" spans="1:41" x14ac:dyDescent="0.25">
      <c r="A12" s="2">
        <v>43</v>
      </c>
      <c r="B12" s="2" t="s">
        <v>268</v>
      </c>
      <c r="C12" s="223" t="s">
        <v>45</v>
      </c>
      <c r="D12" s="223" t="s">
        <v>19</v>
      </c>
      <c r="E12" s="223" t="s">
        <v>9</v>
      </c>
      <c r="F12" s="224">
        <v>1</v>
      </c>
      <c r="G12" s="2">
        <v>21</v>
      </c>
      <c r="H12" s="195">
        <v>0</v>
      </c>
      <c r="J12" s="2">
        <v>43</v>
      </c>
      <c r="K12" s="2" t="s">
        <v>78</v>
      </c>
      <c r="L12" s="223" t="s">
        <v>45</v>
      </c>
      <c r="M12" s="223" t="s">
        <v>19</v>
      </c>
      <c r="N12" s="223" t="s">
        <v>9</v>
      </c>
      <c r="O12" s="224">
        <v>1</v>
      </c>
      <c r="P12" s="2">
        <v>22</v>
      </c>
      <c r="Q12" s="195">
        <v>0</v>
      </c>
      <c r="S12" s="2">
        <v>43</v>
      </c>
      <c r="T12" s="2" t="s">
        <v>173</v>
      </c>
      <c r="U12" s="223" t="s">
        <v>45</v>
      </c>
      <c r="V12" s="223" t="s">
        <v>19</v>
      </c>
      <c r="W12" s="223" t="s">
        <v>9</v>
      </c>
      <c r="X12" s="224">
        <v>1</v>
      </c>
      <c r="Y12" s="2">
        <v>23</v>
      </c>
      <c r="Z12" s="195">
        <v>0</v>
      </c>
      <c r="AB12">
        <f t="shared" si="0"/>
        <v>0</v>
      </c>
      <c r="AD12" s="2">
        <v>43</v>
      </c>
      <c r="AE12" s="2" t="s">
        <v>173</v>
      </c>
      <c r="AF12" s="223" t="s">
        <v>45</v>
      </c>
      <c r="AG12" s="223" t="s">
        <v>19</v>
      </c>
      <c r="AH12" s="223" t="s">
        <v>9</v>
      </c>
      <c r="AI12" s="224">
        <v>1</v>
      </c>
      <c r="AJ12" s="2">
        <v>24</v>
      </c>
      <c r="AK12" s="195">
        <v>0</v>
      </c>
      <c r="AM12">
        <f t="shared" si="1"/>
        <v>0</v>
      </c>
      <c r="AN12">
        <v>0</v>
      </c>
      <c r="AO12" t="b">
        <f t="shared" si="2"/>
        <v>1</v>
      </c>
    </row>
    <row r="13" spans="1:41" x14ac:dyDescent="0.25">
      <c r="A13" s="2">
        <v>43</v>
      </c>
      <c r="B13" s="2" t="s">
        <v>269</v>
      </c>
      <c r="C13" s="223" t="s">
        <v>45</v>
      </c>
      <c r="D13" s="223" t="s">
        <v>19</v>
      </c>
      <c r="E13" s="223" t="s">
        <v>41</v>
      </c>
      <c r="F13" s="224">
        <v>2</v>
      </c>
      <c r="G13" s="2">
        <v>21</v>
      </c>
      <c r="H13" s="195">
        <v>2</v>
      </c>
      <c r="J13" s="2">
        <v>43</v>
      </c>
      <c r="K13" s="2" t="s">
        <v>79</v>
      </c>
      <c r="L13" s="223" t="s">
        <v>45</v>
      </c>
      <c r="M13" s="223" t="s">
        <v>19</v>
      </c>
      <c r="N13" s="223" t="s">
        <v>41</v>
      </c>
      <c r="O13" s="224">
        <v>2</v>
      </c>
      <c r="P13" s="2">
        <v>22</v>
      </c>
      <c r="Q13" s="195">
        <v>2</v>
      </c>
      <c r="S13" s="2">
        <v>43</v>
      </c>
      <c r="T13" s="2" t="s">
        <v>174</v>
      </c>
      <c r="U13" s="223" t="s">
        <v>45</v>
      </c>
      <c r="V13" s="223" t="s">
        <v>19</v>
      </c>
      <c r="W13" s="223" t="s">
        <v>41</v>
      </c>
      <c r="X13" s="224">
        <v>2</v>
      </c>
      <c r="Y13" s="2">
        <v>23</v>
      </c>
      <c r="Z13" s="195">
        <v>2</v>
      </c>
      <c r="AB13">
        <f t="shared" si="0"/>
        <v>0</v>
      </c>
      <c r="AD13" s="2">
        <v>43</v>
      </c>
      <c r="AE13" s="2" t="s">
        <v>174</v>
      </c>
      <c r="AF13" s="223" t="s">
        <v>45</v>
      </c>
      <c r="AG13" s="223" t="s">
        <v>19</v>
      </c>
      <c r="AH13" s="223" t="s">
        <v>41</v>
      </c>
      <c r="AI13" s="224">
        <v>2</v>
      </c>
      <c r="AJ13" s="2">
        <v>24</v>
      </c>
      <c r="AK13" s="195">
        <v>2</v>
      </c>
      <c r="AM13">
        <f t="shared" si="1"/>
        <v>0</v>
      </c>
      <c r="AN13">
        <v>0</v>
      </c>
      <c r="AO13" t="b">
        <f t="shared" si="2"/>
        <v>1</v>
      </c>
    </row>
    <row r="14" spans="1:41" x14ac:dyDescent="0.25">
      <c r="A14" s="2">
        <v>43</v>
      </c>
      <c r="B14" s="2" t="s">
        <v>270</v>
      </c>
      <c r="C14" s="223" t="s">
        <v>45</v>
      </c>
      <c r="D14" s="223" t="s">
        <v>19</v>
      </c>
      <c r="E14" s="223" t="s">
        <v>40</v>
      </c>
      <c r="F14" s="224">
        <v>1</v>
      </c>
      <c r="G14" s="2">
        <v>21</v>
      </c>
      <c r="H14" s="195">
        <v>5</v>
      </c>
      <c r="J14" s="2">
        <v>43</v>
      </c>
      <c r="K14" s="2" t="s">
        <v>80</v>
      </c>
      <c r="L14" s="223" t="s">
        <v>45</v>
      </c>
      <c r="M14" s="223" t="s">
        <v>19</v>
      </c>
      <c r="N14" s="223" t="s">
        <v>40</v>
      </c>
      <c r="O14" s="224">
        <v>1</v>
      </c>
      <c r="P14" s="2">
        <v>22</v>
      </c>
      <c r="Q14" s="195">
        <v>5</v>
      </c>
      <c r="S14" s="2">
        <v>43</v>
      </c>
      <c r="T14" s="2" t="s">
        <v>175</v>
      </c>
      <c r="U14" s="223" t="s">
        <v>45</v>
      </c>
      <c r="V14" s="223" t="s">
        <v>19</v>
      </c>
      <c r="W14" s="223" t="s">
        <v>40</v>
      </c>
      <c r="X14" s="224">
        <v>1</v>
      </c>
      <c r="Y14" s="2">
        <v>23</v>
      </c>
      <c r="Z14" s="195">
        <v>5</v>
      </c>
      <c r="AB14">
        <f t="shared" si="0"/>
        <v>0</v>
      </c>
      <c r="AD14" s="2">
        <v>43</v>
      </c>
      <c r="AE14" s="2" t="s">
        <v>175</v>
      </c>
      <c r="AF14" s="223" t="s">
        <v>45</v>
      </c>
      <c r="AG14" s="223" t="s">
        <v>19</v>
      </c>
      <c r="AH14" s="223" t="s">
        <v>40</v>
      </c>
      <c r="AI14" s="224">
        <v>1</v>
      </c>
      <c r="AJ14" s="2">
        <v>24</v>
      </c>
      <c r="AK14" s="195">
        <v>5</v>
      </c>
      <c r="AM14">
        <f t="shared" si="1"/>
        <v>0</v>
      </c>
      <c r="AN14">
        <v>0</v>
      </c>
      <c r="AO14" t="b">
        <f t="shared" si="2"/>
        <v>1</v>
      </c>
    </row>
    <row r="15" spans="1:41" x14ac:dyDescent="0.25">
      <c r="A15" s="2">
        <v>43</v>
      </c>
      <c r="B15" s="2" t="s">
        <v>271</v>
      </c>
      <c r="C15" s="223" t="s">
        <v>45</v>
      </c>
      <c r="D15" s="223" t="s">
        <v>19</v>
      </c>
      <c r="E15" s="223" t="s">
        <v>13</v>
      </c>
      <c r="F15" s="224">
        <v>2</v>
      </c>
      <c r="G15" s="2">
        <v>21</v>
      </c>
      <c r="H15" s="195">
        <v>7</v>
      </c>
      <c r="J15" s="2">
        <v>43</v>
      </c>
      <c r="K15" s="2" t="s">
        <v>81</v>
      </c>
      <c r="L15" s="223" t="s">
        <v>45</v>
      </c>
      <c r="M15" s="223" t="s">
        <v>19</v>
      </c>
      <c r="N15" s="223" t="s">
        <v>13</v>
      </c>
      <c r="O15" s="224">
        <v>2</v>
      </c>
      <c r="P15" s="2">
        <v>22</v>
      </c>
      <c r="Q15" s="195">
        <v>8</v>
      </c>
      <c r="S15" s="2">
        <v>43</v>
      </c>
      <c r="T15" s="2" t="s">
        <v>176</v>
      </c>
      <c r="U15" s="223" t="s">
        <v>45</v>
      </c>
      <c r="V15" s="223" t="s">
        <v>19</v>
      </c>
      <c r="W15" s="223" t="s">
        <v>13</v>
      </c>
      <c r="X15" s="224">
        <v>2</v>
      </c>
      <c r="Y15" s="2">
        <v>23</v>
      </c>
      <c r="Z15" s="195">
        <v>9</v>
      </c>
      <c r="AB15">
        <f t="shared" si="0"/>
        <v>1</v>
      </c>
      <c r="AD15" s="2">
        <v>43</v>
      </c>
      <c r="AE15" s="2" t="s">
        <v>176</v>
      </c>
      <c r="AF15" s="223" t="s">
        <v>45</v>
      </c>
      <c r="AG15" s="223" t="s">
        <v>19</v>
      </c>
      <c r="AH15" s="223" t="s">
        <v>13</v>
      </c>
      <c r="AI15" s="224">
        <v>2</v>
      </c>
      <c r="AJ15" s="2">
        <v>24</v>
      </c>
      <c r="AK15" s="195">
        <v>10</v>
      </c>
      <c r="AM15">
        <f t="shared" si="1"/>
        <v>1</v>
      </c>
      <c r="AN15">
        <v>1</v>
      </c>
      <c r="AO15" t="b">
        <f t="shared" si="2"/>
        <v>1</v>
      </c>
    </row>
    <row r="16" spans="1:41" x14ac:dyDescent="0.25">
      <c r="A16" s="2">
        <v>43</v>
      </c>
      <c r="B16" s="2" t="s">
        <v>272</v>
      </c>
      <c r="C16" s="223" t="s">
        <v>45</v>
      </c>
      <c r="D16" s="223" t="s">
        <v>19</v>
      </c>
      <c r="E16" s="223" t="s">
        <v>15</v>
      </c>
      <c r="F16" s="224">
        <v>1</v>
      </c>
      <c r="G16" s="2">
        <v>21</v>
      </c>
      <c r="H16" s="195">
        <v>9</v>
      </c>
      <c r="J16" s="2">
        <v>43</v>
      </c>
      <c r="K16" s="2" t="s">
        <v>82</v>
      </c>
      <c r="L16" s="223" t="s">
        <v>45</v>
      </c>
      <c r="M16" s="223" t="s">
        <v>19</v>
      </c>
      <c r="N16" s="223" t="s">
        <v>15</v>
      </c>
      <c r="O16" s="224">
        <v>1</v>
      </c>
      <c r="P16" s="2">
        <v>22</v>
      </c>
      <c r="Q16" s="195">
        <v>10</v>
      </c>
      <c r="S16" s="2">
        <v>43</v>
      </c>
      <c r="T16" s="2" t="s">
        <v>177</v>
      </c>
      <c r="U16" s="223" t="s">
        <v>45</v>
      </c>
      <c r="V16" s="223" t="s">
        <v>19</v>
      </c>
      <c r="W16" s="223" t="s">
        <v>15</v>
      </c>
      <c r="X16" s="224">
        <v>1</v>
      </c>
      <c r="Y16" s="2">
        <v>23</v>
      </c>
      <c r="Z16" s="195">
        <v>11</v>
      </c>
      <c r="AB16">
        <f t="shared" si="0"/>
        <v>1</v>
      </c>
      <c r="AD16" s="2">
        <v>43</v>
      </c>
      <c r="AE16" s="2" t="s">
        <v>177</v>
      </c>
      <c r="AF16" s="223" t="s">
        <v>45</v>
      </c>
      <c r="AG16" s="223" t="s">
        <v>19</v>
      </c>
      <c r="AH16" s="223" t="s">
        <v>15</v>
      </c>
      <c r="AI16" s="224">
        <v>1</v>
      </c>
      <c r="AJ16" s="2">
        <v>24</v>
      </c>
      <c r="AK16" s="195">
        <v>12</v>
      </c>
      <c r="AM16">
        <f t="shared" si="1"/>
        <v>1</v>
      </c>
      <c r="AN16">
        <v>1</v>
      </c>
      <c r="AO16" t="b">
        <f t="shared" si="2"/>
        <v>1</v>
      </c>
    </row>
    <row r="17" spans="1:41" x14ac:dyDescent="0.25">
      <c r="A17" s="2">
        <v>43</v>
      </c>
      <c r="B17" s="2" t="s">
        <v>273</v>
      </c>
      <c r="C17" s="223" t="s">
        <v>45</v>
      </c>
      <c r="D17" s="223" t="s">
        <v>19</v>
      </c>
      <c r="E17" s="223" t="s">
        <v>11</v>
      </c>
      <c r="F17" s="224">
        <v>2</v>
      </c>
      <c r="G17" s="2">
        <v>21</v>
      </c>
      <c r="H17" s="195">
        <v>11</v>
      </c>
      <c r="J17" s="2">
        <v>43</v>
      </c>
      <c r="K17" s="2" t="s">
        <v>83</v>
      </c>
      <c r="L17" s="223" t="s">
        <v>45</v>
      </c>
      <c r="M17" s="223" t="s">
        <v>19</v>
      </c>
      <c r="N17" s="223" t="s">
        <v>11</v>
      </c>
      <c r="O17" s="224">
        <v>2</v>
      </c>
      <c r="P17" s="2">
        <v>22</v>
      </c>
      <c r="Q17" s="195">
        <v>12</v>
      </c>
      <c r="S17" s="2">
        <v>43</v>
      </c>
      <c r="T17" s="2" t="s">
        <v>178</v>
      </c>
      <c r="U17" s="223" t="s">
        <v>45</v>
      </c>
      <c r="V17" s="223" t="s">
        <v>19</v>
      </c>
      <c r="W17" s="223" t="s">
        <v>11</v>
      </c>
      <c r="X17" s="224">
        <v>2</v>
      </c>
      <c r="Y17" s="2">
        <v>23</v>
      </c>
      <c r="Z17" s="195">
        <v>13</v>
      </c>
      <c r="AB17">
        <f t="shared" si="0"/>
        <v>1</v>
      </c>
      <c r="AD17" s="2">
        <v>43</v>
      </c>
      <c r="AE17" s="2" t="s">
        <v>178</v>
      </c>
      <c r="AF17" s="223" t="s">
        <v>45</v>
      </c>
      <c r="AG17" s="223" t="s">
        <v>19</v>
      </c>
      <c r="AH17" s="223" t="s">
        <v>11</v>
      </c>
      <c r="AI17" s="224">
        <v>2</v>
      </c>
      <c r="AJ17" s="2">
        <v>24</v>
      </c>
      <c r="AK17" s="195">
        <v>14</v>
      </c>
      <c r="AM17">
        <f t="shared" si="1"/>
        <v>1</v>
      </c>
      <c r="AN17">
        <v>1</v>
      </c>
      <c r="AO17" t="b">
        <f t="shared" si="2"/>
        <v>1</v>
      </c>
    </row>
    <row r="18" spans="1:41" x14ac:dyDescent="0.25">
      <c r="A18" s="2">
        <v>43</v>
      </c>
      <c r="B18" s="2" t="s">
        <v>274</v>
      </c>
      <c r="C18" s="223" t="s">
        <v>45</v>
      </c>
      <c r="D18" s="223" t="s">
        <v>19</v>
      </c>
      <c r="E18" s="223" t="s">
        <v>59</v>
      </c>
      <c r="F18" s="224">
        <v>1</v>
      </c>
      <c r="G18" s="195">
        <v>21</v>
      </c>
      <c r="H18" s="195">
        <v>13</v>
      </c>
      <c r="J18" s="2">
        <v>43</v>
      </c>
      <c r="K18" s="2" t="s">
        <v>84</v>
      </c>
      <c r="L18" s="223" t="s">
        <v>45</v>
      </c>
      <c r="M18" s="223" t="s">
        <v>19</v>
      </c>
      <c r="N18" s="223" t="s">
        <v>59</v>
      </c>
      <c r="O18" s="224">
        <v>1</v>
      </c>
      <c r="P18" s="2">
        <v>22</v>
      </c>
      <c r="Q18" s="195">
        <v>14</v>
      </c>
      <c r="S18" s="2">
        <v>43</v>
      </c>
      <c r="T18" s="2" t="s">
        <v>179</v>
      </c>
      <c r="U18" s="223" t="s">
        <v>45</v>
      </c>
      <c r="V18" s="223" t="s">
        <v>19</v>
      </c>
      <c r="W18" s="223" t="s">
        <v>59</v>
      </c>
      <c r="X18" s="224">
        <v>1</v>
      </c>
      <c r="Y18" s="2">
        <v>23</v>
      </c>
      <c r="Z18" s="195">
        <v>15</v>
      </c>
      <c r="AB18">
        <f t="shared" si="0"/>
        <v>1</v>
      </c>
      <c r="AD18" s="2">
        <v>43</v>
      </c>
      <c r="AE18" s="2" t="s">
        <v>179</v>
      </c>
      <c r="AF18" s="223" t="s">
        <v>45</v>
      </c>
      <c r="AG18" s="223" t="s">
        <v>19</v>
      </c>
      <c r="AH18" s="223" t="s">
        <v>59</v>
      </c>
      <c r="AI18" s="224">
        <v>1</v>
      </c>
      <c r="AJ18" s="2">
        <v>24</v>
      </c>
      <c r="AK18" s="195">
        <v>16</v>
      </c>
      <c r="AM18">
        <f t="shared" si="1"/>
        <v>1</v>
      </c>
      <c r="AN18">
        <v>1</v>
      </c>
      <c r="AO18" t="b">
        <f t="shared" si="2"/>
        <v>1</v>
      </c>
    </row>
    <row r="19" spans="1:41" x14ac:dyDescent="0.25">
      <c r="A19" s="2">
        <v>43</v>
      </c>
      <c r="B19" s="2" t="s">
        <v>275</v>
      </c>
      <c r="C19" s="223" t="s">
        <v>45</v>
      </c>
      <c r="D19" s="223" t="s">
        <v>19</v>
      </c>
      <c r="E19" s="223" t="s">
        <v>7</v>
      </c>
      <c r="F19" s="224">
        <v>2</v>
      </c>
      <c r="G19" s="2">
        <v>21</v>
      </c>
      <c r="H19" s="195">
        <v>16</v>
      </c>
      <c r="J19" s="2">
        <v>43</v>
      </c>
      <c r="K19" s="2" t="s">
        <v>85</v>
      </c>
      <c r="L19" s="223" t="s">
        <v>45</v>
      </c>
      <c r="M19" s="223" t="s">
        <v>19</v>
      </c>
      <c r="N19" s="223" t="s">
        <v>7</v>
      </c>
      <c r="O19" s="224">
        <v>2</v>
      </c>
      <c r="P19" s="2">
        <v>22</v>
      </c>
      <c r="Q19" s="195">
        <v>17</v>
      </c>
      <c r="S19" s="2">
        <v>43</v>
      </c>
      <c r="T19" s="2" t="s">
        <v>180</v>
      </c>
      <c r="U19" s="223" t="s">
        <v>45</v>
      </c>
      <c r="V19" s="223" t="s">
        <v>19</v>
      </c>
      <c r="W19" s="223" t="s">
        <v>7</v>
      </c>
      <c r="X19" s="224">
        <v>2</v>
      </c>
      <c r="Y19" s="2">
        <v>23</v>
      </c>
      <c r="Z19" s="195">
        <v>18</v>
      </c>
      <c r="AB19">
        <f t="shared" si="0"/>
        <v>1</v>
      </c>
      <c r="AD19" s="2">
        <v>43</v>
      </c>
      <c r="AE19" s="2" t="s">
        <v>180</v>
      </c>
      <c r="AF19" s="223" t="s">
        <v>45</v>
      </c>
      <c r="AG19" s="223" t="s">
        <v>19</v>
      </c>
      <c r="AH19" s="223" t="s">
        <v>7</v>
      </c>
      <c r="AI19" s="224">
        <v>2</v>
      </c>
      <c r="AJ19" s="2">
        <v>24</v>
      </c>
      <c r="AK19" s="195">
        <v>19</v>
      </c>
      <c r="AM19">
        <f t="shared" si="1"/>
        <v>1</v>
      </c>
      <c r="AN19">
        <v>1</v>
      </c>
      <c r="AO19" t="b">
        <f t="shared" si="2"/>
        <v>1</v>
      </c>
    </row>
    <row r="20" spans="1:41" x14ac:dyDescent="0.25">
      <c r="A20" s="2">
        <v>43</v>
      </c>
      <c r="B20" s="2" t="s">
        <v>276</v>
      </c>
      <c r="C20" s="223" t="s">
        <v>45</v>
      </c>
      <c r="D20" s="223" t="s">
        <v>19</v>
      </c>
      <c r="E20" s="223" t="s">
        <v>14</v>
      </c>
      <c r="F20" s="224">
        <v>1</v>
      </c>
      <c r="G20" s="2">
        <v>21</v>
      </c>
      <c r="H20" s="195">
        <v>18</v>
      </c>
      <c r="J20" s="2">
        <v>43</v>
      </c>
      <c r="K20" s="2" t="s">
        <v>86</v>
      </c>
      <c r="L20" s="223" t="s">
        <v>45</v>
      </c>
      <c r="M20" s="223" t="s">
        <v>19</v>
      </c>
      <c r="N20" s="223" t="s">
        <v>14</v>
      </c>
      <c r="O20" s="224">
        <v>1</v>
      </c>
      <c r="P20" s="2">
        <v>22</v>
      </c>
      <c r="Q20" s="195">
        <v>19</v>
      </c>
      <c r="S20" s="2">
        <v>43</v>
      </c>
      <c r="T20" s="2" t="s">
        <v>181</v>
      </c>
      <c r="U20" s="223" t="s">
        <v>45</v>
      </c>
      <c r="V20" s="223" t="s">
        <v>19</v>
      </c>
      <c r="W20" s="223" t="s">
        <v>14</v>
      </c>
      <c r="X20" s="224">
        <v>1</v>
      </c>
      <c r="Y20" s="2">
        <v>23</v>
      </c>
      <c r="Z20" s="195">
        <v>20</v>
      </c>
      <c r="AB20">
        <f t="shared" si="0"/>
        <v>1</v>
      </c>
      <c r="AD20" s="2">
        <v>43</v>
      </c>
      <c r="AE20" s="2" t="s">
        <v>181</v>
      </c>
      <c r="AF20" s="223" t="s">
        <v>45</v>
      </c>
      <c r="AG20" s="223" t="s">
        <v>19</v>
      </c>
      <c r="AH20" s="223" t="s">
        <v>14</v>
      </c>
      <c r="AI20" s="224">
        <v>1</v>
      </c>
      <c r="AJ20" s="2">
        <v>24</v>
      </c>
      <c r="AK20" s="195">
        <v>21</v>
      </c>
      <c r="AM20">
        <f t="shared" si="1"/>
        <v>1</v>
      </c>
      <c r="AN20">
        <v>1</v>
      </c>
      <c r="AO20" t="b">
        <f t="shared" si="2"/>
        <v>1</v>
      </c>
    </row>
    <row r="21" spans="1:41" x14ac:dyDescent="0.25">
      <c r="A21" s="2">
        <v>43</v>
      </c>
      <c r="B21" s="2" t="s">
        <v>277</v>
      </c>
      <c r="C21" s="223" t="s">
        <v>21</v>
      </c>
      <c r="D21" s="223" t="s">
        <v>18</v>
      </c>
      <c r="E21" s="223" t="s">
        <v>42</v>
      </c>
      <c r="F21" s="224">
        <v>1</v>
      </c>
      <c r="G21" s="2">
        <v>21</v>
      </c>
      <c r="H21" s="195">
        <v>2</v>
      </c>
      <c r="J21" s="2">
        <v>43</v>
      </c>
      <c r="K21" s="2" t="s">
        <v>87</v>
      </c>
      <c r="L21" s="223" t="s">
        <v>21</v>
      </c>
      <c r="M21" s="223" t="s">
        <v>18</v>
      </c>
      <c r="N21" s="223" t="s">
        <v>42</v>
      </c>
      <c r="O21" s="224">
        <v>1</v>
      </c>
      <c r="P21" s="2">
        <v>22</v>
      </c>
      <c r="Q21" s="195">
        <v>2</v>
      </c>
      <c r="S21" s="2">
        <v>43</v>
      </c>
      <c r="T21" s="2" t="s">
        <v>182</v>
      </c>
      <c r="U21" s="223" t="s">
        <v>21</v>
      </c>
      <c r="V21" s="223" t="s">
        <v>18</v>
      </c>
      <c r="W21" s="223" t="s">
        <v>42</v>
      </c>
      <c r="X21" s="224">
        <v>1</v>
      </c>
      <c r="Y21" s="2">
        <v>23</v>
      </c>
      <c r="Z21" s="195">
        <v>2</v>
      </c>
      <c r="AB21">
        <f t="shared" si="0"/>
        <v>0</v>
      </c>
      <c r="AD21" s="2">
        <v>43</v>
      </c>
      <c r="AE21" s="2" t="s">
        <v>182</v>
      </c>
      <c r="AF21" s="223" t="s">
        <v>21</v>
      </c>
      <c r="AG21" s="223" t="s">
        <v>18</v>
      </c>
      <c r="AH21" s="223" t="s">
        <v>42</v>
      </c>
      <c r="AI21" s="224">
        <v>1</v>
      </c>
      <c r="AJ21" s="2">
        <v>24</v>
      </c>
      <c r="AK21" s="195">
        <v>2</v>
      </c>
      <c r="AM21">
        <f t="shared" si="1"/>
        <v>0</v>
      </c>
      <c r="AN21">
        <v>0</v>
      </c>
      <c r="AO21" t="b">
        <f t="shared" si="2"/>
        <v>1</v>
      </c>
    </row>
    <row r="22" spans="1:41" x14ac:dyDescent="0.25">
      <c r="A22" s="2">
        <v>43</v>
      </c>
      <c r="B22" s="2" t="s">
        <v>278</v>
      </c>
      <c r="C22" s="223" t="s">
        <v>21</v>
      </c>
      <c r="D22" s="223" t="s">
        <v>18</v>
      </c>
      <c r="E22" s="352" t="s">
        <v>2</v>
      </c>
      <c r="F22" s="224">
        <v>2</v>
      </c>
      <c r="G22" s="2">
        <v>21</v>
      </c>
      <c r="H22" s="195">
        <v>4</v>
      </c>
      <c r="J22" s="2">
        <v>43</v>
      </c>
      <c r="K22" s="2" t="s">
        <v>88</v>
      </c>
      <c r="L22" s="223" t="s">
        <v>21</v>
      </c>
      <c r="M22" s="223" t="s">
        <v>18</v>
      </c>
      <c r="N22" s="352" t="s">
        <v>2</v>
      </c>
      <c r="O22" s="224">
        <v>2</v>
      </c>
      <c r="P22" s="2">
        <v>22</v>
      </c>
      <c r="Q22" s="195">
        <v>4</v>
      </c>
      <c r="S22" s="2">
        <v>43</v>
      </c>
      <c r="T22" s="2" t="s">
        <v>183</v>
      </c>
      <c r="U22" s="223" t="s">
        <v>21</v>
      </c>
      <c r="V22" s="223" t="s">
        <v>18</v>
      </c>
      <c r="W22" s="352" t="s">
        <v>2</v>
      </c>
      <c r="X22" s="224">
        <v>2</v>
      </c>
      <c r="Y22" s="2">
        <v>23</v>
      </c>
      <c r="Z22" s="195">
        <v>4</v>
      </c>
      <c r="AB22">
        <f t="shared" si="0"/>
        <v>0</v>
      </c>
      <c r="AD22" s="2">
        <v>43</v>
      </c>
      <c r="AE22" s="2" t="s">
        <v>183</v>
      </c>
      <c r="AF22" s="223" t="s">
        <v>21</v>
      </c>
      <c r="AG22" s="223" t="s">
        <v>18</v>
      </c>
      <c r="AH22" s="352" t="s">
        <v>2</v>
      </c>
      <c r="AI22" s="224">
        <v>2</v>
      </c>
      <c r="AJ22" s="2">
        <v>24</v>
      </c>
      <c r="AK22" s="195">
        <v>4</v>
      </c>
      <c r="AM22">
        <f t="shared" si="1"/>
        <v>0</v>
      </c>
      <c r="AN22">
        <v>0</v>
      </c>
      <c r="AO22" t="b">
        <f t="shared" si="2"/>
        <v>1</v>
      </c>
    </row>
    <row r="23" spans="1:41" x14ac:dyDescent="0.25">
      <c r="A23" s="2">
        <v>43</v>
      </c>
      <c r="B23" s="2" t="s">
        <v>279</v>
      </c>
      <c r="C23" s="223" t="s">
        <v>21</v>
      </c>
      <c r="D23" s="223" t="s">
        <v>18</v>
      </c>
      <c r="E23" s="352" t="s">
        <v>67</v>
      </c>
      <c r="F23" s="224">
        <v>1</v>
      </c>
      <c r="G23" s="2">
        <v>21</v>
      </c>
      <c r="H23" s="195">
        <v>5</v>
      </c>
      <c r="J23" s="2">
        <v>43</v>
      </c>
      <c r="K23" s="2" t="s">
        <v>89</v>
      </c>
      <c r="L23" s="223" t="s">
        <v>21</v>
      </c>
      <c r="M23" s="223" t="s">
        <v>18</v>
      </c>
      <c r="N23" s="352" t="s">
        <v>67</v>
      </c>
      <c r="O23" s="224">
        <v>1</v>
      </c>
      <c r="P23" s="2">
        <v>22</v>
      </c>
      <c r="Q23" s="195">
        <v>5</v>
      </c>
      <c r="S23" s="2">
        <v>43</v>
      </c>
      <c r="T23" s="2" t="s">
        <v>184</v>
      </c>
      <c r="U23" s="223" t="s">
        <v>21</v>
      </c>
      <c r="V23" s="223" t="s">
        <v>18</v>
      </c>
      <c r="W23" s="352" t="s">
        <v>67</v>
      </c>
      <c r="X23" s="224">
        <v>1</v>
      </c>
      <c r="Y23" s="2">
        <v>23</v>
      </c>
      <c r="Z23" s="195">
        <v>5</v>
      </c>
      <c r="AB23">
        <f t="shared" si="0"/>
        <v>0</v>
      </c>
      <c r="AD23" s="2">
        <v>43</v>
      </c>
      <c r="AE23" s="2" t="s">
        <v>184</v>
      </c>
      <c r="AF23" s="223" t="s">
        <v>21</v>
      </c>
      <c r="AG23" s="223" t="s">
        <v>18</v>
      </c>
      <c r="AH23" s="352" t="s">
        <v>67</v>
      </c>
      <c r="AI23" s="224">
        <v>1</v>
      </c>
      <c r="AJ23" s="2">
        <v>24</v>
      </c>
      <c r="AK23" s="195">
        <v>5</v>
      </c>
      <c r="AM23">
        <f t="shared" si="1"/>
        <v>0</v>
      </c>
      <c r="AN23">
        <v>0</v>
      </c>
      <c r="AO23" t="b">
        <f t="shared" si="2"/>
        <v>1</v>
      </c>
    </row>
    <row r="24" spans="1:41" x14ac:dyDescent="0.25">
      <c r="A24" s="2">
        <v>43</v>
      </c>
      <c r="B24" s="2" t="s">
        <v>280</v>
      </c>
      <c r="C24" s="223" t="s">
        <v>21</v>
      </c>
      <c r="D24" s="223" t="s">
        <v>18</v>
      </c>
      <c r="E24" s="223" t="s">
        <v>4</v>
      </c>
      <c r="F24" s="224">
        <v>2</v>
      </c>
      <c r="G24" s="2">
        <v>21</v>
      </c>
      <c r="H24" s="195">
        <v>7</v>
      </c>
      <c r="J24" s="2">
        <v>43</v>
      </c>
      <c r="K24" s="2" t="s">
        <v>90</v>
      </c>
      <c r="L24" s="223" t="s">
        <v>21</v>
      </c>
      <c r="M24" s="223" t="s">
        <v>18</v>
      </c>
      <c r="N24" s="223" t="s">
        <v>4</v>
      </c>
      <c r="O24" s="224">
        <v>2</v>
      </c>
      <c r="P24" s="2">
        <v>22</v>
      </c>
      <c r="Q24" s="195">
        <v>8</v>
      </c>
      <c r="S24" s="2">
        <v>43</v>
      </c>
      <c r="T24" s="2" t="s">
        <v>185</v>
      </c>
      <c r="U24" s="223" t="s">
        <v>21</v>
      </c>
      <c r="V24" s="223" t="s">
        <v>18</v>
      </c>
      <c r="W24" s="223" t="s">
        <v>4</v>
      </c>
      <c r="X24" s="224">
        <v>2</v>
      </c>
      <c r="Y24" s="2">
        <v>23</v>
      </c>
      <c r="Z24" s="195">
        <v>9</v>
      </c>
      <c r="AB24">
        <f t="shared" si="0"/>
        <v>1</v>
      </c>
      <c r="AD24" s="2">
        <v>43</v>
      </c>
      <c r="AE24" s="2" t="s">
        <v>185</v>
      </c>
      <c r="AF24" s="223" t="s">
        <v>21</v>
      </c>
      <c r="AG24" s="223" t="s">
        <v>18</v>
      </c>
      <c r="AH24" s="223" t="s">
        <v>4</v>
      </c>
      <c r="AI24" s="224">
        <v>2</v>
      </c>
      <c r="AJ24" s="2">
        <v>24</v>
      </c>
      <c r="AK24" s="195">
        <v>10</v>
      </c>
      <c r="AM24">
        <f t="shared" si="1"/>
        <v>1</v>
      </c>
      <c r="AN24">
        <v>1</v>
      </c>
      <c r="AO24" t="b">
        <f t="shared" si="2"/>
        <v>1</v>
      </c>
    </row>
    <row r="25" spans="1:41" x14ac:dyDescent="0.25">
      <c r="A25" s="2">
        <v>43</v>
      </c>
      <c r="B25" s="2" t="s">
        <v>281</v>
      </c>
      <c r="C25" s="223" t="s">
        <v>21</v>
      </c>
      <c r="D25" s="223" t="s">
        <v>18</v>
      </c>
      <c r="E25" s="223" t="s">
        <v>10</v>
      </c>
      <c r="F25" s="224">
        <v>1</v>
      </c>
      <c r="G25" s="2">
        <v>21</v>
      </c>
      <c r="H25" s="195">
        <v>9</v>
      </c>
      <c r="J25" s="2">
        <v>43</v>
      </c>
      <c r="K25" s="2" t="s">
        <v>91</v>
      </c>
      <c r="L25" s="223" t="s">
        <v>21</v>
      </c>
      <c r="M25" s="223" t="s">
        <v>18</v>
      </c>
      <c r="N25" s="223" t="s">
        <v>10</v>
      </c>
      <c r="O25" s="224">
        <v>1</v>
      </c>
      <c r="P25" s="2">
        <v>22</v>
      </c>
      <c r="Q25" s="195">
        <v>10</v>
      </c>
      <c r="S25" s="2">
        <v>43</v>
      </c>
      <c r="T25" s="2" t="s">
        <v>186</v>
      </c>
      <c r="U25" s="223" t="s">
        <v>21</v>
      </c>
      <c r="V25" s="223" t="s">
        <v>18</v>
      </c>
      <c r="W25" s="223" t="s">
        <v>10</v>
      </c>
      <c r="X25" s="224">
        <v>1</v>
      </c>
      <c r="Y25" s="2">
        <v>23</v>
      </c>
      <c r="Z25" s="195">
        <v>11</v>
      </c>
      <c r="AB25">
        <f t="shared" si="0"/>
        <v>1</v>
      </c>
      <c r="AD25" s="2">
        <v>43</v>
      </c>
      <c r="AE25" s="2" t="s">
        <v>186</v>
      </c>
      <c r="AF25" s="223" t="s">
        <v>21</v>
      </c>
      <c r="AG25" s="223" t="s">
        <v>18</v>
      </c>
      <c r="AH25" s="223" t="s">
        <v>10</v>
      </c>
      <c r="AI25" s="224">
        <v>1</v>
      </c>
      <c r="AJ25" s="2">
        <v>24</v>
      </c>
      <c r="AK25" s="195">
        <v>12</v>
      </c>
      <c r="AM25">
        <f t="shared" si="1"/>
        <v>1</v>
      </c>
      <c r="AN25">
        <v>1</v>
      </c>
      <c r="AO25" t="b">
        <f t="shared" si="2"/>
        <v>1</v>
      </c>
    </row>
    <row r="26" spans="1:41" x14ac:dyDescent="0.25">
      <c r="A26" s="2">
        <v>43</v>
      </c>
      <c r="B26" s="2" t="s">
        <v>282</v>
      </c>
      <c r="C26" s="223" t="s">
        <v>21</v>
      </c>
      <c r="D26" s="223" t="s">
        <v>18</v>
      </c>
      <c r="E26" s="223" t="s">
        <v>8</v>
      </c>
      <c r="F26" s="224">
        <v>2</v>
      </c>
      <c r="G26" s="2">
        <v>21</v>
      </c>
      <c r="H26" s="195">
        <v>11</v>
      </c>
      <c r="J26" s="2">
        <v>43</v>
      </c>
      <c r="K26" s="2" t="s">
        <v>92</v>
      </c>
      <c r="L26" s="223" t="s">
        <v>21</v>
      </c>
      <c r="M26" s="223" t="s">
        <v>18</v>
      </c>
      <c r="N26" s="223" t="s">
        <v>8</v>
      </c>
      <c r="O26" s="224">
        <v>2</v>
      </c>
      <c r="P26" s="2">
        <v>22</v>
      </c>
      <c r="Q26" s="195">
        <v>12</v>
      </c>
      <c r="S26" s="2">
        <v>43</v>
      </c>
      <c r="T26" s="2" t="s">
        <v>187</v>
      </c>
      <c r="U26" s="223" t="s">
        <v>21</v>
      </c>
      <c r="V26" s="223" t="s">
        <v>18</v>
      </c>
      <c r="W26" s="223" t="s">
        <v>8</v>
      </c>
      <c r="X26" s="224">
        <v>2</v>
      </c>
      <c r="Y26" s="2">
        <v>23</v>
      </c>
      <c r="Z26" s="195">
        <v>13</v>
      </c>
      <c r="AB26">
        <f t="shared" si="0"/>
        <v>1</v>
      </c>
      <c r="AD26" s="2">
        <v>43</v>
      </c>
      <c r="AE26" s="2" t="s">
        <v>187</v>
      </c>
      <c r="AF26" s="223" t="s">
        <v>21</v>
      </c>
      <c r="AG26" s="223" t="s">
        <v>18</v>
      </c>
      <c r="AH26" s="223" t="s">
        <v>8</v>
      </c>
      <c r="AI26" s="224">
        <v>2</v>
      </c>
      <c r="AJ26" s="2">
        <v>24</v>
      </c>
      <c r="AK26" s="195">
        <v>14</v>
      </c>
      <c r="AM26">
        <f t="shared" si="1"/>
        <v>1</v>
      </c>
      <c r="AN26">
        <v>1</v>
      </c>
      <c r="AO26" t="b">
        <f t="shared" si="2"/>
        <v>1</v>
      </c>
    </row>
    <row r="27" spans="1:41" x14ac:dyDescent="0.25">
      <c r="A27" s="2">
        <v>43</v>
      </c>
      <c r="B27" s="2" t="s">
        <v>283</v>
      </c>
      <c r="C27" s="223" t="s">
        <v>21</v>
      </c>
      <c r="D27" s="223" t="s">
        <v>18</v>
      </c>
      <c r="E27" s="223" t="s">
        <v>3</v>
      </c>
      <c r="F27" s="224">
        <v>1</v>
      </c>
      <c r="G27" s="2">
        <v>21</v>
      </c>
      <c r="H27" s="195">
        <v>13</v>
      </c>
      <c r="J27" s="2">
        <v>43</v>
      </c>
      <c r="K27" s="2" t="s">
        <v>93</v>
      </c>
      <c r="L27" s="223" t="s">
        <v>21</v>
      </c>
      <c r="M27" s="223" t="s">
        <v>18</v>
      </c>
      <c r="N27" s="223" t="s">
        <v>3</v>
      </c>
      <c r="O27" s="224">
        <v>1</v>
      </c>
      <c r="P27" s="2">
        <v>22</v>
      </c>
      <c r="Q27" s="195">
        <v>14</v>
      </c>
      <c r="S27" s="2">
        <v>43</v>
      </c>
      <c r="T27" s="2" t="s">
        <v>188</v>
      </c>
      <c r="U27" s="223" t="s">
        <v>21</v>
      </c>
      <c r="V27" s="223" t="s">
        <v>18</v>
      </c>
      <c r="W27" s="223" t="s">
        <v>3</v>
      </c>
      <c r="X27" s="224">
        <v>1</v>
      </c>
      <c r="Y27" s="2">
        <v>23</v>
      </c>
      <c r="Z27" s="195">
        <v>15</v>
      </c>
      <c r="AB27">
        <f t="shared" si="0"/>
        <v>1</v>
      </c>
      <c r="AD27" s="2">
        <v>43</v>
      </c>
      <c r="AE27" s="2" t="s">
        <v>188</v>
      </c>
      <c r="AF27" s="223" t="s">
        <v>21</v>
      </c>
      <c r="AG27" s="223" t="s">
        <v>18</v>
      </c>
      <c r="AH27" s="223" t="s">
        <v>3</v>
      </c>
      <c r="AI27" s="224">
        <v>1</v>
      </c>
      <c r="AJ27" s="2">
        <v>24</v>
      </c>
      <c r="AK27" s="195">
        <v>16</v>
      </c>
      <c r="AM27">
        <f t="shared" si="1"/>
        <v>1</v>
      </c>
      <c r="AN27">
        <v>1</v>
      </c>
      <c r="AO27" t="b">
        <f t="shared" si="2"/>
        <v>1</v>
      </c>
    </row>
    <row r="28" spans="1:41" x14ac:dyDescent="0.25">
      <c r="A28" s="2">
        <v>43</v>
      </c>
      <c r="B28" s="2" t="s">
        <v>284</v>
      </c>
      <c r="C28" s="223" t="s">
        <v>21</v>
      </c>
      <c r="D28" s="223" t="s">
        <v>18</v>
      </c>
      <c r="E28" s="223" t="s">
        <v>6</v>
      </c>
      <c r="F28" s="224">
        <v>2</v>
      </c>
      <c r="G28" s="2">
        <v>21</v>
      </c>
      <c r="H28" s="195">
        <v>15</v>
      </c>
      <c r="J28" s="2">
        <v>43</v>
      </c>
      <c r="K28" s="2" t="s">
        <v>94</v>
      </c>
      <c r="L28" s="223" t="s">
        <v>21</v>
      </c>
      <c r="M28" s="223" t="s">
        <v>18</v>
      </c>
      <c r="N28" s="223" t="s">
        <v>6</v>
      </c>
      <c r="O28" s="224">
        <v>2</v>
      </c>
      <c r="P28" s="2">
        <v>22</v>
      </c>
      <c r="Q28" s="195">
        <v>16</v>
      </c>
      <c r="S28" s="2">
        <v>43</v>
      </c>
      <c r="T28" s="2" t="s">
        <v>189</v>
      </c>
      <c r="U28" s="223" t="s">
        <v>21</v>
      </c>
      <c r="V28" s="223" t="s">
        <v>18</v>
      </c>
      <c r="W28" s="223" t="s">
        <v>6</v>
      </c>
      <c r="X28" s="224">
        <v>2</v>
      </c>
      <c r="Y28" s="2">
        <v>23</v>
      </c>
      <c r="Z28" s="195">
        <v>17</v>
      </c>
      <c r="AB28">
        <f t="shared" si="0"/>
        <v>1</v>
      </c>
      <c r="AD28" s="2">
        <v>43</v>
      </c>
      <c r="AE28" s="2" t="s">
        <v>189</v>
      </c>
      <c r="AF28" s="223" t="s">
        <v>21</v>
      </c>
      <c r="AG28" s="223" t="s">
        <v>18</v>
      </c>
      <c r="AH28" s="223" t="s">
        <v>6</v>
      </c>
      <c r="AI28" s="224">
        <v>2</v>
      </c>
      <c r="AJ28" s="2">
        <v>24</v>
      </c>
      <c r="AK28" s="195">
        <v>18</v>
      </c>
      <c r="AM28">
        <f t="shared" si="1"/>
        <v>1</v>
      </c>
      <c r="AN28">
        <v>1</v>
      </c>
      <c r="AO28" t="b">
        <f t="shared" si="2"/>
        <v>1</v>
      </c>
    </row>
    <row r="29" spans="1:41" x14ac:dyDescent="0.25">
      <c r="A29" s="2">
        <v>43</v>
      </c>
      <c r="B29" s="2" t="s">
        <v>285</v>
      </c>
      <c r="C29" s="223" t="s">
        <v>21</v>
      </c>
      <c r="D29" s="223" t="s">
        <v>18</v>
      </c>
      <c r="E29" s="223" t="s">
        <v>47</v>
      </c>
      <c r="F29" s="224">
        <v>1</v>
      </c>
      <c r="G29" s="2">
        <v>21</v>
      </c>
      <c r="H29" s="195">
        <v>18</v>
      </c>
      <c r="J29" s="2">
        <v>43</v>
      </c>
      <c r="K29" s="2" t="s">
        <v>95</v>
      </c>
      <c r="L29" s="223" t="s">
        <v>21</v>
      </c>
      <c r="M29" s="223" t="s">
        <v>18</v>
      </c>
      <c r="N29" s="223" t="s">
        <v>47</v>
      </c>
      <c r="O29" s="224">
        <v>1</v>
      </c>
      <c r="P29" s="2">
        <v>22</v>
      </c>
      <c r="Q29" s="195">
        <v>19</v>
      </c>
      <c r="S29" s="2">
        <v>43</v>
      </c>
      <c r="T29" s="2" t="s">
        <v>190</v>
      </c>
      <c r="U29" s="223" t="s">
        <v>21</v>
      </c>
      <c r="V29" s="223" t="s">
        <v>18</v>
      </c>
      <c r="W29" s="223" t="s">
        <v>47</v>
      </c>
      <c r="X29" s="224">
        <v>1</v>
      </c>
      <c r="Y29" s="2">
        <v>23</v>
      </c>
      <c r="Z29" s="195">
        <v>20</v>
      </c>
      <c r="AB29">
        <f t="shared" si="0"/>
        <v>1</v>
      </c>
      <c r="AD29" s="2">
        <v>43</v>
      </c>
      <c r="AE29" s="2" t="s">
        <v>190</v>
      </c>
      <c r="AF29" s="223" t="s">
        <v>21</v>
      </c>
      <c r="AG29" s="223" t="s">
        <v>18</v>
      </c>
      <c r="AH29" s="223" t="s">
        <v>47</v>
      </c>
      <c r="AI29" s="224">
        <v>1</v>
      </c>
      <c r="AJ29" s="2">
        <v>24</v>
      </c>
      <c r="AK29" s="195">
        <v>21</v>
      </c>
      <c r="AM29">
        <f t="shared" si="1"/>
        <v>1</v>
      </c>
      <c r="AN29">
        <v>1</v>
      </c>
      <c r="AO29" t="b">
        <f t="shared" si="2"/>
        <v>1</v>
      </c>
    </row>
    <row r="30" spans="1:41" x14ac:dyDescent="0.25">
      <c r="A30" s="2">
        <v>43</v>
      </c>
      <c r="B30" s="2" t="s">
        <v>286</v>
      </c>
      <c r="C30" s="223" t="s">
        <v>21</v>
      </c>
      <c r="D30" s="223" t="s">
        <v>18</v>
      </c>
      <c r="E30" s="223" t="s">
        <v>12</v>
      </c>
      <c r="F30" s="224">
        <v>2</v>
      </c>
      <c r="G30" s="2">
        <v>21</v>
      </c>
      <c r="H30" s="195">
        <v>21</v>
      </c>
      <c r="J30" s="2">
        <v>43</v>
      </c>
      <c r="K30" s="2" t="s">
        <v>96</v>
      </c>
      <c r="L30" s="223" t="s">
        <v>21</v>
      </c>
      <c r="M30" s="223" t="s">
        <v>18</v>
      </c>
      <c r="N30" s="223" t="s">
        <v>12</v>
      </c>
      <c r="O30" s="224">
        <v>2</v>
      </c>
      <c r="P30" s="2">
        <v>22</v>
      </c>
      <c r="Q30" s="195">
        <v>22</v>
      </c>
      <c r="S30" s="2">
        <v>43</v>
      </c>
      <c r="T30" s="2" t="s">
        <v>191</v>
      </c>
      <c r="U30" s="223" t="s">
        <v>21</v>
      </c>
      <c r="V30" s="223" t="s">
        <v>18</v>
      </c>
      <c r="W30" s="223" t="s">
        <v>12</v>
      </c>
      <c r="X30" s="224">
        <v>2</v>
      </c>
      <c r="Y30" s="2">
        <v>23</v>
      </c>
      <c r="Z30" s="195">
        <v>23</v>
      </c>
      <c r="AB30">
        <f t="shared" si="0"/>
        <v>1</v>
      </c>
      <c r="AD30" s="2">
        <v>43</v>
      </c>
      <c r="AE30" s="2" t="s">
        <v>191</v>
      </c>
      <c r="AF30" s="223" t="s">
        <v>21</v>
      </c>
      <c r="AG30" s="223" t="s">
        <v>18</v>
      </c>
      <c r="AH30" s="223" t="s">
        <v>12</v>
      </c>
      <c r="AI30" s="224">
        <v>2</v>
      </c>
      <c r="AJ30" s="2">
        <v>24</v>
      </c>
      <c r="AK30" s="195">
        <v>24</v>
      </c>
      <c r="AM30">
        <f t="shared" si="1"/>
        <v>1</v>
      </c>
      <c r="AN30">
        <v>1</v>
      </c>
      <c r="AO30" t="b">
        <f t="shared" si="2"/>
        <v>1</v>
      </c>
    </row>
    <row r="31" spans="1:41" x14ac:dyDescent="0.25">
      <c r="A31" s="2">
        <v>43</v>
      </c>
      <c r="B31" s="2" t="s">
        <v>287</v>
      </c>
      <c r="C31" s="223" t="s">
        <v>21</v>
      </c>
      <c r="D31" s="223" t="s">
        <v>19</v>
      </c>
      <c r="E31" s="223" t="s">
        <v>9</v>
      </c>
      <c r="F31" s="224">
        <v>1</v>
      </c>
      <c r="G31" s="2">
        <v>21</v>
      </c>
      <c r="H31" s="195">
        <v>2</v>
      </c>
      <c r="J31" s="2">
        <v>43</v>
      </c>
      <c r="K31" s="2" t="s">
        <v>97</v>
      </c>
      <c r="L31" s="223" t="s">
        <v>21</v>
      </c>
      <c r="M31" s="223" t="s">
        <v>19</v>
      </c>
      <c r="N31" s="223" t="s">
        <v>9</v>
      </c>
      <c r="O31" s="224">
        <v>1</v>
      </c>
      <c r="P31" s="2">
        <v>22</v>
      </c>
      <c r="Q31" s="195">
        <v>2</v>
      </c>
      <c r="S31" s="2">
        <v>43</v>
      </c>
      <c r="T31" s="2" t="s">
        <v>192</v>
      </c>
      <c r="U31" s="223" t="s">
        <v>21</v>
      </c>
      <c r="V31" s="223" t="s">
        <v>19</v>
      </c>
      <c r="W31" s="223" t="s">
        <v>9</v>
      </c>
      <c r="X31" s="224">
        <v>1</v>
      </c>
      <c r="Y31" s="2">
        <v>23</v>
      </c>
      <c r="Z31" s="195">
        <v>2</v>
      </c>
      <c r="AB31">
        <f t="shared" si="0"/>
        <v>0</v>
      </c>
      <c r="AD31" s="2">
        <v>43</v>
      </c>
      <c r="AE31" s="2" t="s">
        <v>192</v>
      </c>
      <c r="AF31" s="223" t="s">
        <v>21</v>
      </c>
      <c r="AG31" s="223" t="s">
        <v>19</v>
      </c>
      <c r="AH31" s="223" t="s">
        <v>9</v>
      </c>
      <c r="AI31" s="224">
        <v>1</v>
      </c>
      <c r="AJ31" s="2">
        <v>24</v>
      </c>
      <c r="AK31" s="195">
        <v>2</v>
      </c>
      <c r="AM31">
        <f t="shared" si="1"/>
        <v>0</v>
      </c>
      <c r="AN31">
        <v>0</v>
      </c>
      <c r="AO31" t="b">
        <f t="shared" si="2"/>
        <v>1</v>
      </c>
    </row>
    <row r="32" spans="1:41" x14ac:dyDescent="0.25">
      <c r="A32" s="2">
        <v>43</v>
      </c>
      <c r="B32" s="2" t="s">
        <v>288</v>
      </c>
      <c r="C32" s="223" t="s">
        <v>21</v>
      </c>
      <c r="D32" s="223" t="s">
        <v>19</v>
      </c>
      <c r="E32" s="223" t="s">
        <v>41</v>
      </c>
      <c r="F32" s="224">
        <v>2</v>
      </c>
      <c r="G32" s="2">
        <v>21</v>
      </c>
      <c r="H32" s="195">
        <v>5</v>
      </c>
      <c r="J32" s="2">
        <v>43</v>
      </c>
      <c r="K32" s="2" t="s">
        <v>98</v>
      </c>
      <c r="L32" s="223" t="s">
        <v>21</v>
      </c>
      <c r="M32" s="223" t="s">
        <v>19</v>
      </c>
      <c r="N32" s="223" t="s">
        <v>41</v>
      </c>
      <c r="O32" s="224">
        <v>2</v>
      </c>
      <c r="P32" s="2">
        <v>22</v>
      </c>
      <c r="Q32" s="195">
        <v>5</v>
      </c>
      <c r="S32" s="2">
        <v>43</v>
      </c>
      <c r="T32" s="2" t="s">
        <v>193</v>
      </c>
      <c r="U32" s="223" t="s">
        <v>21</v>
      </c>
      <c r="V32" s="223" t="s">
        <v>19</v>
      </c>
      <c r="W32" s="223" t="s">
        <v>41</v>
      </c>
      <c r="X32" s="224">
        <v>2</v>
      </c>
      <c r="Y32" s="2">
        <v>23</v>
      </c>
      <c r="Z32" s="195">
        <v>5</v>
      </c>
      <c r="AB32">
        <f t="shared" si="0"/>
        <v>0</v>
      </c>
      <c r="AD32" s="2">
        <v>43</v>
      </c>
      <c r="AE32" s="2" t="s">
        <v>193</v>
      </c>
      <c r="AF32" s="223" t="s">
        <v>21</v>
      </c>
      <c r="AG32" s="223" t="s">
        <v>19</v>
      </c>
      <c r="AH32" s="223" t="s">
        <v>41</v>
      </c>
      <c r="AI32" s="224">
        <v>2</v>
      </c>
      <c r="AJ32" s="2">
        <v>24</v>
      </c>
      <c r="AK32" s="195">
        <v>5</v>
      </c>
      <c r="AM32">
        <f t="shared" si="1"/>
        <v>0</v>
      </c>
      <c r="AN32">
        <v>0</v>
      </c>
      <c r="AO32" t="b">
        <f t="shared" si="2"/>
        <v>1</v>
      </c>
    </row>
    <row r="33" spans="1:41" x14ac:dyDescent="0.25">
      <c r="A33" s="2">
        <v>43</v>
      </c>
      <c r="B33" s="2" t="s">
        <v>289</v>
      </c>
      <c r="C33" s="223" t="s">
        <v>21</v>
      </c>
      <c r="D33" s="223" t="s">
        <v>19</v>
      </c>
      <c r="E33" s="223" t="s">
        <v>40</v>
      </c>
      <c r="F33" s="224">
        <v>1</v>
      </c>
      <c r="G33" s="2">
        <v>21</v>
      </c>
      <c r="H33" s="195">
        <v>7</v>
      </c>
      <c r="J33" s="2">
        <v>43</v>
      </c>
      <c r="K33" s="2" t="s">
        <v>99</v>
      </c>
      <c r="L33" s="223" t="s">
        <v>21</v>
      </c>
      <c r="M33" s="223" t="s">
        <v>19</v>
      </c>
      <c r="N33" s="223" t="s">
        <v>40</v>
      </c>
      <c r="O33" s="224">
        <v>1</v>
      </c>
      <c r="P33" s="2">
        <v>22</v>
      </c>
      <c r="Q33" s="195">
        <v>8</v>
      </c>
      <c r="S33" s="2">
        <v>43</v>
      </c>
      <c r="T33" s="2" t="s">
        <v>194</v>
      </c>
      <c r="U33" s="223" t="s">
        <v>21</v>
      </c>
      <c r="V33" s="223" t="s">
        <v>19</v>
      </c>
      <c r="W33" s="223" t="s">
        <v>40</v>
      </c>
      <c r="X33" s="224">
        <v>1</v>
      </c>
      <c r="Y33" s="2">
        <v>23</v>
      </c>
      <c r="Z33" s="195">
        <v>9</v>
      </c>
      <c r="AB33">
        <f t="shared" si="0"/>
        <v>1</v>
      </c>
      <c r="AD33" s="2">
        <v>43</v>
      </c>
      <c r="AE33" s="2" t="s">
        <v>194</v>
      </c>
      <c r="AF33" s="223" t="s">
        <v>21</v>
      </c>
      <c r="AG33" s="223" t="s">
        <v>19</v>
      </c>
      <c r="AH33" s="223" t="s">
        <v>40</v>
      </c>
      <c r="AI33" s="224">
        <v>1</v>
      </c>
      <c r="AJ33" s="2">
        <v>24</v>
      </c>
      <c r="AK33" s="195">
        <v>10</v>
      </c>
      <c r="AM33">
        <f t="shared" si="1"/>
        <v>1</v>
      </c>
      <c r="AN33">
        <v>1</v>
      </c>
      <c r="AO33" t="b">
        <f t="shared" si="2"/>
        <v>1</v>
      </c>
    </row>
    <row r="34" spans="1:41" x14ac:dyDescent="0.25">
      <c r="A34" s="2">
        <v>43</v>
      </c>
      <c r="B34" s="2" t="s">
        <v>290</v>
      </c>
      <c r="C34" s="223" t="s">
        <v>21</v>
      </c>
      <c r="D34" s="223" t="s">
        <v>19</v>
      </c>
      <c r="E34" s="223" t="s">
        <v>13</v>
      </c>
      <c r="F34" s="224">
        <v>2</v>
      </c>
      <c r="G34" s="2">
        <v>21</v>
      </c>
      <c r="H34" s="195">
        <v>9</v>
      </c>
      <c r="J34" s="2">
        <v>43</v>
      </c>
      <c r="K34" s="2" t="s">
        <v>100</v>
      </c>
      <c r="L34" s="223" t="s">
        <v>21</v>
      </c>
      <c r="M34" s="223" t="s">
        <v>19</v>
      </c>
      <c r="N34" s="223" t="s">
        <v>13</v>
      </c>
      <c r="O34" s="224">
        <v>2</v>
      </c>
      <c r="P34" s="2">
        <v>22</v>
      </c>
      <c r="Q34" s="195">
        <v>10</v>
      </c>
      <c r="S34" s="2">
        <v>43</v>
      </c>
      <c r="T34" s="2" t="s">
        <v>195</v>
      </c>
      <c r="U34" s="223" t="s">
        <v>21</v>
      </c>
      <c r="V34" s="223" t="s">
        <v>19</v>
      </c>
      <c r="W34" s="223" t="s">
        <v>13</v>
      </c>
      <c r="X34" s="224">
        <v>2</v>
      </c>
      <c r="Y34" s="2">
        <v>23</v>
      </c>
      <c r="Z34" s="195">
        <v>11</v>
      </c>
      <c r="AB34">
        <f t="shared" si="0"/>
        <v>1</v>
      </c>
      <c r="AD34" s="2">
        <v>43</v>
      </c>
      <c r="AE34" s="2" t="s">
        <v>195</v>
      </c>
      <c r="AF34" s="223" t="s">
        <v>21</v>
      </c>
      <c r="AG34" s="223" t="s">
        <v>19</v>
      </c>
      <c r="AH34" s="223" t="s">
        <v>13</v>
      </c>
      <c r="AI34" s="224">
        <v>2</v>
      </c>
      <c r="AJ34" s="2">
        <v>24</v>
      </c>
      <c r="AK34" s="195">
        <v>12</v>
      </c>
      <c r="AM34">
        <f t="shared" si="1"/>
        <v>1</v>
      </c>
      <c r="AN34">
        <v>1</v>
      </c>
      <c r="AO34" t="b">
        <f t="shared" si="2"/>
        <v>1</v>
      </c>
    </row>
    <row r="35" spans="1:41" x14ac:dyDescent="0.25">
      <c r="A35" s="2">
        <v>43</v>
      </c>
      <c r="B35" s="2" t="s">
        <v>291</v>
      </c>
      <c r="C35" s="223" t="s">
        <v>21</v>
      </c>
      <c r="D35" s="223" t="s">
        <v>19</v>
      </c>
      <c r="E35" s="223" t="s">
        <v>15</v>
      </c>
      <c r="F35" s="224">
        <v>1</v>
      </c>
      <c r="G35" s="2">
        <v>21</v>
      </c>
      <c r="H35" s="195">
        <v>11</v>
      </c>
      <c r="J35" s="2">
        <v>43</v>
      </c>
      <c r="K35" s="2" t="s">
        <v>101</v>
      </c>
      <c r="L35" s="223" t="s">
        <v>21</v>
      </c>
      <c r="M35" s="223" t="s">
        <v>19</v>
      </c>
      <c r="N35" s="223" t="s">
        <v>15</v>
      </c>
      <c r="O35" s="224">
        <v>1</v>
      </c>
      <c r="P35" s="2">
        <v>22</v>
      </c>
      <c r="Q35" s="195">
        <v>12</v>
      </c>
      <c r="S35" s="2">
        <v>43</v>
      </c>
      <c r="T35" s="2" t="s">
        <v>196</v>
      </c>
      <c r="U35" s="223" t="s">
        <v>21</v>
      </c>
      <c r="V35" s="223" t="s">
        <v>19</v>
      </c>
      <c r="W35" s="223" t="s">
        <v>15</v>
      </c>
      <c r="X35" s="224">
        <v>1</v>
      </c>
      <c r="Y35" s="2">
        <v>23</v>
      </c>
      <c r="Z35" s="195">
        <v>13</v>
      </c>
      <c r="AB35">
        <f t="shared" si="0"/>
        <v>1</v>
      </c>
      <c r="AD35" s="2">
        <v>43</v>
      </c>
      <c r="AE35" s="2" t="s">
        <v>196</v>
      </c>
      <c r="AF35" s="223" t="s">
        <v>21</v>
      </c>
      <c r="AG35" s="223" t="s">
        <v>19</v>
      </c>
      <c r="AH35" s="223" t="s">
        <v>15</v>
      </c>
      <c r="AI35" s="224">
        <v>1</v>
      </c>
      <c r="AJ35" s="2">
        <v>24</v>
      </c>
      <c r="AK35" s="195">
        <v>14</v>
      </c>
      <c r="AM35">
        <f t="shared" si="1"/>
        <v>1</v>
      </c>
      <c r="AN35">
        <v>1</v>
      </c>
      <c r="AO35" t="b">
        <f t="shared" si="2"/>
        <v>1</v>
      </c>
    </row>
    <row r="36" spans="1:41" x14ac:dyDescent="0.25">
      <c r="A36" s="2">
        <v>43</v>
      </c>
      <c r="B36" s="2" t="s">
        <v>292</v>
      </c>
      <c r="C36" s="223" t="s">
        <v>21</v>
      </c>
      <c r="D36" s="223" t="s">
        <v>19</v>
      </c>
      <c r="E36" s="223" t="s">
        <v>11</v>
      </c>
      <c r="F36" s="224">
        <v>2</v>
      </c>
      <c r="G36" s="2">
        <v>21</v>
      </c>
      <c r="H36" s="195">
        <v>13</v>
      </c>
      <c r="J36" s="2">
        <v>43</v>
      </c>
      <c r="K36" s="2" t="s">
        <v>102</v>
      </c>
      <c r="L36" s="223" t="s">
        <v>21</v>
      </c>
      <c r="M36" s="223" t="s">
        <v>19</v>
      </c>
      <c r="N36" s="223" t="s">
        <v>11</v>
      </c>
      <c r="O36" s="224">
        <v>2</v>
      </c>
      <c r="P36" s="2">
        <v>22</v>
      </c>
      <c r="Q36" s="195">
        <v>14</v>
      </c>
      <c r="S36" s="2">
        <v>43</v>
      </c>
      <c r="T36" s="2" t="s">
        <v>197</v>
      </c>
      <c r="U36" s="223" t="s">
        <v>21</v>
      </c>
      <c r="V36" s="223" t="s">
        <v>19</v>
      </c>
      <c r="W36" s="223" t="s">
        <v>11</v>
      </c>
      <c r="X36" s="224">
        <v>2</v>
      </c>
      <c r="Y36" s="2">
        <v>23</v>
      </c>
      <c r="Z36" s="195">
        <v>15</v>
      </c>
      <c r="AB36">
        <f t="shared" si="0"/>
        <v>1</v>
      </c>
      <c r="AD36" s="2">
        <v>43</v>
      </c>
      <c r="AE36" s="2" t="s">
        <v>197</v>
      </c>
      <c r="AF36" s="223" t="s">
        <v>21</v>
      </c>
      <c r="AG36" s="223" t="s">
        <v>19</v>
      </c>
      <c r="AH36" s="223" t="s">
        <v>11</v>
      </c>
      <c r="AI36" s="224">
        <v>2</v>
      </c>
      <c r="AJ36" s="2">
        <v>24</v>
      </c>
      <c r="AK36" s="195">
        <v>16</v>
      </c>
      <c r="AM36">
        <f t="shared" si="1"/>
        <v>1</v>
      </c>
      <c r="AN36">
        <v>1</v>
      </c>
      <c r="AO36" t="b">
        <f t="shared" si="2"/>
        <v>1</v>
      </c>
    </row>
    <row r="37" spans="1:41" x14ac:dyDescent="0.25">
      <c r="A37" s="2">
        <v>43</v>
      </c>
      <c r="B37" s="2" t="s">
        <v>293</v>
      </c>
      <c r="C37" s="223" t="s">
        <v>21</v>
      </c>
      <c r="D37" s="223" t="s">
        <v>19</v>
      </c>
      <c r="E37" s="223" t="s">
        <v>59</v>
      </c>
      <c r="F37" s="224">
        <v>1</v>
      </c>
      <c r="G37" s="195">
        <v>21</v>
      </c>
      <c r="H37" s="195">
        <v>16</v>
      </c>
      <c r="J37" s="2">
        <v>43</v>
      </c>
      <c r="K37" s="2" t="s">
        <v>103</v>
      </c>
      <c r="L37" s="223" t="s">
        <v>21</v>
      </c>
      <c r="M37" s="223" t="s">
        <v>19</v>
      </c>
      <c r="N37" s="223" t="s">
        <v>59</v>
      </c>
      <c r="O37" s="224">
        <v>1</v>
      </c>
      <c r="P37" s="2">
        <v>22</v>
      </c>
      <c r="Q37" s="195">
        <v>17</v>
      </c>
      <c r="S37" s="2">
        <v>43</v>
      </c>
      <c r="T37" s="2" t="s">
        <v>198</v>
      </c>
      <c r="U37" s="223" t="s">
        <v>21</v>
      </c>
      <c r="V37" s="223" t="s">
        <v>19</v>
      </c>
      <c r="W37" s="223" t="s">
        <v>59</v>
      </c>
      <c r="X37" s="224">
        <v>1</v>
      </c>
      <c r="Y37" s="2">
        <v>23</v>
      </c>
      <c r="Z37" s="195">
        <v>18</v>
      </c>
      <c r="AB37">
        <f t="shared" si="0"/>
        <v>1</v>
      </c>
      <c r="AD37" s="2">
        <v>43</v>
      </c>
      <c r="AE37" s="2" t="s">
        <v>198</v>
      </c>
      <c r="AF37" s="223" t="s">
        <v>21</v>
      </c>
      <c r="AG37" s="223" t="s">
        <v>19</v>
      </c>
      <c r="AH37" s="223" t="s">
        <v>59</v>
      </c>
      <c r="AI37" s="224">
        <v>1</v>
      </c>
      <c r="AJ37" s="2">
        <v>24</v>
      </c>
      <c r="AK37" s="195">
        <v>19</v>
      </c>
      <c r="AM37">
        <f t="shared" si="1"/>
        <v>1</v>
      </c>
      <c r="AN37">
        <v>1</v>
      </c>
      <c r="AO37" t="b">
        <f t="shared" si="2"/>
        <v>1</v>
      </c>
    </row>
    <row r="38" spans="1:41" x14ac:dyDescent="0.25">
      <c r="A38" s="2">
        <v>43</v>
      </c>
      <c r="B38" s="2" t="s">
        <v>294</v>
      </c>
      <c r="C38" s="223" t="s">
        <v>21</v>
      </c>
      <c r="D38" s="223" t="s">
        <v>19</v>
      </c>
      <c r="E38" s="223" t="s">
        <v>7</v>
      </c>
      <c r="F38" s="224">
        <v>2</v>
      </c>
      <c r="G38" s="2">
        <v>21</v>
      </c>
      <c r="H38" s="195">
        <v>18</v>
      </c>
      <c r="J38" s="2">
        <v>43</v>
      </c>
      <c r="K38" s="2" t="s">
        <v>104</v>
      </c>
      <c r="L38" s="223" t="s">
        <v>21</v>
      </c>
      <c r="M38" s="223" t="s">
        <v>19</v>
      </c>
      <c r="N38" s="223" t="s">
        <v>7</v>
      </c>
      <c r="O38" s="224">
        <v>2</v>
      </c>
      <c r="P38" s="2">
        <v>22</v>
      </c>
      <c r="Q38" s="195">
        <v>19</v>
      </c>
      <c r="S38" s="2">
        <v>43</v>
      </c>
      <c r="T38" s="2" t="s">
        <v>199</v>
      </c>
      <c r="U38" s="223" t="s">
        <v>21</v>
      </c>
      <c r="V38" s="223" t="s">
        <v>19</v>
      </c>
      <c r="W38" s="223" t="s">
        <v>7</v>
      </c>
      <c r="X38" s="224">
        <v>2</v>
      </c>
      <c r="Y38" s="2">
        <v>23</v>
      </c>
      <c r="Z38" s="195">
        <v>20</v>
      </c>
      <c r="AB38">
        <f t="shared" si="0"/>
        <v>1</v>
      </c>
      <c r="AD38" s="2">
        <v>43</v>
      </c>
      <c r="AE38" s="2" t="s">
        <v>199</v>
      </c>
      <c r="AF38" s="223" t="s">
        <v>21</v>
      </c>
      <c r="AG38" s="223" t="s">
        <v>19</v>
      </c>
      <c r="AH38" s="223" t="s">
        <v>7</v>
      </c>
      <c r="AI38" s="224">
        <v>2</v>
      </c>
      <c r="AJ38" s="2">
        <v>24</v>
      </c>
      <c r="AK38" s="195">
        <v>21</v>
      </c>
      <c r="AM38">
        <f t="shared" si="1"/>
        <v>1</v>
      </c>
      <c r="AN38">
        <v>1</v>
      </c>
      <c r="AO38" t="b">
        <f t="shared" si="2"/>
        <v>1</v>
      </c>
    </row>
    <row r="39" spans="1:41" x14ac:dyDescent="0.25">
      <c r="A39" s="2">
        <v>43</v>
      </c>
      <c r="B39" s="2" t="s">
        <v>295</v>
      </c>
      <c r="C39" s="223" t="s">
        <v>21</v>
      </c>
      <c r="D39" s="223" t="s">
        <v>19</v>
      </c>
      <c r="E39" s="223" t="s">
        <v>14</v>
      </c>
      <c r="F39" s="224">
        <v>1</v>
      </c>
      <c r="G39" s="2">
        <v>21</v>
      </c>
      <c r="H39" s="195">
        <v>21</v>
      </c>
      <c r="J39" s="2">
        <v>43</v>
      </c>
      <c r="K39" s="2" t="s">
        <v>105</v>
      </c>
      <c r="L39" s="223" t="s">
        <v>21</v>
      </c>
      <c r="M39" s="223" t="s">
        <v>19</v>
      </c>
      <c r="N39" s="223" t="s">
        <v>14</v>
      </c>
      <c r="O39" s="224">
        <v>1</v>
      </c>
      <c r="P39" s="2">
        <v>22</v>
      </c>
      <c r="Q39" s="195">
        <v>22</v>
      </c>
      <c r="S39" s="2">
        <v>43</v>
      </c>
      <c r="T39" s="2" t="s">
        <v>200</v>
      </c>
      <c r="U39" s="223" t="s">
        <v>21</v>
      </c>
      <c r="V39" s="223" t="s">
        <v>19</v>
      </c>
      <c r="W39" s="223" t="s">
        <v>14</v>
      </c>
      <c r="X39" s="224">
        <v>1</v>
      </c>
      <c r="Y39" s="2">
        <v>23</v>
      </c>
      <c r="Z39" s="195">
        <v>23</v>
      </c>
      <c r="AB39">
        <f t="shared" si="0"/>
        <v>1</v>
      </c>
      <c r="AD39" s="2">
        <v>43</v>
      </c>
      <c r="AE39" s="2" t="s">
        <v>200</v>
      </c>
      <c r="AF39" s="223" t="s">
        <v>21</v>
      </c>
      <c r="AG39" s="223" t="s">
        <v>19</v>
      </c>
      <c r="AH39" s="223" t="s">
        <v>14</v>
      </c>
      <c r="AI39" s="224">
        <v>1</v>
      </c>
      <c r="AJ39" s="2">
        <v>24</v>
      </c>
      <c r="AK39" s="195">
        <v>24</v>
      </c>
      <c r="AM39">
        <f t="shared" si="1"/>
        <v>1</v>
      </c>
      <c r="AN39">
        <v>1</v>
      </c>
      <c r="AO39" t="b">
        <f t="shared" si="2"/>
        <v>1</v>
      </c>
    </row>
    <row r="40" spans="1:41" x14ac:dyDescent="0.25">
      <c r="A40" s="2">
        <v>43</v>
      </c>
      <c r="B40" s="2" t="s">
        <v>296</v>
      </c>
      <c r="C40" s="223" t="s">
        <v>46</v>
      </c>
      <c r="D40" s="223" t="s">
        <v>18</v>
      </c>
      <c r="E40" s="223" t="s">
        <v>42</v>
      </c>
      <c r="F40" s="224">
        <v>1</v>
      </c>
      <c r="G40" s="2">
        <v>21</v>
      </c>
      <c r="H40" s="195">
        <v>19</v>
      </c>
      <c r="J40" s="2">
        <v>43</v>
      </c>
      <c r="K40" s="2" t="s">
        <v>106</v>
      </c>
      <c r="L40" s="223" t="s">
        <v>46</v>
      </c>
      <c r="M40" s="223" t="s">
        <v>18</v>
      </c>
      <c r="N40" s="223" t="s">
        <v>42</v>
      </c>
      <c r="O40" s="224">
        <v>1</v>
      </c>
      <c r="P40" s="2">
        <v>22</v>
      </c>
      <c r="Q40" s="195">
        <v>20</v>
      </c>
      <c r="S40" s="2">
        <v>43</v>
      </c>
      <c r="T40" s="2" t="s">
        <v>201</v>
      </c>
      <c r="U40" s="223" t="s">
        <v>46</v>
      </c>
      <c r="V40" s="223" t="s">
        <v>18</v>
      </c>
      <c r="W40" s="223" t="s">
        <v>42</v>
      </c>
      <c r="X40" s="224">
        <v>1</v>
      </c>
      <c r="Y40" s="2">
        <v>23</v>
      </c>
      <c r="Z40" s="195">
        <v>21</v>
      </c>
      <c r="AB40">
        <f t="shared" si="0"/>
        <v>1</v>
      </c>
      <c r="AD40" s="2">
        <v>43</v>
      </c>
      <c r="AE40" s="2" t="s">
        <v>201</v>
      </c>
      <c r="AF40" s="223" t="s">
        <v>46</v>
      </c>
      <c r="AG40" s="223" t="s">
        <v>18</v>
      </c>
      <c r="AH40" s="223" t="s">
        <v>42</v>
      </c>
      <c r="AI40" s="224">
        <v>1</v>
      </c>
      <c r="AJ40" s="2">
        <v>24</v>
      </c>
      <c r="AK40" s="195">
        <v>22</v>
      </c>
      <c r="AM40">
        <f t="shared" si="1"/>
        <v>1</v>
      </c>
      <c r="AN40">
        <v>1</v>
      </c>
      <c r="AO40" t="b">
        <f t="shared" si="2"/>
        <v>1</v>
      </c>
    </row>
    <row r="41" spans="1:41" x14ac:dyDescent="0.25">
      <c r="A41" s="2">
        <v>43</v>
      </c>
      <c r="B41" s="2" t="s">
        <v>297</v>
      </c>
      <c r="C41" s="223" t="s">
        <v>46</v>
      </c>
      <c r="D41" s="223" t="s">
        <v>18</v>
      </c>
      <c r="E41" s="352" t="s">
        <v>2</v>
      </c>
      <c r="F41" s="224">
        <v>2</v>
      </c>
      <c r="G41" s="2">
        <v>21</v>
      </c>
      <c r="H41" s="195">
        <v>21</v>
      </c>
      <c r="J41" s="2">
        <v>43</v>
      </c>
      <c r="K41" s="2" t="s">
        <v>107</v>
      </c>
      <c r="L41" s="223" t="s">
        <v>46</v>
      </c>
      <c r="M41" s="223" t="s">
        <v>18</v>
      </c>
      <c r="N41" s="352" t="s">
        <v>2</v>
      </c>
      <c r="O41" s="224">
        <v>2</v>
      </c>
      <c r="P41" s="2">
        <v>22</v>
      </c>
      <c r="Q41" s="195">
        <v>22</v>
      </c>
      <c r="S41" s="2">
        <v>43</v>
      </c>
      <c r="T41" s="2" t="s">
        <v>202</v>
      </c>
      <c r="U41" s="223" t="s">
        <v>46</v>
      </c>
      <c r="V41" s="223" t="s">
        <v>18</v>
      </c>
      <c r="W41" s="352" t="s">
        <v>2</v>
      </c>
      <c r="X41" s="224">
        <v>2</v>
      </c>
      <c r="Y41" s="2">
        <v>23</v>
      </c>
      <c r="Z41" s="195">
        <v>24</v>
      </c>
      <c r="AB41">
        <f t="shared" si="0"/>
        <v>2</v>
      </c>
      <c r="AD41" s="2">
        <v>43</v>
      </c>
      <c r="AE41" s="2" t="s">
        <v>202</v>
      </c>
      <c r="AF41" s="223" t="s">
        <v>46</v>
      </c>
      <c r="AG41" s="223" t="s">
        <v>18</v>
      </c>
      <c r="AH41" s="352" t="s">
        <v>2</v>
      </c>
      <c r="AI41" s="224">
        <v>2</v>
      </c>
      <c r="AJ41" s="2">
        <v>24</v>
      </c>
      <c r="AK41" s="195">
        <v>26</v>
      </c>
      <c r="AM41">
        <f t="shared" si="1"/>
        <v>2</v>
      </c>
      <c r="AN41">
        <v>2</v>
      </c>
      <c r="AO41" t="b">
        <f t="shared" si="2"/>
        <v>1</v>
      </c>
    </row>
    <row r="42" spans="1:41" x14ac:dyDescent="0.25">
      <c r="A42" s="2">
        <v>43</v>
      </c>
      <c r="B42" s="2" t="s">
        <v>298</v>
      </c>
      <c r="C42" s="223" t="s">
        <v>46</v>
      </c>
      <c r="D42" s="223" t="s">
        <v>18</v>
      </c>
      <c r="E42" s="352" t="s">
        <v>67</v>
      </c>
      <c r="F42" s="224">
        <v>1</v>
      </c>
      <c r="G42" s="2">
        <v>21</v>
      </c>
      <c r="H42" s="195">
        <v>21</v>
      </c>
      <c r="J42" s="2">
        <v>43</v>
      </c>
      <c r="K42" s="2" t="s">
        <v>108</v>
      </c>
      <c r="L42" s="223" t="s">
        <v>46</v>
      </c>
      <c r="M42" s="223" t="s">
        <v>18</v>
      </c>
      <c r="N42" s="352" t="s">
        <v>67</v>
      </c>
      <c r="O42" s="224">
        <v>1</v>
      </c>
      <c r="P42" s="2">
        <v>22</v>
      </c>
      <c r="Q42" s="195">
        <v>22</v>
      </c>
      <c r="S42" s="2">
        <v>43</v>
      </c>
      <c r="T42" s="2" t="s">
        <v>203</v>
      </c>
      <c r="U42" s="223" t="s">
        <v>46</v>
      </c>
      <c r="V42" s="223" t="s">
        <v>18</v>
      </c>
      <c r="W42" s="352" t="s">
        <v>67</v>
      </c>
      <c r="X42" s="224">
        <v>1</v>
      </c>
      <c r="Y42" s="2">
        <v>23</v>
      </c>
      <c r="Z42" s="195">
        <v>24</v>
      </c>
      <c r="AB42">
        <f t="shared" si="0"/>
        <v>2</v>
      </c>
      <c r="AD42" s="2">
        <v>43</v>
      </c>
      <c r="AE42" s="2" t="s">
        <v>203</v>
      </c>
      <c r="AF42" s="223" t="s">
        <v>46</v>
      </c>
      <c r="AG42" s="223" t="s">
        <v>18</v>
      </c>
      <c r="AH42" s="352" t="s">
        <v>67</v>
      </c>
      <c r="AI42" s="224">
        <v>1</v>
      </c>
      <c r="AJ42" s="2">
        <v>24</v>
      </c>
      <c r="AK42" s="195">
        <v>26</v>
      </c>
      <c r="AM42">
        <f t="shared" si="1"/>
        <v>2</v>
      </c>
      <c r="AN42">
        <v>2</v>
      </c>
      <c r="AO42" t="b">
        <f t="shared" si="2"/>
        <v>1</v>
      </c>
    </row>
    <row r="43" spans="1:41" x14ac:dyDescent="0.25">
      <c r="A43" s="2">
        <v>43</v>
      </c>
      <c r="B43" s="2" t="s">
        <v>299</v>
      </c>
      <c r="C43" s="223" t="s">
        <v>46</v>
      </c>
      <c r="D43" s="223" t="s">
        <v>18</v>
      </c>
      <c r="E43" s="223" t="s">
        <v>4</v>
      </c>
      <c r="F43" s="224">
        <v>2</v>
      </c>
      <c r="G43" s="2">
        <v>21</v>
      </c>
      <c r="H43" s="195">
        <v>23</v>
      </c>
      <c r="J43" s="2">
        <v>43</v>
      </c>
      <c r="K43" s="2" t="s">
        <v>109</v>
      </c>
      <c r="L43" s="223" t="s">
        <v>46</v>
      </c>
      <c r="M43" s="223" t="s">
        <v>18</v>
      </c>
      <c r="N43" s="223" t="s">
        <v>4</v>
      </c>
      <c r="O43" s="224">
        <v>2</v>
      </c>
      <c r="P43" s="2">
        <v>22</v>
      </c>
      <c r="Q43" s="195">
        <v>25</v>
      </c>
      <c r="S43" s="2">
        <v>43</v>
      </c>
      <c r="T43" s="2" t="s">
        <v>204</v>
      </c>
      <c r="U43" s="223" t="s">
        <v>46</v>
      </c>
      <c r="V43" s="223" t="s">
        <v>18</v>
      </c>
      <c r="W43" s="223" t="s">
        <v>4</v>
      </c>
      <c r="X43" s="224">
        <v>2</v>
      </c>
      <c r="Y43" s="2">
        <v>23</v>
      </c>
      <c r="Z43" s="195">
        <v>27</v>
      </c>
      <c r="AB43">
        <f t="shared" si="0"/>
        <v>2</v>
      </c>
      <c r="AD43" s="2">
        <v>43</v>
      </c>
      <c r="AE43" s="2" t="s">
        <v>204</v>
      </c>
      <c r="AF43" s="223" t="s">
        <v>46</v>
      </c>
      <c r="AG43" s="223" t="s">
        <v>18</v>
      </c>
      <c r="AH43" s="223" t="s">
        <v>4</v>
      </c>
      <c r="AI43" s="224">
        <v>2</v>
      </c>
      <c r="AJ43" s="2">
        <v>24</v>
      </c>
      <c r="AK43" s="195">
        <v>29</v>
      </c>
      <c r="AM43">
        <f t="shared" si="1"/>
        <v>2</v>
      </c>
      <c r="AN43">
        <v>2</v>
      </c>
      <c r="AO43" t="b">
        <f t="shared" si="2"/>
        <v>1</v>
      </c>
    </row>
    <row r="44" spans="1:41" x14ac:dyDescent="0.25">
      <c r="A44" s="2">
        <v>43</v>
      </c>
      <c r="B44" s="2" t="s">
        <v>300</v>
      </c>
      <c r="C44" s="223" t="s">
        <v>46</v>
      </c>
      <c r="D44" s="223" t="s">
        <v>18</v>
      </c>
      <c r="E44" s="223" t="s">
        <v>10</v>
      </c>
      <c r="F44" s="224">
        <v>1</v>
      </c>
      <c r="G44" s="2">
        <v>21</v>
      </c>
      <c r="H44" s="195">
        <v>25</v>
      </c>
      <c r="J44" s="2">
        <v>43</v>
      </c>
      <c r="K44" s="2" t="s">
        <v>110</v>
      </c>
      <c r="L44" s="223" t="s">
        <v>46</v>
      </c>
      <c r="M44" s="223" t="s">
        <v>18</v>
      </c>
      <c r="N44" s="223" t="s">
        <v>10</v>
      </c>
      <c r="O44" s="224">
        <v>1</v>
      </c>
      <c r="P44" s="2">
        <v>22</v>
      </c>
      <c r="Q44" s="195">
        <v>27</v>
      </c>
      <c r="S44" s="2">
        <v>43</v>
      </c>
      <c r="T44" s="2" t="s">
        <v>205</v>
      </c>
      <c r="U44" s="223" t="s">
        <v>46</v>
      </c>
      <c r="V44" s="223" t="s">
        <v>18</v>
      </c>
      <c r="W44" s="223" t="s">
        <v>10</v>
      </c>
      <c r="X44" s="224">
        <v>1</v>
      </c>
      <c r="Y44" s="2">
        <v>23</v>
      </c>
      <c r="Z44" s="195">
        <v>29</v>
      </c>
      <c r="AB44">
        <f t="shared" si="0"/>
        <v>2</v>
      </c>
      <c r="AD44" s="2">
        <v>43</v>
      </c>
      <c r="AE44" s="2" t="s">
        <v>205</v>
      </c>
      <c r="AF44" s="223" t="s">
        <v>46</v>
      </c>
      <c r="AG44" s="223" t="s">
        <v>18</v>
      </c>
      <c r="AH44" s="223" t="s">
        <v>10</v>
      </c>
      <c r="AI44" s="224">
        <v>1</v>
      </c>
      <c r="AJ44" s="2">
        <v>24</v>
      </c>
      <c r="AK44" s="195">
        <v>31</v>
      </c>
      <c r="AM44">
        <f t="shared" si="1"/>
        <v>2</v>
      </c>
      <c r="AN44">
        <v>2</v>
      </c>
      <c r="AO44" t="b">
        <f t="shared" si="2"/>
        <v>1</v>
      </c>
    </row>
    <row r="45" spans="1:41" x14ac:dyDescent="0.25">
      <c r="A45" s="2">
        <v>43</v>
      </c>
      <c r="B45" s="2" t="s">
        <v>301</v>
      </c>
      <c r="C45" s="223" t="s">
        <v>46</v>
      </c>
      <c r="D45" s="223" t="s">
        <v>18</v>
      </c>
      <c r="E45" s="223" t="s">
        <v>8</v>
      </c>
      <c r="F45" s="224">
        <v>2</v>
      </c>
      <c r="G45" s="2">
        <v>21</v>
      </c>
      <c r="H45" s="195">
        <v>27</v>
      </c>
      <c r="J45" s="2">
        <v>43</v>
      </c>
      <c r="K45" s="2" t="s">
        <v>111</v>
      </c>
      <c r="L45" s="223" t="s">
        <v>46</v>
      </c>
      <c r="M45" s="223" t="s">
        <v>18</v>
      </c>
      <c r="N45" s="223" t="s">
        <v>8</v>
      </c>
      <c r="O45" s="224">
        <v>2</v>
      </c>
      <c r="P45" s="2">
        <v>22</v>
      </c>
      <c r="Q45" s="195">
        <v>29</v>
      </c>
      <c r="S45" s="2">
        <v>43</v>
      </c>
      <c r="T45" s="2" t="s">
        <v>206</v>
      </c>
      <c r="U45" s="223" t="s">
        <v>46</v>
      </c>
      <c r="V45" s="223" t="s">
        <v>18</v>
      </c>
      <c r="W45" s="223" t="s">
        <v>8</v>
      </c>
      <c r="X45" s="224">
        <v>2</v>
      </c>
      <c r="Y45" s="2">
        <v>23</v>
      </c>
      <c r="Z45" s="195">
        <v>31</v>
      </c>
      <c r="AB45">
        <f t="shared" si="0"/>
        <v>2</v>
      </c>
      <c r="AD45" s="2">
        <v>43</v>
      </c>
      <c r="AE45" s="2" t="s">
        <v>206</v>
      </c>
      <c r="AF45" s="223" t="s">
        <v>46</v>
      </c>
      <c r="AG45" s="223" t="s">
        <v>18</v>
      </c>
      <c r="AH45" s="223" t="s">
        <v>8</v>
      </c>
      <c r="AI45" s="224">
        <v>2</v>
      </c>
      <c r="AJ45" s="2">
        <v>24</v>
      </c>
      <c r="AK45" s="195">
        <v>33</v>
      </c>
      <c r="AM45">
        <f t="shared" si="1"/>
        <v>2</v>
      </c>
      <c r="AN45">
        <v>2</v>
      </c>
      <c r="AO45" t="b">
        <f t="shared" si="2"/>
        <v>1</v>
      </c>
    </row>
    <row r="46" spans="1:41" x14ac:dyDescent="0.25">
      <c r="A46" s="2">
        <v>43</v>
      </c>
      <c r="B46" s="2" t="s">
        <v>302</v>
      </c>
      <c r="C46" s="223" t="s">
        <v>46</v>
      </c>
      <c r="D46" s="223" t="s">
        <v>18</v>
      </c>
      <c r="E46" s="223" t="s">
        <v>3</v>
      </c>
      <c r="F46" s="224">
        <v>1</v>
      </c>
      <c r="G46" s="2">
        <v>21</v>
      </c>
      <c r="H46" s="195">
        <v>30</v>
      </c>
      <c r="J46" s="2">
        <v>43</v>
      </c>
      <c r="K46" s="2" t="s">
        <v>112</v>
      </c>
      <c r="L46" s="223" t="s">
        <v>46</v>
      </c>
      <c r="M46" s="223" t="s">
        <v>18</v>
      </c>
      <c r="N46" s="223" t="s">
        <v>3</v>
      </c>
      <c r="O46" s="224">
        <v>1</v>
      </c>
      <c r="P46" s="2">
        <v>22</v>
      </c>
      <c r="Q46" s="195">
        <v>32</v>
      </c>
      <c r="S46" s="2">
        <v>43</v>
      </c>
      <c r="T46" s="2" t="s">
        <v>207</v>
      </c>
      <c r="U46" s="223" t="s">
        <v>46</v>
      </c>
      <c r="V46" s="223" t="s">
        <v>18</v>
      </c>
      <c r="W46" s="223" t="s">
        <v>3</v>
      </c>
      <c r="X46" s="224">
        <v>1</v>
      </c>
      <c r="Y46" s="2">
        <v>23</v>
      </c>
      <c r="Z46" s="195">
        <v>34</v>
      </c>
      <c r="AB46">
        <f t="shared" si="0"/>
        <v>2</v>
      </c>
      <c r="AD46" s="2">
        <v>43</v>
      </c>
      <c r="AE46" s="2" t="s">
        <v>207</v>
      </c>
      <c r="AF46" s="223" t="s">
        <v>46</v>
      </c>
      <c r="AG46" s="223" t="s">
        <v>18</v>
      </c>
      <c r="AH46" s="223" t="s">
        <v>3</v>
      </c>
      <c r="AI46" s="224">
        <v>1</v>
      </c>
      <c r="AJ46" s="2">
        <v>24</v>
      </c>
      <c r="AK46" s="195">
        <v>36</v>
      </c>
      <c r="AM46">
        <f t="shared" si="1"/>
        <v>2</v>
      </c>
      <c r="AN46">
        <v>2</v>
      </c>
      <c r="AO46" t="b">
        <f t="shared" si="2"/>
        <v>1</v>
      </c>
    </row>
    <row r="47" spans="1:41" x14ac:dyDescent="0.25">
      <c r="A47" s="2">
        <v>43</v>
      </c>
      <c r="B47" s="2" t="s">
        <v>303</v>
      </c>
      <c r="C47" s="223" t="s">
        <v>46</v>
      </c>
      <c r="D47" s="223" t="s">
        <v>18</v>
      </c>
      <c r="E47" s="223" t="s">
        <v>6</v>
      </c>
      <c r="F47" s="224">
        <v>2</v>
      </c>
      <c r="G47" s="2">
        <v>21</v>
      </c>
      <c r="H47" s="195">
        <v>33</v>
      </c>
      <c r="J47" s="2">
        <v>43</v>
      </c>
      <c r="K47" s="2" t="s">
        <v>113</v>
      </c>
      <c r="L47" s="223" t="s">
        <v>46</v>
      </c>
      <c r="M47" s="223" t="s">
        <v>18</v>
      </c>
      <c r="N47" s="223" t="s">
        <v>6</v>
      </c>
      <c r="O47" s="224">
        <v>2</v>
      </c>
      <c r="P47" s="2">
        <v>22</v>
      </c>
      <c r="Q47" s="195">
        <v>35</v>
      </c>
      <c r="S47" s="2">
        <v>43</v>
      </c>
      <c r="T47" s="2" t="s">
        <v>208</v>
      </c>
      <c r="U47" s="223" t="s">
        <v>46</v>
      </c>
      <c r="V47" s="223" t="s">
        <v>18</v>
      </c>
      <c r="W47" s="223" t="s">
        <v>6</v>
      </c>
      <c r="X47" s="224">
        <v>2</v>
      </c>
      <c r="Y47" s="2">
        <v>23</v>
      </c>
      <c r="Z47" s="195">
        <v>37</v>
      </c>
      <c r="AB47">
        <f t="shared" si="0"/>
        <v>2</v>
      </c>
      <c r="AD47" s="2">
        <v>43</v>
      </c>
      <c r="AE47" s="2" t="s">
        <v>208</v>
      </c>
      <c r="AF47" s="223" t="s">
        <v>46</v>
      </c>
      <c r="AG47" s="223" t="s">
        <v>18</v>
      </c>
      <c r="AH47" s="223" t="s">
        <v>6</v>
      </c>
      <c r="AI47" s="224">
        <v>2</v>
      </c>
      <c r="AJ47" s="2">
        <v>24</v>
      </c>
      <c r="AK47" s="195">
        <v>39</v>
      </c>
      <c r="AM47">
        <f t="shared" si="1"/>
        <v>2</v>
      </c>
      <c r="AN47">
        <v>2</v>
      </c>
      <c r="AO47" t="b">
        <f t="shared" si="2"/>
        <v>1</v>
      </c>
    </row>
    <row r="48" spans="1:41" x14ac:dyDescent="0.25">
      <c r="A48" s="2">
        <v>43</v>
      </c>
      <c r="B48" s="2" t="s">
        <v>304</v>
      </c>
      <c r="C48" s="223" t="s">
        <v>46</v>
      </c>
      <c r="D48" s="223" t="s">
        <v>18</v>
      </c>
      <c r="E48" s="223" t="s">
        <v>47</v>
      </c>
      <c r="F48" s="224">
        <v>1</v>
      </c>
      <c r="G48" s="2">
        <v>21</v>
      </c>
      <c r="H48" s="195">
        <v>35</v>
      </c>
      <c r="J48" s="2">
        <v>43</v>
      </c>
      <c r="K48" s="2" t="s">
        <v>114</v>
      </c>
      <c r="L48" s="223" t="s">
        <v>46</v>
      </c>
      <c r="M48" s="223" t="s">
        <v>18</v>
      </c>
      <c r="N48" s="223" t="s">
        <v>47</v>
      </c>
      <c r="O48" s="224">
        <v>1</v>
      </c>
      <c r="P48" s="2">
        <v>22</v>
      </c>
      <c r="Q48" s="195">
        <v>37</v>
      </c>
      <c r="S48" s="2">
        <v>43</v>
      </c>
      <c r="T48" s="2" t="s">
        <v>209</v>
      </c>
      <c r="U48" s="223" t="s">
        <v>46</v>
      </c>
      <c r="V48" s="223" t="s">
        <v>18</v>
      </c>
      <c r="W48" s="223" t="s">
        <v>47</v>
      </c>
      <c r="X48" s="224">
        <v>1</v>
      </c>
      <c r="Y48" s="2">
        <v>23</v>
      </c>
      <c r="Z48" s="195">
        <v>39</v>
      </c>
      <c r="AB48">
        <f t="shared" si="0"/>
        <v>2</v>
      </c>
      <c r="AD48" s="2">
        <v>43</v>
      </c>
      <c r="AE48" s="2" t="s">
        <v>209</v>
      </c>
      <c r="AF48" s="223" t="s">
        <v>46</v>
      </c>
      <c r="AG48" s="223" t="s">
        <v>18</v>
      </c>
      <c r="AH48" s="223" t="s">
        <v>47</v>
      </c>
      <c r="AI48" s="224">
        <v>1</v>
      </c>
      <c r="AJ48" s="2">
        <v>24</v>
      </c>
      <c r="AK48" s="195">
        <v>41</v>
      </c>
      <c r="AM48">
        <f t="shared" si="1"/>
        <v>2</v>
      </c>
      <c r="AN48">
        <v>2</v>
      </c>
      <c r="AO48" t="b">
        <f t="shared" si="2"/>
        <v>1</v>
      </c>
    </row>
    <row r="49" spans="1:41" x14ac:dyDescent="0.25">
      <c r="A49" s="2">
        <v>43</v>
      </c>
      <c r="B49" s="2" t="s">
        <v>305</v>
      </c>
      <c r="C49" s="223" t="s">
        <v>46</v>
      </c>
      <c r="D49" s="223" t="s">
        <v>18</v>
      </c>
      <c r="E49" s="223" t="s">
        <v>12</v>
      </c>
      <c r="F49" s="224">
        <v>2</v>
      </c>
      <c r="G49" s="2">
        <v>21</v>
      </c>
      <c r="H49" s="195">
        <v>38</v>
      </c>
      <c r="J49" s="2">
        <v>43</v>
      </c>
      <c r="K49" s="2" t="s">
        <v>115</v>
      </c>
      <c r="L49" s="223" t="s">
        <v>46</v>
      </c>
      <c r="M49" s="223" t="s">
        <v>18</v>
      </c>
      <c r="N49" s="223" t="s">
        <v>12</v>
      </c>
      <c r="O49" s="224">
        <v>2</v>
      </c>
      <c r="P49" s="2">
        <v>22</v>
      </c>
      <c r="Q49" s="195">
        <v>40</v>
      </c>
      <c r="S49" s="2">
        <v>43</v>
      </c>
      <c r="T49" s="2" t="s">
        <v>210</v>
      </c>
      <c r="U49" s="223" t="s">
        <v>46</v>
      </c>
      <c r="V49" s="223" t="s">
        <v>18</v>
      </c>
      <c r="W49" s="223" t="s">
        <v>12</v>
      </c>
      <c r="X49" s="224">
        <v>2</v>
      </c>
      <c r="Y49" s="2">
        <v>23</v>
      </c>
      <c r="Z49" s="195">
        <v>42</v>
      </c>
      <c r="AB49">
        <f t="shared" si="0"/>
        <v>2</v>
      </c>
      <c r="AD49" s="2">
        <v>43</v>
      </c>
      <c r="AE49" s="2" t="s">
        <v>210</v>
      </c>
      <c r="AF49" s="223" t="s">
        <v>46</v>
      </c>
      <c r="AG49" s="223" t="s">
        <v>18</v>
      </c>
      <c r="AH49" s="223" t="s">
        <v>12</v>
      </c>
      <c r="AI49" s="224">
        <v>2</v>
      </c>
      <c r="AJ49" s="2">
        <v>24</v>
      </c>
      <c r="AK49" s="195">
        <v>44</v>
      </c>
      <c r="AM49">
        <f t="shared" si="1"/>
        <v>2</v>
      </c>
      <c r="AN49">
        <v>2</v>
      </c>
      <c r="AO49" t="b">
        <f t="shared" si="2"/>
        <v>1</v>
      </c>
    </row>
    <row r="50" spans="1:41" x14ac:dyDescent="0.25">
      <c r="A50" s="2">
        <v>43</v>
      </c>
      <c r="B50" s="2" t="s">
        <v>306</v>
      </c>
      <c r="C50" s="223" t="s">
        <v>46</v>
      </c>
      <c r="D50" s="223" t="s">
        <v>19</v>
      </c>
      <c r="E50" s="223" t="s">
        <v>9</v>
      </c>
      <c r="F50" s="224">
        <v>1</v>
      </c>
      <c r="G50" s="2">
        <v>21</v>
      </c>
      <c r="H50" s="195">
        <v>20</v>
      </c>
      <c r="J50" s="2">
        <v>43</v>
      </c>
      <c r="K50" s="2" t="s">
        <v>116</v>
      </c>
      <c r="L50" s="223" t="s">
        <v>46</v>
      </c>
      <c r="M50" s="223" t="s">
        <v>19</v>
      </c>
      <c r="N50" s="223" t="s">
        <v>9</v>
      </c>
      <c r="O50" s="224">
        <v>1</v>
      </c>
      <c r="P50" s="2">
        <v>22</v>
      </c>
      <c r="Q50" s="195">
        <v>21</v>
      </c>
      <c r="S50" s="2">
        <v>43</v>
      </c>
      <c r="T50" s="2" t="s">
        <v>211</v>
      </c>
      <c r="U50" s="223" t="s">
        <v>46</v>
      </c>
      <c r="V50" s="223" t="s">
        <v>19</v>
      </c>
      <c r="W50" s="223" t="s">
        <v>9</v>
      </c>
      <c r="X50" s="224">
        <v>1</v>
      </c>
      <c r="Y50" s="2">
        <v>23</v>
      </c>
      <c r="Z50" s="195">
        <v>22</v>
      </c>
      <c r="AB50">
        <f t="shared" si="0"/>
        <v>1</v>
      </c>
      <c r="AD50" s="2">
        <v>43</v>
      </c>
      <c r="AE50" s="2" t="s">
        <v>211</v>
      </c>
      <c r="AF50" s="223" t="s">
        <v>46</v>
      </c>
      <c r="AG50" s="223" t="s">
        <v>19</v>
      </c>
      <c r="AH50" s="223" t="s">
        <v>9</v>
      </c>
      <c r="AI50" s="224">
        <v>1</v>
      </c>
      <c r="AJ50" s="2">
        <v>24</v>
      </c>
      <c r="AK50" s="195">
        <v>23</v>
      </c>
      <c r="AM50">
        <f t="shared" si="1"/>
        <v>1</v>
      </c>
      <c r="AN50">
        <v>1</v>
      </c>
      <c r="AO50" t="b">
        <f t="shared" si="2"/>
        <v>1</v>
      </c>
    </row>
    <row r="51" spans="1:41" x14ac:dyDescent="0.25">
      <c r="A51" s="2">
        <v>43</v>
      </c>
      <c r="B51" s="2" t="s">
        <v>307</v>
      </c>
      <c r="C51" s="223" t="s">
        <v>46</v>
      </c>
      <c r="D51" s="223" t="s">
        <v>19</v>
      </c>
      <c r="E51" s="223" t="s">
        <v>41</v>
      </c>
      <c r="F51" s="224">
        <v>2</v>
      </c>
      <c r="G51" s="2">
        <v>21</v>
      </c>
      <c r="H51" s="195">
        <v>22</v>
      </c>
      <c r="J51" s="2">
        <v>43</v>
      </c>
      <c r="K51" s="2" t="s">
        <v>117</v>
      </c>
      <c r="L51" s="223" t="s">
        <v>46</v>
      </c>
      <c r="M51" s="223" t="s">
        <v>19</v>
      </c>
      <c r="N51" s="223" t="s">
        <v>41</v>
      </c>
      <c r="O51" s="224">
        <v>2</v>
      </c>
      <c r="P51" s="2">
        <v>22</v>
      </c>
      <c r="Q51" s="195">
        <v>24</v>
      </c>
      <c r="S51" s="2">
        <v>43</v>
      </c>
      <c r="T51" s="2" t="s">
        <v>212</v>
      </c>
      <c r="U51" s="223" t="s">
        <v>46</v>
      </c>
      <c r="V51" s="223" t="s">
        <v>19</v>
      </c>
      <c r="W51" s="223" t="s">
        <v>41</v>
      </c>
      <c r="X51" s="224">
        <v>2</v>
      </c>
      <c r="Y51" s="2">
        <v>23</v>
      </c>
      <c r="Z51" s="195">
        <v>25</v>
      </c>
      <c r="AB51">
        <f t="shared" si="0"/>
        <v>1</v>
      </c>
      <c r="AD51" s="2">
        <v>43</v>
      </c>
      <c r="AE51" s="2" t="s">
        <v>212</v>
      </c>
      <c r="AF51" s="223" t="s">
        <v>46</v>
      </c>
      <c r="AG51" s="223" t="s">
        <v>19</v>
      </c>
      <c r="AH51" s="223" t="s">
        <v>41</v>
      </c>
      <c r="AI51" s="224">
        <v>2</v>
      </c>
      <c r="AJ51" s="2">
        <v>24</v>
      </c>
      <c r="AK51" s="195">
        <v>26</v>
      </c>
      <c r="AM51">
        <f t="shared" si="1"/>
        <v>1</v>
      </c>
      <c r="AN51">
        <v>1</v>
      </c>
      <c r="AO51" t="b">
        <f t="shared" si="2"/>
        <v>1</v>
      </c>
    </row>
    <row r="52" spans="1:41" x14ac:dyDescent="0.25">
      <c r="A52" s="2">
        <v>43</v>
      </c>
      <c r="B52" s="2" t="s">
        <v>308</v>
      </c>
      <c r="C52" s="223" t="s">
        <v>46</v>
      </c>
      <c r="D52" s="223" t="s">
        <v>19</v>
      </c>
      <c r="E52" s="223" t="s">
        <v>40</v>
      </c>
      <c r="F52" s="224">
        <v>1</v>
      </c>
      <c r="G52" s="2">
        <v>21</v>
      </c>
      <c r="H52" s="195">
        <v>25</v>
      </c>
      <c r="J52" s="2">
        <v>43</v>
      </c>
      <c r="K52" s="2" t="s">
        <v>118</v>
      </c>
      <c r="L52" s="223" t="s">
        <v>46</v>
      </c>
      <c r="M52" s="223" t="s">
        <v>19</v>
      </c>
      <c r="N52" s="223" t="s">
        <v>40</v>
      </c>
      <c r="O52" s="224">
        <v>1</v>
      </c>
      <c r="P52" s="2">
        <v>22</v>
      </c>
      <c r="Q52" s="195">
        <v>27</v>
      </c>
      <c r="S52" s="2">
        <v>43</v>
      </c>
      <c r="T52" s="2" t="s">
        <v>213</v>
      </c>
      <c r="U52" s="223" t="s">
        <v>46</v>
      </c>
      <c r="V52" s="223" t="s">
        <v>19</v>
      </c>
      <c r="W52" s="223" t="s">
        <v>40</v>
      </c>
      <c r="X52" s="224">
        <v>1</v>
      </c>
      <c r="Y52" s="2">
        <v>23</v>
      </c>
      <c r="Z52" s="195">
        <v>29</v>
      </c>
      <c r="AB52">
        <f t="shared" si="0"/>
        <v>2</v>
      </c>
      <c r="AD52" s="2">
        <v>43</v>
      </c>
      <c r="AE52" s="2" t="s">
        <v>213</v>
      </c>
      <c r="AF52" s="223" t="s">
        <v>46</v>
      </c>
      <c r="AG52" s="223" t="s">
        <v>19</v>
      </c>
      <c r="AH52" s="223" t="s">
        <v>40</v>
      </c>
      <c r="AI52" s="224">
        <v>1</v>
      </c>
      <c r="AJ52" s="2">
        <v>24</v>
      </c>
      <c r="AK52" s="195">
        <v>31</v>
      </c>
      <c r="AM52">
        <f t="shared" si="1"/>
        <v>2</v>
      </c>
      <c r="AN52">
        <v>2</v>
      </c>
      <c r="AO52" t="b">
        <f t="shared" si="2"/>
        <v>1</v>
      </c>
    </row>
    <row r="53" spans="1:41" x14ac:dyDescent="0.25">
      <c r="A53" s="2">
        <v>43</v>
      </c>
      <c r="B53" s="2" t="s">
        <v>309</v>
      </c>
      <c r="C53" s="223" t="s">
        <v>46</v>
      </c>
      <c r="D53" s="223" t="s">
        <v>19</v>
      </c>
      <c r="E53" s="223" t="s">
        <v>13</v>
      </c>
      <c r="F53" s="224">
        <v>2</v>
      </c>
      <c r="G53" s="2">
        <v>21</v>
      </c>
      <c r="H53" s="195">
        <v>27</v>
      </c>
      <c r="J53" s="2">
        <v>43</v>
      </c>
      <c r="K53" s="2" t="s">
        <v>119</v>
      </c>
      <c r="L53" s="223" t="s">
        <v>46</v>
      </c>
      <c r="M53" s="223" t="s">
        <v>19</v>
      </c>
      <c r="N53" s="223" t="s">
        <v>13</v>
      </c>
      <c r="O53" s="224">
        <v>2</v>
      </c>
      <c r="P53" s="2">
        <v>22</v>
      </c>
      <c r="Q53" s="195">
        <v>29</v>
      </c>
      <c r="S53" s="2">
        <v>43</v>
      </c>
      <c r="T53" s="2" t="s">
        <v>214</v>
      </c>
      <c r="U53" s="223" t="s">
        <v>46</v>
      </c>
      <c r="V53" s="223" t="s">
        <v>19</v>
      </c>
      <c r="W53" s="223" t="s">
        <v>13</v>
      </c>
      <c r="X53" s="224">
        <v>2</v>
      </c>
      <c r="Y53" s="2">
        <v>23</v>
      </c>
      <c r="Z53" s="195">
        <v>31</v>
      </c>
      <c r="AB53">
        <f t="shared" si="0"/>
        <v>2</v>
      </c>
      <c r="AD53" s="2">
        <v>43</v>
      </c>
      <c r="AE53" s="2" t="s">
        <v>214</v>
      </c>
      <c r="AF53" s="223" t="s">
        <v>46</v>
      </c>
      <c r="AG53" s="223" t="s">
        <v>19</v>
      </c>
      <c r="AH53" s="223" t="s">
        <v>13</v>
      </c>
      <c r="AI53" s="224">
        <v>2</v>
      </c>
      <c r="AJ53" s="2">
        <v>24</v>
      </c>
      <c r="AK53" s="195">
        <v>33</v>
      </c>
      <c r="AM53">
        <f t="shared" si="1"/>
        <v>2</v>
      </c>
      <c r="AN53">
        <v>2</v>
      </c>
      <c r="AO53" t="b">
        <f t="shared" si="2"/>
        <v>1</v>
      </c>
    </row>
    <row r="54" spans="1:41" x14ac:dyDescent="0.25">
      <c r="A54" s="2">
        <v>43</v>
      </c>
      <c r="B54" s="2" t="s">
        <v>310</v>
      </c>
      <c r="C54" s="223" t="s">
        <v>46</v>
      </c>
      <c r="D54" s="223" t="s">
        <v>19</v>
      </c>
      <c r="E54" s="223" t="s">
        <v>15</v>
      </c>
      <c r="F54" s="224">
        <v>1</v>
      </c>
      <c r="G54" s="2">
        <v>21</v>
      </c>
      <c r="H54" s="195">
        <v>29</v>
      </c>
      <c r="J54" s="2">
        <v>43</v>
      </c>
      <c r="K54" s="2" t="s">
        <v>120</v>
      </c>
      <c r="L54" s="223" t="s">
        <v>46</v>
      </c>
      <c r="M54" s="223" t="s">
        <v>19</v>
      </c>
      <c r="N54" s="223" t="s">
        <v>15</v>
      </c>
      <c r="O54" s="224">
        <v>1</v>
      </c>
      <c r="P54" s="2">
        <v>22</v>
      </c>
      <c r="Q54" s="195">
        <v>32</v>
      </c>
      <c r="S54" s="2">
        <v>43</v>
      </c>
      <c r="T54" s="2" t="s">
        <v>215</v>
      </c>
      <c r="U54" s="223" t="s">
        <v>46</v>
      </c>
      <c r="V54" s="223" t="s">
        <v>19</v>
      </c>
      <c r="W54" s="223" t="s">
        <v>15</v>
      </c>
      <c r="X54" s="224">
        <v>1</v>
      </c>
      <c r="Y54" s="2">
        <v>23</v>
      </c>
      <c r="Z54" s="195">
        <v>33</v>
      </c>
      <c r="AB54">
        <f t="shared" si="0"/>
        <v>1</v>
      </c>
      <c r="AD54" s="2">
        <v>43</v>
      </c>
      <c r="AE54" s="2" t="s">
        <v>215</v>
      </c>
      <c r="AF54" s="223" t="s">
        <v>46</v>
      </c>
      <c r="AG54" s="223" t="s">
        <v>19</v>
      </c>
      <c r="AH54" s="223" t="s">
        <v>15</v>
      </c>
      <c r="AI54" s="224">
        <v>1</v>
      </c>
      <c r="AJ54" s="2">
        <v>24</v>
      </c>
      <c r="AK54" s="195">
        <v>34</v>
      </c>
      <c r="AM54">
        <f t="shared" si="1"/>
        <v>1</v>
      </c>
      <c r="AN54">
        <v>1</v>
      </c>
      <c r="AO54" t="b">
        <f t="shared" si="2"/>
        <v>1</v>
      </c>
    </row>
    <row r="55" spans="1:41" x14ac:dyDescent="0.25">
      <c r="A55" s="2">
        <v>43</v>
      </c>
      <c r="B55" s="2" t="s">
        <v>311</v>
      </c>
      <c r="C55" s="223" t="s">
        <v>46</v>
      </c>
      <c r="D55" s="223" t="s">
        <v>19</v>
      </c>
      <c r="E55" s="223" t="s">
        <v>11</v>
      </c>
      <c r="F55" s="224">
        <v>2</v>
      </c>
      <c r="G55" s="2">
        <v>21</v>
      </c>
      <c r="H55" s="195">
        <v>32</v>
      </c>
      <c r="J55" s="2">
        <v>43</v>
      </c>
      <c r="K55" s="2" t="s">
        <v>121</v>
      </c>
      <c r="L55" s="223" t="s">
        <v>46</v>
      </c>
      <c r="M55" s="223" t="s">
        <v>19</v>
      </c>
      <c r="N55" s="223" t="s">
        <v>11</v>
      </c>
      <c r="O55" s="224">
        <v>2</v>
      </c>
      <c r="P55" s="2">
        <v>22</v>
      </c>
      <c r="Q55" s="195">
        <v>34</v>
      </c>
      <c r="S55" s="2">
        <v>43</v>
      </c>
      <c r="T55" s="2" t="s">
        <v>216</v>
      </c>
      <c r="U55" s="223" t="s">
        <v>46</v>
      </c>
      <c r="V55" s="223" t="s">
        <v>19</v>
      </c>
      <c r="W55" s="223" t="s">
        <v>11</v>
      </c>
      <c r="X55" s="224">
        <v>2</v>
      </c>
      <c r="Y55" s="2">
        <v>23</v>
      </c>
      <c r="Z55" s="195">
        <v>36</v>
      </c>
      <c r="AB55">
        <f t="shared" si="0"/>
        <v>2</v>
      </c>
      <c r="AD55" s="2">
        <v>43</v>
      </c>
      <c r="AE55" s="2" t="s">
        <v>216</v>
      </c>
      <c r="AF55" s="223" t="s">
        <v>46</v>
      </c>
      <c r="AG55" s="223" t="s">
        <v>19</v>
      </c>
      <c r="AH55" s="223" t="s">
        <v>11</v>
      </c>
      <c r="AI55" s="224">
        <v>2</v>
      </c>
      <c r="AJ55" s="2">
        <v>24</v>
      </c>
      <c r="AK55" s="195">
        <v>38</v>
      </c>
      <c r="AM55">
        <f t="shared" si="1"/>
        <v>2</v>
      </c>
      <c r="AN55">
        <v>2</v>
      </c>
      <c r="AO55" t="b">
        <f t="shared" si="2"/>
        <v>1</v>
      </c>
    </row>
    <row r="56" spans="1:41" x14ac:dyDescent="0.25">
      <c r="A56" s="2">
        <v>43</v>
      </c>
      <c r="B56" s="2" t="s">
        <v>312</v>
      </c>
      <c r="C56" s="223" t="s">
        <v>46</v>
      </c>
      <c r="D56" s="223" t="s">
        <v>19</v>
      </c>
      <c r="E56" s="223" t="s">
        <v>59</v>
      </c>
      <c r="F56" s="224">
        <v>1</v>
      </c>
      <c r="G56" s="195">
        <v>21</v>
      </c>
      <c r="H56" s="195">
        <v>34</v>
      </c>
      <c r="J56" s="2">
        <v>43</v>
      </c>
      <c r="K56" s="2" t="s">
        <v>122</v>
      </c>
      <c r="L56" s="223" t="s">
        <v>46</v>
      </c>
      <c r="M56" s="223" t="s">
        <v>19</v>
      </c>
      <c r="N56" s="223" t="s">
        <v>59</v>
      </c>
      <c r="O56" s="224">
        <v>1</v>
      </c>
      <c r="P56" s="2">
        <v>22</v>
      </c>
      <c r="Q56" s="195">
        <v>36</v>
      </c>
      <c r="S56" s="2">
        <v>43</v>
      </c>
      <c r="T56" s="2" t="s">
        <v>217</v>
      </c>
      <c r="U56" s="223" t="s">
        <v>46</v>
      </c>
      <c r="V56" s="223" t="s">
        <v>19</v>
      </c>
      <c r="W56" s="223" t="s">
        <v>59</v>
      </c>
      <c r="X56" s="224">
        <v>1</v>
      </c>
      <c r="Y56" s="2">
        <v>23</v>
      </c>
      <c r="Z56" s="195">
        <v>38</v>
      </c>
      <c r="AB56">
        <f t="shared" si="0"/>
        <v>2</v>
      </c>
      <c r="AD56" s="2">
        <v>43</v>
      </c>
      <c r="AE56" s="2" t="s">
        <v>217</v>
      </c>
      <c r="AF56" s="223" t="s">
        <v>46</v>
      </c>
      <c r="AG56" s="223" t="s">
        <v>19</v>
      </c>
      <c r="AH56" s="223" t="s">
        <v>59</v>
      </c>
      <c r="AI56" s="224">
        <v>1</v>
      </c>
      <c r="AJ56" s="2">
        <v>24</v>
      </c>
      <c r="AK56" s="195">
        <v>40</v>
      </c>
      <c r="AM56">
        <f t="shared" si="1"/>
        <v>2</v>
      </c>
      <c r="AN56">
        <v>2</v>
      </c>
      <c r="AO56" t="b">
        <f t="shared" si="2"/>
        <v>1</v>
      </c>
    </row>
    <row r="57" spans="1:41" x14ac:dyDescent="0.25">
      <c r="A57" s="2">
        <v>43</v>
      </c>
      <c r="B57" s="2" t="s">
        <v>313</v>
      </c>
      <c r="C57" s="223" t="s">
        <v>46</v>
      </c>
      <c r="D57" s="223" t="s">
        <v>19</v>
      </c>
      <c r="E57" s="223" t="s">
        <v>7</v>
      </c>
      <c r="F57" s="224">
        <v>2</v>
      </c>
      <c r="G57" s="2">
        <v>21</v>
      </c>
      <c r="H57" s="195">
        <v>35</v>
      </c>
      <c r="J57" s="2">
        <v>43</v>
      </c>
      <c r="K57" s="2" t="s">
        <v>123</v>
      </c>
      <c r="L57" s="223" t="s">
        <v>46</v>
      </c>
      <c r="M57" s="223" t="s">
        <v>19</v>
      </c>
      <c r="N57" s="223" t="s">
        <v>7</v>
      </c>
      <c r="O57" s="224">
        <v>2</v>
      </c>
      <c r="P57" s="2">
        <v>22</v>
      </c>
      <c r="Q57" s="195">
        <v>37</v>
      </c>
      <c r="S57" s="2">
        <v>43</v>
      </c>
      <c r="T57" s="2" t="s">
        <v>218</v>
      </c>
      <c r="U57" s="223" t="s">
        <v>46</v>
      </c>
      <c r="V57" s="223" t="s">
        <v>19</v>
      </c>
      <c r="W57" s="223" t="s">
        <v>7</v>
      </c>
      <c r="X57" s="224">
        <v>2</v>
      </c>
      <c r="Y57" s="2">
        <v>23</v>
      </c>
      <c r="Z57" s="195">
        <v>39</v>
      </c>
      <c r="AB57">
        <f t="shared" si="0"/>
        <v>2</v>
      </c>
      <c r="AD57" s="2">
        <v>43</v>
      </c>
      <c r="AE57" s="2" t="s">
        <v>218</v>
      </c>
      <c r="AF57" s="223" t="s">
        <v>46</v>
      </c>
      <c r="AG57" s="223" t="s">
        <v>19</v>
      </c>
      <c r="AH57" s="223" t="s">
        <v>7</v>
      </c>
      <c r="AI57" s="224">
        <v>2</v>
      </c>
      <c r="AJ57" s="2">
        <v>24</v>
      </c>
      <c r="AK57" s="195">
        <v>41</v>
      </c>
      <c r="AM57">
        <f t="shared" si="1"/>
        <v>2</v>
      </c>
      <c r="AN57">
        <v>2</v>
      </c>
      <c r="AO57" t="b">
        <f t="shared" si="2"/>
        <v>1</v>
      </c>
    </row>
    <row r="58" spans="1:41" x14ac:dyDescent="0.25">
      <c r="A58" s="2">
        <v>43</v>
      </c>
      <c r="B58" s="2" t="s">
        <v>314</v>
      </c>
      <c r="C58" s="223" t="s">
        <v>46</v>
      </c>
      <c r="D58" s="223" t="s">
        <v>19</v>
      </c>
      <c r="E58" s="223" t="s">
        <v>14</v>
      </c>
      <c r="F58" s="224">
        <v>1</v>
      </c>
      <c r="G58" s="2">
        <v>21</v>
      </c>
      <c r="H58" s="195">
        <v>37</v>
      </c>
      <c r="J58" s="2">
        <v>43</v>
      </c>
      <c r="K58" s="2" t="s">
        <v>124</v>
      </c>
      <c r="L58" s="223" t="s">
        <v>46</v>
      </c>
      <c r="M58" s="223" t="s">
        <v>19</v>
      </c>
      <c r="N58" s="223" t="s">
        <v>14</v>
      </c>
      <c r="O58" s="224">
        <v>1</v>
      </c>
      <c r="P58" s="2">
        <v>22</v>
      </c>
      <c r="Q58" s="195">
        <v>40</v>
      </c>
      <c r="S58" s="2">
        <v>43</v>
      </c>
      <c r="T58" s="2" t="s">
        <v>219</v>
      </c>
      <c r="U58" s="223" t="s">
        <v>46</v>
      </c>
      <c r="V58" s="223" t="s">
        <v>19</v>
      </c>
      <c r="W58" s="223" t="s">
        <v>14</v>
      </c>
      <c r="X58" s="224">
        <v>1</v>
      </c>
      <c r="Y58" s="2">
        <v>23</v>
      </c>
      <c r="Z58" s="195">
        <v>42</v>
      </c>
      <c r="AB58">
        <f t="shared" si="0"/>
        <v>2</v>
      </c>
      <c r="AD58" s="2">
        <v>43</v>
      </c>
      <c r="AE58" s="2" t="s">
        <v>219</v>
      </c>
      <c r="AF58" s="223" t="s">
        <v>46</v>
      </c>
      <c r="AG58" s="223" t="s">
        <v>19</v>
      </c>
      <c r="AH58" s="223" t="s">
        <v>14</v>
      </c>
      <c r="AI58" s="224">
        <v>1</v>
      </c>
      <c r="AJ58" s="2">
        <v>24</v>
      </c>
      <c r="AK58" s="195">
        <v>44</v>
      </c>
      <c r="AM58">
        <f t="shared" si="1"/>
        <v>2</v>
      </c>
      <c r="AN58">
        <v>2</v>
      </c>
      <c r="AO58" t="b">
        <f t="shared" si="2"/>
        <v>1</v>
      </c>
    </row>
    <row r="59" spans="1:41" x14ac:dyDescent="0.25">
      <c r="A59" s="2">
        <v>43</v>
      </c>
      <c r="B59" s="2" t="s">
        <v>315</v>
      </c>
      <c r="C59" s="223" t="s">
        <v>0</v>
      </c>
      <c r="D59" s="223" t="s">
        <v>18</v>
      </c>
      <c r="E59" s="223" t="s">
        <v>42</v>
      </c>
      <c r="F59" s="224">
        <v>1</v>
      </c>
      <c r="G59" s="2">
        <v>21</v>
      </c>
      <c r="H59" s="195">
        <v>0</v>
      </c>
      <c r="J59" s="2">
        <v>43</v>
      </c>
      <c r="K59" s="2" t="s">
        <v>125</v>
      </c>
      <c r="L59" s="223" t="s">
        <v>0</v>
      </c>
      <c r="M59" s="223" t="s">
        <v>18</v>
      </c>
      <c r="N59" s="223" t="s">
        <v>42</v>
      </c>
      <c r="O59" s="224">
        <v>1</v>
      </c>
      <c r="P59" s="2">
        <v>22</v>
      </c>
      <c r="Q59" s="195">
        <v>0</v>
      </c>
      <c r="S59" s="2">
        <v>43</v>
      </c>
      <c r="T59" s="2" t="s">
        <v>220</v>
      </c>
      <c r="U59" s="223" t="s">
        <v>0</v>
      </c>
      <c r="V59" s="223" t="s">
        <v>18</v>
      </c>
      <c r="W59" s="223" t="s">
        <v>42</v>
      </c>
      <c r="X59" s="224">
        <v>1</v>
      </c>
      <c r="Y59" s="2">
        <v>23</v>
      </c>
      <c r="Z59" s="195">
        <v>0</v>
      </c>
      <c r="AB59">
        <f t="shared" si="0"/>
        <v>0</v>
      </c>
      <c r="AD59" s="2">
        <v>43</v>
      </c>
      <c r="AE59" s="2" t="s">
        <v>220</v>
      </c>
      <c r="AF59" s="223" t="s">
        <v>0</v>
      </c>
      <c r="AG59" s="223" t="s">
        <v>18</v>
      </c>
      <c r="AH59" s="223" t="s">
        <v>42</v>
      </c>
      <c r="AI59" s="224">
        <v>1</v>
      </c>
      <c r="AJ59" s="2">
        <v>24</v>
      </c>
      <c r="AK59" s="195">
        <v>0</v>
      </c>
      <c r="AM59">
        <f t="shared" si="1"/>
        <v>0</v>
      </c>
      <c r="AN59">
        <v>0</v>
      </c>
      <c r="AO59" t="b">
        <f t="shared" si="2"/>
        <v>1</v>
      </c>
    </row>
    <row r="60" spans="1:41" x14ac:dyDescent="0.25">
      <c r="A60" s="2">
        <v>43</v>
      </c>
      <c r="B60" s="2" t="s">
        <v>316</v>
      </c>
      <c r="C60" s="223" t="s">
        <v>0</v>
      </c>
      <c r="D60" s="223" t="s">
        <v>18</v>
      </c>
      <c r="E60" s="352" t="s">
        <v>2</v>
      </c>
      <c r="F60" s="224">
        <v>2</v>
      </c>
      <c r="G60" s="2">
        <v>21</v>
      </c>
      <c r="H60" s="195">
        <v>2</v>
      </c>
      <c r="J60" s="2">
        <v>43</v>
      </c>
      <c r="K60" s="2" t="s">
        <v>126</v>
      </c>
      <c r="L60" s="223" t="s">
        <v>0</v>
      </c>
      <c r="M60" s="223" t="s">
        <v>18</v>
      </c>
      <c r="N60" s="352" t="s">
        <v>2</v>
      </c>
      <c r="O60" s="224">
        <v>2</v>
      </c>
      <c r="P60" s="2">
        <v>22</v>
      </c>
      <c r="Q60" s="195">
        <v>3</v>
      </c>
      <c r="S60" s="2">
        <v>43</v>
      </c>
      <c r="T60" s="2" t="s">
        <v>221</v>
      </c>
      <c r="U60" s="223" t="s">
        <v>0</v>
      </c>
      <c r="V60" s="223" t="s">
        <v>18</v>
      </c>
      <c r="W60" s="352" t="s">
        <v>2</v>
      </c>
      <c r="X60" s="224">
        <v>2</v>
      </c>
      <c r="Y60" s="2">
        <v>23</v>
      </c>
      <c r="Z60" s="195">
        <v>4</v>
      </c>
      <c r="AB60">
        <f t="shared" si="0"/>
        <v>1</v>
      </c>
      <c r="AD60" s="2">
        <v>43</v>
      </c>
      <c r="AE60" s="2" t="s">
        <v>221</v>
      </c>
      <c r="AF60" s="223" t="s">
        <v>0</v>
      </c>
      <c r="AG60" s="223" t="s">
        <v>18</v>
      </c>
      <c r="AH60" s="352" t="s">
        <v>2</v>
      </c>
      <c r="AI60" s="224">
        <v>2</v>
      </c>
      <c r="AJ60" s="2">
        <v>24</v>
      </c>
      <c r="AK60" s="195">
        <v>5</v>
      </c>
      <c r="AM60">
        <f t="shared" si="1"/>
        <v>1</v>
      </c>
      <c r="AN60">
        <v>1</v>
      </c>
      <c r="AO60" t="b">
        <f t="shared" si="2"/>
        <v>1</v>
      </c>
    </row>
    <row r="61" spans="1:41" x14ac:dyDescent="0.25">
      <c r="A61" s="2">
        <v>43</v>
      </c>
      <c r="B61" s="2" t="s">
        <v>317</v>
      </c>
      <c r="C61" s="223" t="s">
        <v>0</v>
      </c>
      <c r="D61" s="223" t="s">
        <v>18</v>
      </c>
      <c r="E61" s="352" t="s">
        <v>67</v>
      </c>
      <c r="F61" s="224">
        <v>1</v>
      </c>
      <c r="G61" s="2">
        <v>21</v>
      </c>
      <c r="H61" s="195">
        <v>3</v>
      </c>
      <c r="J61" s="2">
        <v>43</v>
      </c>
      <c r="K61" s="2" t="s">
        <v>127</v>
      </c>
      <c r="L61" s="223" t="s">
        <v>0</v>
      </c>
      <c r="M61" s="223" t="s">
        <v>18</v>
      </c>
      <c r="N61" s="352" t="s">
        <v>67</v>
      </c>
      <c r="O61" s="224">
        <v>1</v>
      </c>
      <c r="P61" s="2">
        <v>22</v>
      </c>
      <c r="Q61" s="195">
        <v>4</v>
      </c>
      <c r="S61" s="2">
        <v>43</v>
      </c>
      <c r="T61" s="2" t="s">
        <v>222</v>
      </c>
      <c r="U61" s="223" t="s">
        <v>0</v>
      </c>
      <c r="V61" s="223" t="s">
        <v>18</v>
      </c>
      <c r="W61" s="352" t="s">
        <v>67</v>
      </c>
      <c r="X61" s="224">
        <v>1</v>
      </c>
      <c r="Y61" s="2">
        <v>23</v>
      </c>
      <c r="Z61" s="195">
        <v>5</v>
      </c>
      <c r="AB61">
        <f t="shared" si="0"/>
        <v>1</v>
      </c>
      <c r="AD61" s="2">
        <v>43</v>
      </c>
      <c r="AE61" s="2" t="s">
        <v>222</v>
      </c>
      <c r="AF61" s="223" t="s">
        <v>0</v>
      </c>
      <c r="AG61" s="223" t="s">
        <v>18</v>
      </c>
      <c r="AH61" s="352" t="s">
        <v>67</v>
      </c>
      <c r="AI61" s="224">
        <v>1</v>
      </c>
      <c r="AJ61" s="2">
        <v>24</v>
      </c>
      <c r="AK61" s="195">
        <v>6</v>
      </c>
      <c r="AM61">
        <f t="shared" si="1"/>
        <v>1</v>
      </c>
      <c r="AN61">
        <v>1</v>
      </c>
      <c r="AO61" t="b">
        <f t="shared" si="2"/>
        <v>1</v>
      </c>
    </row>
    <row r="62" spans="1:41" x14ac:dyDescent="0.25">
      <c r="A62" s="2">
        <v>43</v>
      </c>
      <c r="B62" s="2" t="s">
        <v>318</v>
      </c>
      <c r="C62" s="223" t="s">
        <v>0</v>
      </c>
      <c r="D62" s="223" t="s">
        <v>18</v>
      </c>
      <c r="E62" s="223" t="s">
        <v>4</v>
      </c>
      <c r="F62" s="224">
        <v>2</v>
      </c>
      <c r="G62" s="2">
        <v>21</v>
      </c>
      <c r="H62" s="195">
        <v>4</v>
      </c>
      <c r="J62" s="2">
        <v>43</v>
      </c>
      <c r="K62" s="2" t="s">
        <v>128</v>
      </c>
      <c r="L62" s="223" t="s">
        <v>0</v>
      </c>
      <c r="M62" s="223" t="s">
        <v>18</v>
      </c>
      <c r="N62" s="223" t="s">
        <v>4</v>
      </c>
      <c r="O62" s="224">
        <v>2</v>
      </c>
      <c r="P62" s="2">
        <v>22</v>
      </c>
      <c r="Q62" s="195">
        <v>5</v>
      </c>
      <c r="S62" s="2">
        <v>43</v>
      </c>
      <c r="T62" s="2" t="s">
        <v>223</v>
      </c>
      <c r="U62" s="223" t="s">
        <v>0</v>
      </c>
      <c r="V62" s="223" t="s">
        <v>18</v>
      </c>
      <c r="W62" s="223" t="s">
        <v>4</v>
      </c>
      <c r="X62" s="224">
        <v>2</v>
      </c>
      <c r="Y62" s="2">
        <v>23</v>
      </c>
      <c r="Z62" s="195">
        <v>6</v>
      </c>
      <c r="AB62">
        <f t="shared" si="0"/>
        <v>1</v>
      </c>
      <c r="AD62" s="2">
        <v>43</v>
      </c>
      <c r="AE62" s="2" t="s">
        <v>223</v>
      </c>
      <c r="AF62" s="223" t="s">
        <v>0</v>
      </c>
      <c r="AG62" s="223" t="s">
        <v>18</v>
      </c>
      <c r="AH62" s="223" t="s">
        <v>4</v>
      </c>
      <c r="AI62" s="224">
        <v>2</v>
      </c>
      <c r="AJ62" s="2">
        <v>24</v>
      </c>
      <c r="AK62" s="195">
        <v>7</v>
      </c>
      <c r="AM62">
        <f t="shared" si="1"/>
        <v>1</v>
      </c>
      <c r="AN62">
        <v>1</v>
      </c>
      <c r="AO62" t="b">
        <f t="shared" si="2"/>
        <v>1</v>
      </c>
    </row>
    <row r="63" spans="1:41" x14ac:dyDescent="0.25">
      <c r="A63" s="2">
        <v>43</v>
      </c>
      <c r="B63" s="2" t="s">
        <v>319</v>
      </c>
      <c r="C63" s="223" t="s">
        <v>0</v>
      </c>
      <c r="D63" s="223" t="s">
        <v>18</v>
      </c>
      <c r="E63" s="223" t="s">
        <v>10</v>
      </c>
      <c r="F63" s="224">
        <v>1</v>
      </c>
      <c r="G63" s="2">
        <v>21</v>
      </c>
      <c r="H63" s="195">
        <v>6</v>
      </c>
      <c r="J63" s="2">
        <v>43</v>
      </c>
      <c r="K63" s="2" t="s">
        <v>129</v>
      </c>
      <c r="L63" s="223" t="s">
        <v>0</v>
      </c>
      <c r="M63" s="223" t="s">
        <v>18</v>
      </c>
      <c r="N63" s="223" t="s">
        <v>10</v>
      </c>
      <c r="O63" s="224">
        <v>1</v>
      </c>
      <c r="P63" s="2">
        <v>22</v>
      </c>
      <c r="Q63" s="195">
        <v>7</v>
      </c>
      <c r="S63" s="2">
        <v>43</v>
      </c>
      <c r="T63" s="2" t="s">
        <v>224</v>
      </c>
      <c r="U63" s="223" t="s">
        <v>0</v>
      </c>
      <c r="V63" s="223" t="s">
        <v>18</v>
      </c>
      <c r="W63" s="223" t="s">
        <v>10</v>
      </c>
      <c r="X63" s="224">
        <v>1</v>
      </c>
      <c r="Y63" s="2">
        <v>23</v>
      </c>
      <c r="Z63" s="195">
        <v>8</v>
      </c>
      <c r="AB63">
        <f t="shared" si="0"/>
        <v>1</v>
      </c>
      <c r="AD63" s="2">
        <v>43</v>
      </c>
      <c r="AE63" s="2" t="s">
        <v>224</v>
      </c>
      <c r="AF63" s="223" t="s">
        <v>0</v>
      </c>
      <c r="AG63" s="223" t="s">
        <v>18</v>
      </c>
      <c r="AH63" s="223" t="s">
        <v>10</v>
      </c>
      <c r="AI63" s="224">
        <v>1</v>
      </c>
      <c r="AJ63" s="2">
        <v>24</v>
      </c>
      <c r="AK63" s="195">
        <v>9</v>
      </c>
      <c r="AM63">
        <f t="shared" si="1"/>
        <v>1</v>
      </c>
      <c r="AN63">
        <v>1</v>
      </c>
      <c r="AO63" t="b">
        <f t="shared" si="2"/>
        <v>1</v>
      </c>
    </row>
    <row r="64" spans="1:41" x14ac:dyDescent="0.25">
      <c r="A64" s="2">
        <v>43</v>
      </c>
      <c r="B64" s="2" t="s">
        <v>320</v>
      </c>
      <c r="C64" s="223" t="s">
        <v>0</v>
      </c>
      <c r="D64" s="223" t="s">
        <v>18</v>
      </c>
      <c r="E64" s="223" t="s">
        <v>8</v>
      </c>
      <c r="F64" s="224">
        <v>2</v>
      </c>
      <c r="G64" s="2">
        <v>21</v>
      </c>
      <c r="H64" s="195">
        <v>8</v>
      </c>
      <c r="J64" s="2">
        <v>43</v>
      </c>
      <c r="K64" s="2" t="s">
        <v>130</v>
      </c>
      <c r="L64" s="223" t="s">
        <v>0</v>
      </c>
      <c r="M64" s="223" t="s">
        <v>18</v>
      </c>
      <c r="N64" s="223" t="s">
        <v>8</v>
      </c>
      <c r="O64" s="224">
        <v>2</v>
      </c>
      <c r="P64" s="2">
        <v>22</v>
      </c>
      <c r="Q64" s="195">
        <v>9</v>
      </c>
      <c r="S64" s="2">
        <v>43</v>
      </c>
      <c r="T64" s="2" t="s">
        <v>225</v>
      </c>
      <c r="U64" s="223" t="s">
        <v>0</v>
      </c>
      <c r="V64" s="223" t="s">
        <v>18</v>
      </c>
      <c r="W64" s="223" t="s">
        <v>8</v>
      </c>
      <c r="X64" s="224">
        <v>2</v>
      </c>
      <c r="Y64" s="2">
        <v>23</v>
      </c>
      <c r="Z64" s="195">
        <v>10</v>
      </c>
      <c r="AB64">
        <f t="shared" si="0"/>
        <v>1</v>
      </c>
      <c r="AD64" s="2">
        <v>43</v>
      </c>
      <c r="AE64" s="2" t="s">
        <v>225</v>
      </c>
      <c r="AF64" s="223" t="s">
        <v>0</v>
      </c>
      <c r="AG64" s="223" t="s">
        <v>18</v>
      </c>
      <c r="AH64" s="223" t="s">
        <v>8</v>
      </c>
      <c r="AI64" s="224">
        <v>2</v>
      </c>
      <c r="AJ64" s="2">
        <v>24</v>
      </c>
      <c r="AK64" s="195">
        <v>11</v>
      </c>
      <c r="AM64">
        <f t="shared" si="1"/>
        <v>1</v>
      </c>
      <c r="AN64">
        <v>1</v>
      </c>
      <c r="AO64" t="b">
        <f t="shared" si="2"/>
        <v>1</v>
      </c>
    </row>
    <row r="65" spans="1:41" x14ac:dyDescent="0.25">
      <c r="A65" s="2">
        <v>43</v>
      </c>
      <c r="B65" s="2" t="s">
        <v>321</v>
      </c>
      <c r="C65" s="223" t="s">
        <v>0</v>
      </c>
      <c r="D65" s="223" t="s">
        <v>18</v>
      </c>
      <c r="E65" s="223" t="s">
        <v>3</v>
      </c>
      <c r="F65" s="224">
        <v>1</v>
      </c>
      <c r="G65" s="2">
        <v>21</v>
      </c>
      <c r="H65" s="195">
        <v>11</v>
      </c>
      <c r="J65" s="2">
        <v>43</v>
      </c>
      <c r="K65" s="2" t="s">
        <v>131</v>
      </c>
      <c r="L65" s="223" t="s">
        <v>0</v>
      </c>
      <c r="M65" s="223" t="s">
        <v>18</v>
      </c>
      <c r="N65" s="223" t="s">
        <v>3</v>
      </c>
      <c r="O65" s="224">
        <v>1</v>
      </c>
      <c r="P65" s="2">
        <v>22</v>
      </c>
      <c r="Q65" s="195">
        <v>12</v>
      </c>
      <c r="S65" s="2">
        <v>43</v>
      </c>
      <c r="T65" s="2" t="s">
        <v>226</v>
      </c>
      <c r="U65" s="223" t="s">
        <v>0</v>
      </c>
      <c r="V65" s="223" t="s">
        <v>18</v>
      </c>
      <c r="W65" s="223" t="s">
        <v>3</v>
      </c>
      <c r="X65" s="224">
        <v>1</v>
      </c>
      <c r="Y65" s="2">
        <v>23</v>
      </c>
      <c r="Z65" s="195">
        <v>13</v>
      </c>
      <c r="AB65">
        <f t="shared" si="0"/>
        <v>1</v>
      </c>
      <c r="AD65" s="2">
        <v>43</v>
      </c>
      <c r="AE65" s="2" t="s">
        <v>226</v>
      </c>
      <c r="AF65" s="223" t="s">
        <v>0</v>
      </c>
      <c r="AG65" s="223" t="s">
        <v>18</v>
      </c>
      <c r="AH65" s="223" t="s">
        <v>3</v>
      </c>
      <c r="AI65" s="224">
        <v>1</v>
      </c>
      <c r="AJ65" s="2">
        <v>24</v>
      </c>
      <c r="AK65" s="195">
        <v>14</v>
      </c>
      <c r="AM65">
        <f t="shared" si="1"/>
        <v>1</v>
      </c>
      <c r="AN65">
        <v>1</v>
      </c>
      <c r="AO65" t="b">
        <f t="shared" si="2"/>
        <v>1</v>
      </c>
    </row>
    <row r="66" spans="1:41" x14ac:dyDescent="0.25">
      <c r="A66" s="2">
        <v>43</v>
      </c>
      <c r="B66" s="2" t="s">
        <v>322</v>
      </c>
      <c r="C66" s="223" t="s">
        <v>0</v>
      </c>
      <c r="D66" s="223" t="s">
        <v>18</v>
      </c>
      <c r="E66" s="223" t="s">
        <v>6</v>
      </c>
      <c r="F66" s="224">
        <v>2</v>
      </c>
      <c r="G66" s="2">
        <v>21</v>
      </c>
      <c r="H66" s="195">
        <v>14</v>
      </c>
      <c r="J66" s="2">
        <v>43</v>
      </c>
      <c r="K66" s="2" t="s">
        <v>132</v>
      </c>
      <c r="L66" s="223" t="s">
        <v>0</v>
      </c>
      <c r="M66" s="223" t="s">
        <v>18</v>
      </c>
      <c r="N66" s="223" t="s">
        <v>6</v>
      </c>
      <c r="O66" s="224">
        <v>2</v>
      </c>
      <c r="P66" s="2">
        <v>22</v>
      </c>
      <c r="Q66" s="195">
        <v>15</v>
      </c>
      <c r="S66" s="2">
        <v>43</v>
      </c>
      <c r="T66" s="2" t="s">
        <v>227</v>
      </c>
      <c r="U66" s="223" t="s">
        <v>0</v>
      </c>
      <c r="V66" s="223" t="s">
        <v>18</v>
      </c>
      <c r="W66" s="223" t="s">
        <v>6</v>
      </c>
      <c r="X66" s="224">
        <v>2</v>
      </c>
      <c r="Y66" s="2">
        <v>23</v>
      </c>
      <c r="Z66" s="195">
        <v>16</v>
      </c>
      <c r="AB66">
        <f t="shared" si="0"/>
        <v>1</v>
      </c>
      <c r="AD66" s="2">
        <v>43</v>
      </c>
      <c r="AE66" s="2" t="s">
        <v>227</v>
      </c>
      <c r="AF66" s="223" t="s">
        <v>0</v>
      </c>
      <c r="AG66" s="223" t="s">
        <v>18</v>
      </c>
      <c r="AH66" s="223" t="s">
        <v>6</v>
      </c>
      <c r="AI66" s="224">
        <v>2</v>
      </c>
      <c r="AJ66" s="2">
        <v>24</v>
      </c>
      <c r="AK66" s="195">
        <v>17</v>
      </c>
      <c r="AM66">
        <f t="shared" si="1"/>
        <v>1</v>
      </c>
      <c r="AN66">
        <v>1</v>
      </c>
      <c r="AO66" t="b">
        <f t="shared" si="2"/>
        <v>1</v>
      </c>
    </row>
    <row r="67" spans="1:41" x14ac:dyDescent="0.25">
      <c r="A67" s="2">
        <v>43</v>
      </c>
      <c r="B67" s="2" t="s">
        <v>323</v>
      </c>
      <c r="C67" s="223" t="s">
        <v>0</v>
      </c>
      <c r="D67" s="223" t="s">
        <v>18</v>
      </c>
      <c r="E67" s="223" t="s">
        <v>47</v>
      </c>
      <c r="F67" s="224">
        <v>1</v>
      </c>
      <c r="G67" s="2">
        <v>21</v>
      </c>
      <c r="H67" s="195">
        <v>16</v>
      </c>
      <c r="J67" s="2">
        <v>43</v>
      </c>
      <c r="K67" s="2" t="s">
        <v>133</v>
      </c>
      <c r="L67" s="223" t="s">
        <v>0</v>
      </c>
      <c r="M67" s="223" t="s">
        <v>18</v>
      </c>
      <c r="N67" s="223" t="s">
        <v>47</v>
      </c>
      <c r="O67" s="224">
        <v>1</v>
      </c>
      <c r="P67" s="2">
        <v>22</v>
      </c>
      <c r="Q67" s="195">
        <v>17</v>
      </c>
      <c r="S67" s="2">
        <v>43</v>
      </c>
      <c r="T67" s="2" t="s">
        <v>228</v>
      </c>
      <c r="U67" s="223" t="s">
        <v>0</v>
      </c>
      <c r="V67" s="223" t="s">
        <v>18</v>
      </c>
      <c r="W67" s="223" t="s">
        <v>47</v>
      </c>
      <c r="X67" s="224">
        <v>1</v>
      </c>
      <c r="Y67" s="2">
        <v>23</v>
      </c>
      <c r="Z67" s="195">
        <v>18</v>
      </c>
      <c r="AB67">
        <f t="shared" ref="AB67:AB96" si="3">Z67-Q67</f>
        <v>1</v>
      </c>
      <c r="AD67" s="2">
        <v>43</v>
      </c>
      <c r="AE67" s="2" t="s">
        <v>228</v>
      </c>
      <c r="AF67" s="223" t="s">
        <v>0</v>
      </c>
      <c r="AG67" s="223" t="s">
        <v>18</v>
      </c>
      <c r="AH67" s="223" t="s">
        <v>47</v>
      </c>
      <c r="AI67" s="224">
        <v>1</v>
      </c>
      <c r="AJ67" s="2">
        <v>24</v>
      </c>
      <c r="AK67" s="195">
        <v>19</v>
      </c>
      <c r="AM67">
        <f t="shared" ref="AM67:AM96" si="4">AK67-Z67</f>
        <v>1</v>
      </c>
      <c r="AN67">
        <v>1</v>
      </c>
      <c r="AO67" t="b">
        <f t="shared" ref="AO67:AO96" si="5">AB67=AM67</f>
        <v>1</v>
      </c>
    </row>
    <row r="68" spans="1:41" x14ac:dyDescent="0.25">
      <c r="A68" s="2">
        <v>43</v>
      </c>
      <c r="B68" s="2" t="s">
        <v>324</v>
      </c>
      <c r="C68" s="223" t="s">
        <v>0</v>
      </c>
      <c r="D68" s="223" t="s">
        <v>18</v>
      </c>
      <c r="E68" s="223" t="s">
        <v>12</v>
      </c>
      <c r="F68" s="224">
        <v>2</v>
      </c>
      <c r="G68" s="2">
        <v>21</v>
      </c>
      <c r="H68" s="195">
        <v>19</v>
      </c>
      <c r="J68" s="2">
        <v>43</v>
      </c>
      <c r="K68" s="2" t="s">
        <v>134</v>
      </c>
      <c r="L68" s="223" t="s">
        <v>0</v>
      </c>
      <c r="M68" s="223" t="s">
        <v>18</v>
      </c>
      <c r="N68" s="223" t="s">
        <v>12</v>
      </c>
      <c r="O68" s="224">
        <v>2</v>
      </c>
      <c r="P68" s="2">
        <v>22</v>
      </c>
      <c r="Q68" s="195">
        <v>20</v>
      </c>
      <c r="S68" s="2">
        <v>43</v>
      </c>
      <c r="T68" s="2" t="s">
        <v>229</v>
      </c>
      <c r="U68" s="223" t="s">
        <v>0</v>
      </c>
      <c r="V68" s="223" t="s">
        <v>18</v>
      </c>
      <c r="W68" s="223" t="s">
        <v>12</v>
      </c>
      <c r="X68" s="224">
        <v>2</v>
      </c>
      <c r="Y68" s="2">
        <v>23</v>
      </c>
      <c r="Z68" s="195">
        <v>21</v>
      </c>
      <c r="AB68">
        <f t="shared" si="3"/>
        <v>1</v>
      </c>
      <c r="AD68" s="2">
        <v>43</v>
      </c>
      <c r="AE68" s="2" t="s">
        <v>229</v>
      </c>
      <c r="AF68" s="223" t="s">
        <v>0</v>
      </c>
      <c r="AG68" s="223" t="s">
        <v>18</v>
      </c>
      <c r="AH68" s="223" t="s">
        <v>12</v>
      </c>
      <c r="AI68" s="224">
        <v>2</v>
      </c>
      <c r="AJ68" s="2">
        <v>24</v>
      </c>
      <c r="AK68" s="195">
        <v>22</v>
      </c>
      <c r="AM68">
        <f t="shared" si="4"/>
        <v>1</v>
      </c>
      <c r="AN68">
        <v>1</v>
      </c>
      <c r="AO68" t="b">
        <f t="shared" si="5"/>
        <v>1</v>
      </c>
    </row>
    <row r="69" spans="1:41" x14ac:dyDescent="0.25">
      <c r="A69" s="2">
        <v>43</v>
      </c>
      <c r="B69" s="2" t="s">
        <v>325</v>
      </c>
      <c r="C69" s="223" t="s">
        <v>0</v>
      </c>
      <c r="D69" s="223" t="s">
        <v>19</v>
      </c>
      <c r="E69" s="223" t="s">
        <v>9</v>
      </c>
      <c r="F69" s="224">
        <v>1</v>
      </c>
      <c r="G69" s="2">
        <v>21</v>
      </c>
      <c r="H69" s="195">
        <v>0</v>
      </c>
      <c r="J69" s="2">
        <v>43</v>
      </c>
      <c r="K69" s="2" t="s">
        <v>135</v>
      </c>
      <c r="L69" s="223" t="s">
        <v>0</v>
      </c>
      <c r="M69" s="223" t="s">
        <v>19</v>
      </c>
      <c r="N69" s="223" t="s">
        <v>9</v>
      </c>
      <c r="O69" s="224">
        <v>1</v>
      </c>
      <c r="P69" s="2">
        <v>22</v>
      </c>
      <c r="Q69" s="195">
        <v>0</v>
      </c>
      <c r="S69" s="2">
        <v>43</v>
      </c>
      <c r="T69" s="2" t="s">
        <v>230</v>
      </c>
      <c r="U69" s="223" t="s">
        <v>0</v>
      </c>
      <c r="V69" s="223" t="s">
        <v>19</v>
      </c>
      <c r="W69" s="223" t="s">
        <v>9</v>
      </c>
      <c r="X69" s="224">
        <v>1</v>
      </c>
      <c r="Y69" s="2">
        <v>23</v>
      </c>
      <c r="Z69" s="195">
        <v>0</v>
      </c>
      <c r="AB69">
        <f t="shared" si="3"/>
        <v>0</v>
      </c>
      <c r="AD69" s="2">
        <v>43</v>
      </c>
      <c r="AE69" s="2" t="s">
        <v>230</v>
      </c>
      <c r="AF69" s="223" t="s">
        <v>0</v>
      </c>
      <c r="AG69" s="223" t="s">
        <v>19</v>
      </c>
      <c r="AH69" s="223" t="s">
        <v>9</v>
      </c>
      <c r="AI69" s="224">
        <v>1</v>
      </c>
      <c r="AJ69" s="2">
        <v>24</v>
      </c>
      <c r="AK69" s="195">
        <v>0</v>
      </c>
      <c r="AM69">
        <f t="shared" si="4"/>
        <v>0</v>
      </c>
      <c r="AN69">
        <v>0</v>
      </c>
      <c r="AO69" t="b">
        <f t="shared" si="5"/>
        <v>1</v>
      </c>
    </row>
    <row r="70" spans="1:41" x14ac:dyDescent="0.25">
      <c r="A70" s="2">
        <v>43</v>
      </c>
      <c r="B70" s="2" t="s">
        <v>326</v>
      </c>
      <c r="C70" s="223" t="s">
        <v>0</v>
      </c>
      <c r="D70" s="223" t="s">
        <v>19</v>
      </c>
      <c r="E70" s="223" t="s">
        <v>41</v>
      </c>
      <c r="F70" s="224">
        <v>2</v>
      </c>
      <c r="G70" s="2">
        <v>21</v>
      </c>
      <c r="H70" s="195">
        <v>3</v>
      </c>
      <c r="J70" s="2">
        <v>43</v>
      </c>
      <c r="K70" s="2" t="s">
        <v>136</v>
      </c>
      <c r="L70" s="223" t="s">
        <v>0</v>
      </c>
      <c r="M70" s="223" t="s">
        <v>19</v>
      </c>
      <c r="N70" s="223" t="s">
        <v>41</v>
      </c>
      <c r="O70" s="224">
        <v>2</v>
      </c>
      <c r="P70" s="2">
        <v>22</v>
      </c>
      <c r="Q70" s="195">
        <v>4</v>
      </c>
      <c r="S70" s="2">
        <v>43</v>
      </c>
      <c r="T70" s="2" t="s">
        <v>231</v>
      </c>
      <c r="U70" s="223" t="s">
        <v>0</v>
      </c>
      <c r="V70" s="223" t="s">
        <v>19</v>
      </c>
      <c r="W70" s="223" t="s">
        <v>41</v>
      </c>
      <c r="X70" s="224">
        <v>2</v>
      </c>
      <c r="Y70" s="2">
        <v>23</v>
      </c>
      <c r="Z70" s="195">
        <v>5</v>
      </c>
      <c r="AB70">
        <f t="shared" si="3"/>
        <v>1</v>
      </c>
      <c r="AD70" s="2">
        <v>43</v>
      </c>
      <c r="AE70" s="2" t="s">
        <v>231</v>
      </c>
      <c r="AF70" s="223" t="s">
        <v>0</v>
      </c>
      <c r="AG70" s="223" t="s">
        <v>19</v>
      </c>
      <c r="AH70" s="223" t="s">
        <v>41</v>
      </c>
      <c r="AI70" s="224">
        <v>2</v>
      </c>
      <c r="AJ70" s="2">
        <v>24</v>
      </c>
      <c r="AK70" s="195">
        <v>6</v>
      </c>
      <c r="AM70">
        <f t="shared" si="4"/>
        <v>1</v>
      </c>
      <c r="AN70">
        <v>1</v>
      </c>
      <c r="AO70" t="b">
        <f t="shared" si="5"/>
        <v>1</v>
      </c>
    </row>
    <row r="71" spans="1:41" x14ac:dyDescent="0.25">
      <c r="A71" s="2">
        <v>43</v>
      </c>
      <c r="B71" s="2" t="s">
        <v>327</v>
      </c>
      <c r="C71" s="223" t="s">
        <v>0</v>
      </c>
      <c r="D71" s="223" t="s">
        <v>19</v>
      </c>
      <c r="E71" s="223" t="s">
        <v>40</v>
      </c>
      <c r="F71" s="224">
        <v>1</v>
      </c>
      <c r="G71" s="2">
        <v>21</v>
      </c>
      <c r="H71" s="195">
        <v>6</v>
      </c>
      <c r="J71" s="2">
        <v>43</v>
      </c>
      <c r="K71" s="2" t="s">
        <v>137</v>
      </c>
      <c r="L71" s="223" t="s">
        <v>0</v>
      </c>
      <c r="M71" s="223" t="s">
        <v>19</v>
      </c>
      <c r="N71" s="223" t="s">
        <v>40</v>
      </c>
      <c r="O71" s="224">
        <v>1</v>
      </c>
      <c r="P71" s="2">
        <v>22</v>
      </c>
      <c r="Q71" s="195">
        <v>7</v>
      </c>
      <c r="S71" s="2">
        <v>43</v>
      </c>
      <c r="T71" s="2" t="s">
        <v>232</v>
      </c>
      <c r="U71" s="223" t="s">
        <v>0</v>
      </c>
      <c r="V71" s="223" t="s">
        <v>19</v>
      </c>
      <c r="W71" s="223" t="s">
        <v>40</v>
      </c>
      <c r="X71" s="224">
        <v>1</v>
      </c>
      <c r="Y71" s="2">
        <v>23</v>
      </c>
      <c r="Z71" s="195">
        <v>8</v>
      </c>
      <c r="AB71">
        <f t="shared" si="3"/>
        <v>1</v>
      </c>
      <c r="AD71" s="2">
        <v>43</v>
      </c>
      <c r="AE71" s="2" t="s">
        <v>232</v>
      </c>
      <c r="AF71" s="223" t="s">
        <v>0</v>
      </c>
      <c r="AG71" s="223" t="s">
        <v>19</v>
      </c>
      <c r="AH71" s="223" t="s">
        <v>40</v>
      </c>
      <c r="AI71" s="224">
        <v>1</v>
      </c>
      <c r="AJ71" s="2">
        <v>24</v>
      </c>
      <c r="AK71" s="195">
        <v>9</v>
      </c>
      <c r="AM71">
        <f t="shared" si="4"/>
        <v>1</v>
      </c>
      <c r="AN71">
        <v>1</v>
      </c>
      <c r="AO71" t="b">
        <f t="shared" si="5"/>
        <v>1</v>
      </c>
    </row>
    <row r="72" spans="1:41" x14ac:dyDescent="0.25">
      <c r="A72" s="2">
        <v>43</v>
      </c>
      <c r="B72" s="2" t="s">
        <v>328</v>
      </c>
      <c r="C72" s="223" t="s">
        <v>0</v>
      </c>
      <c r="D72" s="223" t="s">
        <v>19</v>
      </c>
      <c r="E72" s="223" t="s">
        <v>13</v>
      </c>
      <c r="F72" s="224">
        <v>2</v>
      </c>
      <c r="G72" s="2">
        <v>21</v>
      </c>
      <c r="H72" s="195">
        <v>8</v>
      </c>
      <c r="J72" s="2">
        <v>43</v>
      </c>
      <c r="K72" s="2" t="s">
        <v>138</v>
      </c>
      <c r="L72" s="223" t="s">
        <v>0</v>
      </c>
      <c r="M72" s="223" t="s">
        <v>19</v>
      </c>
      <c r="N72" s="223" t="s">
        <v>13</v>
      </c>
      <c r="O72" s="224">
        <v>2</v>
      </c>
      <c r="P72" s="2">
        <v>22</v>
      </c>
      <c r="Q72" s="195">
        <v>9</v>
      </c>
      <c r="S72" s="2">
        <v>43</v>
      </c>
      <c r="T72" s="2" t="s">
        <v>233</v>
      </c>
      <c r="U72" s="223" t="s">
        <v>0</v>
      </c>
      <c r="V72" s="223" t="s">
        <v>19</v>
      </c>
      <c r="W72" s="223" t="s">
        <v>13</v>
      </c>
      <c r="X72" s="224">
        <v>2</v>
      </c>
      <c r="Y72" s="2">
        <v>23</v>
      </c>
      <c r="Z72" s="195">
        <v>10</v>
      </c>
      <c r="AB72">
        <f t="shared" si="3"/>
        <v>1</v>
      </c>
      <c r="AD72" s="2">
        <v>43</v>
      </c>
      <c r="AE72" s="2" t="s">
        <v>233</v>
      </c>
      <c r="AF72" s="223" t="s">
        <v>0</v>
      </c>
      <c r="AG72" s="223" t="s">
        <v>19</v>
      </c>
      <c r="AH72" s="223" t="s">
        <v>13</v>
      </c>
      <c r="AI72" s="224">
        <v>2</v>
      </c>
      <c r="AJ72" s="2">
        <v>24</v>
      </c>
      <c r="AK72" s="195">
        <v>11</v>
      </c>
      <c r="AM72">
        <f t="shared" si="4"/>
        <v>1</v>
      </c>
      <c r="AN72">
        <v>1</v>
      </c>
      <c r="AO72" t="b">
        <f t="shared" si="5"/>
        <v>1</v>
      </c>
    </row>
    <row r="73" spans="1:41" x14ac:dyDescent="0.25">
      <c r="A73" s="2">
        <v>43</v>
      </c>
      <c r="B73" s="2" t="s">
        <v>329</v>
      </c>
      <c r="C73" s="223" t="s">
        <v>0</v>
      </c>
      <c r="D73" s="223" t="s">
        <v>19</v>
      </c>
      <c r="E73" s="223" t="s">
        <v>15</v>
      </c>
      <c r="F73" s="224">
        <v>1</v>
      </c>
      <c r="G73" s="2">
        <v>21</v>
      </c>
      <c r="H73" s="195">
        <v>11</v>
      </c>
      <c r="J73" s="2">
        <v>43</v>
      </c>
      <c r="K73" s="2" t="s">
        <v>139</v>
      </c>
      <c r="L73" s="223" t="s">
        <v>0</v>
      </c>
      <c r="M73" s="223" t="s">
        <v>19</v>
      </c>
      <c r="N73" s="223" t="s">
        <v>15</v>
      </c>
      <c r="O73" s="224">
        <v>1</v>
      </c>
      <c r="P73" s="2">
        <v>22</v>
      </c>
      <c r="Q73" s="195">
        <v>12</v>
      </c>
      <c r="S73" s="2">
        <v>43</v>
      </c>
      <c r="T73" s="2" t="s">
        <v>234</v>
      </c>
      <c r="U73" s="223" t="s">
        <v>0</v>
      </c>
      <c r="V73" s="223" t="s">
        <v>19</v>
      </c>
      <c r="W73" s="223" t="s">
        <v>15</v>
      </c>
      <c r="X73" s="224">
        <v>1</v>
      </c>
      <c r="Y73" s="2">
        <v>23</v>
      </c>
      <c r="Z73" s="195">
        <v>13</v>
      </c>
      <c r="AB73">
        <f t="shared" si="3"/>
        <v>1</v>
      </c>
      <c r="AD73" s="2">
        <v>43</v>
      </c>
      <c r="AE73" s="2" t="s">
        <v>234</v>
      </c>
      <c r="AF73" s="223" t="s">
        <v>0</v>
      </c>
      <c r="AG73" s="223" t="s">
        <v>19</v>
      </c>
      <c r="AH73" s="223" t="s">
        <v>15</v>
      </c>
      <c r="AI73" s="224">
        <v>1</v>
      </c>
      <c r="AJ73" s="2">
        <v>24</v>
      </c>
      <c r="AK73" s="195">
        <v>14</v>
      </c>
      <c r="AM73">
        <f t="shared" si="4"/>
        <v>1</v>
      </c>
      <c r="AN73">
        <v>1</v>
      </c>
      <c r="AO73" t="b">
        <f t="shared" si="5"/>
        <v>1</v>
      </c>
    </row>
    <row r="74" spans="1:41" x14ac:dyDescent="0.25">
      <c r="A74" s="2">
        <v>43</v>
      </c>
      <c r="B74" s="2" t="s">
        <v>330</v>
      </c>
      <c r="C74" s="223" t="s">
        <v>0</v>
      </c>
      <c r="D74" s="223" t="s">
        <v>19</v>
      </c>
      <c r="E74" s="223" t="s">
        <v>11</v>
      </c>
      <c r="F74" s="224">
        <v>2</v>
      </c>
      <c r="G74" s="2">
        <v>21</v>
      </c>
      <c r="H74" s="195">
        <v>13</v>
      </c>
      <c r="J74" s="2">
        <v>43</v>
      </c>
      <c r="K74" s="2" t="s">
        <v>140</v>
      </c>
      <c r="L74" s="223" t="s">
        <v>0</v>
      </c>
      <c r="M74" s="223" t="s">
        <v>19</v>
      </c>
      <c r="N74" s="223" t="s">
        <v>11</v>
      </c>
      <c r="O74" s="224">
        <v>2</v>
      </c>
      <c r="P74" s="2">
        <v>22</v>
      </c>
      <c r="Q74" s="195">
        <v>14</v>
      </c>
      <c r="S74" s="2">
        <v>43</v>
      </c>
      <c r="T74" s="2" t="s">
        <v>235</v>
      </c>
      <c r="U74" s="223" t="s">
        <v>0</v>
      </c>
      <c r="V74" s="223" t="s">
        <v>19</v>
      </c>
      <c r="W74" s="223" t="s">
        <v>11</v>
      </c>
      <c r="X74" s="224">
        <v>2</v>
      </c>
      <c r="Y74" s="2">
        <v>23</v>
      </c>
      <c r="Z74" s="195">
        <v>15</v>
      </c>
      <c r="AB74">
        <f t="shared" si="3"/>
        <v>1</v>
      </c>
      <c r="AD74" s="2">
        <v>43</v>
      </c>
      <c r="AE74" s="2" t="s">
        <v>235</v>
      </c>
      <c r="AF74" s="223" t="s">
        <v>0</v>
      </c>
      <c r="AG74" s="223" t="s">
        <v>19</v>
      </c>
      <c r="AH74" s="223" t="s">
        <v>11</v>
      </c>
      <c r="AI74" s="224">
        <v>2</v>
      </c>
      <c r="AJ74" s="2">
        <v>24</v>
      </c>
      <c r="AK74" s="195">
        <v>16</v>
      </c>
      <c r="AM74">
        <f t="shared" si="4"/>
        <v>1</v>
      </c>
      <c r="AN74">
        <v>1</v>
      </c>
      <c r="AO74" t="b">
        <f t="shared" si="5"/>
        <v>1</v>
      </c>
    </row>
    <row r="75" spans="1:41" x14ac:dyDescent="0.25">
      <c r="A75" s="2">
        <v>43</v>
      </c>
      <c r="B75" s="2" t="s">
        <v>331</v>
      </c>
      <c r="C75" s="223" t="s">
        <v>0</v>
      </c>
      <c r="D75" s="223" t="s">
        <v>19</v>
      </c>
      <c r="E75" s="223" t="s">
        <v>59</v>
      </c>
      <c r="F75" s="224">
        <v>1</v>
      </c>
      <c r="G75" s="195">
        <v>21</v>
      </c>
      <c r="H75" s="195">
        <v>15</v>
      </c>
      <c r="J75" s="2">
        <v>43</v>
      </c>
      <c r="K75" s="2" t="s">
        <v>141</v>
      </c>
      <c r="L75" s="223" t="s">
        <v>0</v>
      </c>
      <c r="M75" s="223" t="s">
        <v>19</v>
      </c>
      <c r="N75" s="223" t="s">
        <v>59</v>
      </c>
      <c r="O75" s="224">
        <v>1</v>
      </c>
      <c r="P75" s="2">
        <v>22</v>
      </c>
      <c r="Q75" s="195">
        <v>16</v>
      </c>
      <c r="S75" s="2">
        <v>43</v>
      </c>
      <c r="T75" s="2" t="s">
        <v>236</v>
      </c>
      <c r="U75" s="223" t="s">
        <v>0</v>
      </c>
      <c r="V75" s="223" t="s">
        <v>19</v>
      </c>
      <c r="W75" s="223" t="s">
        <v>59</v>
      </c>
      <c r="X75" s="224">
        <v>1</v>
      </c>
      <c r="Y75" s="2">
        <v>23</v>
      </c>
      <c r="Z75" s="195">
        <v>17</v>
      </c>
      <c r="AB75">
        <f t="shared" si="3"/>
        <v>1</v>
      </c>
      <c r="AD75" s="2">
        <v>43</v>
      </c>
      <c r="AE75" s="2" t="s">
        <v>236</v>
      </c>
      <c r="AF75" s="223" t="s">
        <v>0</v>
      </c>
      <c r="AG75" s="223" t="s">
        <v>19</v>
      </c>
      <c r="AH75" s="223" t="s">
        <v>59</v>
      </c>
      <c r="AI75" s="224">
        <v>1</v>
      </c>
      <c r="AJ75" s="2">
        <v>24</v>
      </c>
      <c r="AK75" s="195">
        <v>18</v>
      </c>
      <c r="AM75">
        <f t="shared" si="4"/>
        <v>1</v>
      </c>
      <c r="AN75">
        <v>1</v>
      </c>
      <c r="AO75" t="b">
        <f t="shared" si="5"/>
        <v>1</v>
      </c>
    </row>
    <row r="76" spans="1:41" x14ac:dyDescent="0.25">
      <c r="A76" s="2">
        <v>43</v>
      </c>
      <c r="B76" s="2" t="s">
        <v>332</v>
      </c>
      <c r="C76" s="223" t="s">
        <v>0</v>
      </c>
      <c r="D76" s="223" t="s">
        <v>19</v>
      </c>
      <c r="E76" s="223" t="s">
        <v>7</v>
      </c>
      <c r="F76" s="224">
        <v>2</v>
      </c>
      <c r="G76" s="2">
        <v>21</v>
      </c>
      <c r="H76" s="195">
        <v>16</v>
      </c>
      <c r="J76" s="2">
        <v>43</v>
      </c>
      <c r="K76" s="2" t="s">
        <v>142</v>
      </c>
      <c r="L76" s="223" t="s">
        <v>0</v>
      </c>
      <c r="M76" s="223" t="s">
        <v>19</v>
      </c>
      <c r="N76" s="223" t="s">
        <v>7</v>
      </c>
      <c r="O76" s="224">
        <v>2</v>
      </c>
      <c r="P76" s="2">
        <v>22</v>
      </c>
      <c r="Q76" s="195">
        <v>17</v>
      </c>
      <c r="S76" s="2">
        <v>43</v>
      </c>
      <c r="T76" s="2" t="s">
        <v>237</v>
      </c>
      <c r="U76" s="223" t="s">
        <v>0</v>
      </c>
      <c r="V76" s="223" t="s">
        <v>19</v>
      </c>
      <c r="W76" s="223" t="s">
        <v>7</v>
      </c>
      <c r="X76" s="224">
        <v>2</v>
      </c>
      <c r="Y76" s="2">
        <v>23</v>
      </c>
      <c r="Z76" s="195">
        <v>18</v>
      </c>
      <c r="AB76">
        <f t="shared" si="3"/>
        <v>1</v>
      </c>
      <c r="AD76" s="2">
        <v>43</v>
      </c>
      <c r="AE76" s="2" t="s">
        <v>237</v>
      </c>
      <c r="AF76" s="223" t="s">
        <v>0</v>
      </c>
      <c r="AG76" s="223" t="s">
        <v>19</v>
      </c>
      <c r="AH76" s="223" t="s">
        <v>7</v>
      </c>
      <c r="AI76" s="224">
        <v>2</v>
      </c>
      <c r="AJ76" s="2">
        <v>24</v>
      </c>
      <c r="AK76" s="195">
        <v>19</v>
      </c>
      <c r="AM76">
        <f t="shared" si="4"/>
        <v>1</v>
      </c>
      <c r="AN76">
        <v>1</v>
      </c>
      <c r="AO76" t="b">
        <f t="shared" si="5"/>
        <v>1</v>
      </c>
    </row>
    <row r="77" spans="1:41" x14ac:dyDescent="0.25">
      <c r="A77" s="2">
        <v>43</v>
      </c>
      <c r="B77" s="2" t="s">
        <v>333</v>
      </c>
      <c r="C77" s="223" t="s">
        <v>0</v>
      </c>
      <c r="D77" s="223" t="s">
        <v>19</v>
      </c>
      <c r="E77" s="223" t="s">
        <v>14</v>
      </c>
      <c r="F77" s="224">
        <v>1</v>
      </c>
      <c r="G77" s="2">
        <v>21</v>
      </c>
      <c r="H77" s="195">
        <v>19</v>
      </c>
      <c r="J77" s="2">
        <v>43</v>
      </c>
      <c r="K77" s="2" t="s">
        <v>143</v>
      </c>
      <c r="L77" s="223" t="s">
        <v>0</v>
      </c>
      <c r="M77" s="223" t="s">
        <v>19</v>
      </c>
      <c r="N77" s="223" t="s">
        <v>14</v>
      </c>
      <c r="O77" s="224">
        <v>1</v>
      </c>
      <c r="P77" s="2">
        <v>22</v>
      </c>
      <c r="Q77" s="195">
        <v>20</v>
      </c>
      <c r="S77" s="2">
        <v>43</v>
      </c>
      <c r="T77" s="2" t="s">
        <v>238</v>
      </c>
      <c r="U77" s="223" t="s">
        <v>0</v>
      </c>
      <c r="V77" s="223" t="s">
        <v>19</v>
      </c>
      <c r="W77" s="223" t="s">
        <v>14</v>
      </c>
      <c r="X77" s="224">
        <v>1</v>
      </c>
      <c r="Y77" s="2">
        <v>23</v>
      </c>
      <c r="Z77" s="195">
        <v>21</v>
      </c>
      <c r="AB77">
        <f t="shared" si="3"/>
        <v>1</v>
      </c>
      <c r="AD77" s="2">
        <v>43</v>
      </c>
      <c r="AE77" s="2" t="s">
        <v>238</v>
      </c>
      <c r="AF77" s="223" t="s">
        <v>0</v>
      </c>
      <c r="AG77" s="223" t="s">
        <v>19</v>
      </c>
      <c r="AH77" s="223" t="s">
        <v>14</v>
      </c>
      <c r="AI77" s="224">
        <v>1</v>
      </c>
      <c r="AJ77" s="2">
        <v>24</v>
      </c>
      <c r="AK77" s="195">
        <v>22</v>
      </c>
      <c r="AM77">
        <f t="shared" si="4"/>
        <v>1</v>
      </c>
      <c r="AN77">
        <v>1</v>
      </c>
      <c r="AO77" t="b">
        <f t="shared" si="5"/>
        <v>1</v>
      </c>
    </row>
    <row r="78" spans="1:41" x14ac:dyDescent="0.25">
      <c r="A78" s="2">
        <v>43</v>
      </c>
      <c r="B78" s="2" t="s">
        <v>334</v>
      </c>
      <c r="C78" s="223" t="s">
        <v>32</v>
      </c>
      <c r="D78" s="223" t="s">
        <v>18</v>
      </c>
      <c r="E78" s="223" t="s">
        <v>42</v>
      </c>
      <c r="F78" s="224">
        <v>1</v>
      </c>
      <c r="G78" s="2">
        <v>21</v>
      </c>
      <c r="H78" s="195">
        <v>17</v>
      </c>
      <c r="J78" s="2">
        <v>43</v>
      </c>
      <c r="K78" s="2" t="s">
        <v>144</v>
      </c>
      <c r="L78" s="223" t="s">
        <v>32</v>
      </c>
      <c r="M78" s="223" t="s">
        <v>18</v>
      </c>
      <c r="N78" s="223" t="s">
        <v>42</v>
      </c>
      <c r="O78" s="224">
        <v>1</v>
      </c>
      <c r="P78" s="2">
        <v>22</v>
      </c>
      <c r="Q78" s="195">
        <v>18</v>
      </c>
      <c r="S78" s="2">
        <v>43</v>
      </c>
      <c r="T78" s="2" t="s">
        <v>239</v>
      </c>
      <c r="U78" s="223" t="s">
        <v>32</v>
      </c>
      <c r="V78" s="223" t="s">
        <v>18</v>
      </c>
      <c r="W78" s="223" t="s">
        <v>42</v>
      </c>
      <c r="X78" s="224">
        <v>1</v>
      </c>
      <c r="Y78" s="2">
        <v>23</v>
      </c>
      <c r="Z78" s="195">
        <v>19</v>
      </c>
      <c r="AB78">
        <f t="shared" si="3"/>
        <v>1</v>
      </c>
      <c r="AD78" s="2">
        <v>43</v>
      </c>
      <c r="AE78" s="2" t="s">
        <v>239</v>
      </c>
      <c r="AF78" s="223" t="s">
        <v>32</v>
      </c>
      <c r="AG78" s="223" t="s">
        <v>18</v>
      </c>
      <c r="AH78" s="223" t="s">
        <v>42</v>
      </c>
      <c r="AI78" s="224">
        <v>1</v>
      </c>
      <c r="AJ78" s="2">
        <v>24</v>
      </c>
      <c r="AK78" s="195">
        <v>20</v>
      </c>
      <c r="AM78">
        <f t="shared" si="4"/>
        <v>1</v>
      </c>
      <c r="AN78">
        <v>1</v>
      </c>
      <c r="AO78" t="b">
        <f t="shared" si="5"/>
        <v>1</v>
      </c>
    </row>
    <row r="79" spans="1:41" x14ac:dyDescent="0.25">
      <c r="A79" s="2">
        <v>43</v>
      </c>
      <c r="B79" s="2" t="s">
        <v>335</v>
      </c>
      <c r="C79" s="223" t="s">
        <v>32</v>
      </c>
      <c r="D79" s="223" t="s">
        <v>18</v>
      </c>
      <c r="E79" s="352" t="s">
        <v>2</v>
      </c>
      <c r="F79" s="224">
        <v>2</v>
      </c>
      <c r="G79" s="2">
        <v>21</v>
      </c>
      <c r="H79" s="195">
        <v>19</v>
      </c>
      <c r="J79" s="2">
        <v>43</v>
      </c>
      <c r="K79" s="2" t="s">
        <v>145</v>
      </c>
      <c r="L79" s="223" t="s">
        <v>32</v>
      </c>
      <c r="M79" s="223" t="s">
        <v>18</v>
      </c>
      <c r="N79" s="352" t="s">
        <v>2</v>
      </c>
      <c r="O79" s="224">
        <v>2</v>
      </c>
      <c r="P79" s="2">
        <v>22</v>
      </c>
      <c r="Q79" s="195">
        <v>20</v>
      </c>
      <c r="S79" s="2">
        <v>43</v>
      </c>
      <c r="T79" s="2" t="s">
        <v>240</v>
      </c>
      <c r="U79" s="223" t="s">
        <v>32</v>
      </c>
      <c r="V79" s="223" t="s">
        <v>18</v>
      </c>
      <c r="W79" s="352" t="s">
        <v>2</v>
      </c>
      <c r="X79" s="224">
        <v>2</v>
      </c>
      <c r="Y79" s="2">
        <v>23</v>
      </c>
      <c r="Z79" s="195">
        <v>21</v>
      </c>
      <c r="AB79">
        <f t="shared" si="3"/>
        <v>1</v>
      </c>
      <c r="AD79" s="2">
        <v>43</v>
      </c>
      <c r="AE79" s="2" t="s">
        <v>240</v>
      </c>
      <c r="AF79" s="223" t="s">
        <v>32</v>
      </c>
      <c r="AG79" s="223" t="s">
        <v>18</v>
      </c>
      <c r="AH79" s="352" t="s">
        <v>2</v>
      </c>
      <c r="AI79" s="224">
        <v>2</v>
      </c>
      <c r="AJ79" s="2">
        <v>24</v>
      </c>
      <c r="AK79" s="195">
        <v>22</v>
      </c>
      <c r="AM79">
        <f t="shared" si="4"/>
        <v>1</v>
      </c>
      <c r="AN79">
        <v>1</v>
      </c>
      <c r="AO79" t="b">
        <f t="shared" si="5"/>
        <v>1</v>
      </c>
    </row>
    <row r="80" spans="1:41" x14ac:dyDescent="0.25">
      <c r="A80" s="2">
        <v>43</v>
      </c>
      <c r="B80" s="2" t="s">
        <v>336</v>
      </c>
      <c r="C80" s="223" t="s">
        <v>32</v>
      </c>
      <c r="D80" s="223" t="s">
        <v>18</v>
      </c>
      <c r="E80" s="352" t="s">
        <v>67</v>
      </c>
      <c r="F80" s="224">
        <v>1</v>
      </c>
      <c r="G80" s="2">
        <v>21</v>
      </c>
      <c r="H80" s="195">
        <v>20</v>
      </c>
      <c r="J80" s="2">
        <v>43</v>
      </c>
      <c r="K80" s="2" t="s">
        <v>146</v>
      </c>
      <c r="L80" s="223" t="s">
        <v>32</v>
      </c>
      <c r="M80" s="223" t="s">
        <v>18</v>
      </c>
      <c r="N80" s="352" t="s">
        <v>67</v>
      </c>
      <c r="O80" s="224">
        <v>1</v>
      </c>
      <c r="P80" s="2">
        <v>22</v>
      </c>
      <c r="Q80" s="195">
        <v>21</v>
      </c>
      <c r="S80" s="2">
        <v>43</v>
      </c>
      <c r="T80" s="2" t="s">
        <v>241</v>
      </c>
      <c r="U80" s="223" t="s">
        <v>32</v>
      </c>
      <c r="V80" s="223" t="s">
        <v>18</v>
      </c>
      <c r="W80" s="352" t="s">
        <v>67</v>
      </c>
      <c r="X80" s="224">
        <v>1</v>
      </c>
      <c r="Y80" s="2">
        <v>23</v>
      </c>
      <c r="Z80" s="195">
        <v>22</v>
      </c>
      <c r="AB80">
        <f t="shared" si="3"/>
        <v>1</v>
      </c>
      <c r="AD80" s="2">
        <v>43</v>
      </c>
      <c r="AE80" s="2" t="s">
        <v>241</v>
      </c>
      <c r="AF80" s="223" t="s">
        <v>32</v>
      </c>
      <c r="AG80" s="223" t="s">
        <v>18</v>
      </c>
      <c r="AH80" s="352" t="s">
        <v>67</v>
      </c>
      <c r="AI80" s="224">
        <v>1</v>
      </c>
      <c r="AJ80" s="2">
        <v>24</v>
      </c>
      <c r="AK80" s="195">
        <v>23</v>
      </c>
      <c r="AM80">
        <f t="shared" si="4"/>
        <v>1</v>
      </c>
      <c r="AN80">
        <v>1</v>
      </c>
      <c r="AO80" t="b">
        <f t="shared" si="5"/>
        <v>1</v>
      </c>
    </row>
    <row r="81" spans="1:41" x14ac:dyDescent="0.25">
      <c r="A81" s="2">
        <v>43</v>
      </c>
      <c r="B81" s="2" t="s">
        <v>337</v>
      </c>
      <c r="C81" s="223" t="s">
        <v>32</v>
      </c>
      <c r="D81" s="223" t="s">
        <v>18</v>
      </c>
      <c r="E81" s="223" t="s">
        <v>4</v>
      </c>
      <c r="F81" s="224">
        <v>2</v>
      </c>
      <c r="G81" s="2">
        <v>21</v>
      </c>
      <c r="H81" s="195">
        <v>21</v>
      </c>
      <c r="J81" s="2">
        <v>43</v>
      </c>
      <c r="K81" s="2" t="s">
        <v>147</v>
      </c>
      <c r="L81" s="223" t="s">
        <v>32</v>
      </c>
      <c r="M81" s="223" t="s">
        <v>18</v>
      </c>
      <c r="N81" s="223" t="s">
        <v>4</v>
      </c>
      <c r="O81" s="224">
        <v>2</v>
      </c>
      <c r="P81" s="2">
        <v>22</v>
      </c>
      <c r="Q81" s="195">
        <v>22</v>
      </c>
      <c r="S81" s="2">
        <v>43</v>
      </c>
      <c r="T81" s="2" t="s">
        <v>242</v>
      </c>
      <c r="U81" s="223" t="s">
        <v>32</v>
      </c>
      <c r="V81" s="223" t="s">
        <v>18</v>
      </c>
      <c r="W81" s="223" t="s">
        <v>4</v>
      </c>
      <c r="X81" s="224">
        <v>2</v>
      </c>
      <c r="Y81" s="2">
        <v>23</v>
      </c>
      <c r="Z81" s="195">
        <v>24</v>
      </c>
      <c r="AB81">
        <f t="shared" si="3"/>
        <v>2</v>
      </c>
      <c r="AD81" s="2">
        <v>43</v>
      </c>
      <c r="AE81" s="2" t="s">
        <v>242</v>
      </c>
      <c r="AF81" s="223" t="s">
        <v>32</v>
      </c>
      <c r="AG81" s="223" t="s">
        <v>18</v>
      </c>
      <c r="AH81" s="223" t="s">
        <v>4</v>
      </c>
      <c r="AI81" s="224">
        <v>2</v>
      </c>
      <c r="AJ81" s="2">
        <v>24</v>
      </c>
      <c r="AK81" s="195">
        <v>26</v>
      </c>
      <c r="AM81">
        <f t="shared" si="4"/>
        <v>2</v>
      </c>
      <c r="AN81">
        <v>2</v>
      </c>
      <c r="AO81" t="b">
        <f t="shared" si="5"/>
        <v>1</v>
      </c>
    </row>
    <row r="82" spans="1:41" x14ac:dyDescent="0.25">
      <c r="A82" s="2">
        <v>43</v>
      </c>
      <c r="B82" s="2" t="s">
        <v>338</v>
      </c>
      <c r="C82" s="223" t="s">
        <v>32</v>
      </c>
      <c r="D82" s="223" t="s">
        <v>18</v>
      </c>
      <c r="E82" s="223" t="s">
        <v>10</v>
      </c>
      <c r="F82" s="224">
        <v>1</v>
      </c>
      <c r="G82" s="2">
        <v>21</v>
      </c>
      <c r="H82" s="195">
        <v>23</v>
      </c>
      <c r="J82" s="2">
        <v>43</v>
      </c>
      <c r="K82" s="2" t="s">
        <v>148</v>
      </c>
      <c r="L82" s="223" t="s">
        <v>32</v>
      </c>
      <c r="M82" s="223" t="s">
        <v>18</v>
      </c>
      <c r="N82" s="223" t="s">
        <v>10</v>
      </c>
      <c r="O82" s="224">
        <v>1</v>
      </c>
      <c r="P82" s="2">
        <v>22</v>
      </c>
      <c r="Q82" s="195">
        <v>25</v>
      </c>
      <c r="S82" s="2">
        <v>43</v>
      </c>
      <c r="T82" s="2" t="s">
        <v>243</v>
      </c>
      <c r="U82" s="223" t="s">
        <v>32</v>
      </c>
      <c r="V82" s="223" t="s">
        <v>18</v>
      </c>
      <c r="W82" s="223" t="s">
        <v>10</v>
      </c>
      <c r="X82" s="224">
        <v>1</v>
      </c>
      <c r="Y82" s="2">
        <v>23</v>
      </c>
      <c r="Z82" s="195">
        <v>27</v>
      </c>
      <c r="AB82">
        <f t="shared" si="3"/>
        <v>2</v>
      </c>
      <c r="AD82" s="2">
        <v>43</v>
      </c>
      <c r="AE82" s="2" t="s">
        <v>243</v>
      </c>
      <c r="AF82" s="223" t="s">
        <v>32</v>
      </c>
      <c r="AG82" s="223" t="s">
        <v>18</v>
      </c>
      <c r="AH82" s="223" t="s">
        <v>10</v>
      </c>
      <c r="AI82" s="224">
        <v>1</v>
      </c>
      <c r="AJ82" s="2">
        <v>24</v>
      </c>
      <c r="AK82" s="195">
        <v>29</v>
      </c>
      <c r="AM82">
        <f t="shared" si="4"/>
        <v>2</v>
      </c>
      <c r="AN82">
        <v>2</v>
      </c>
      <c r="AO82" t="b">
        <f t="shared" si="5"/>
        <v>1</v>
      </c>
    </row>
    <row r="83" spans="1:41" x14ac:dyDescent="0.25">
      <c r="A83" s="2">
        <v>43</v>
      </c>
      <c r="B83" s="2" t="s">
        <v>339</v>
      </c>
      <c r="C83" s="223" t="s">
        <v>32</v>
      </c>
      <c r="D83" s="223" t="s">
        <v>18</v>
      </c>
      <c r="E83" s="223" t="s">
        <v>8</v>
      </c>
      <c r="F83" s="224">
        <v>2</v>
      </c>
      <c r="G83" s="2">
        <v>21</v>
      </c>
      <c r="H83" s="195">
        <v>25</v>
      </c>
      <c r="J83" s="2">
        <v>43</v>
      </c>
      <c r="K83" s="2" t="s">
        <v>149</v>
      </c>
      <c r="L83" s="223" t="s">
        <v>32</v>
      </c>
      <c r="M83" s="223" t="s">
        <v>18</v>
      </c>
      <c r="N83" s="223" t="s">
        <v>8</v>
      </c>
      <c r="O83" s="224">
        <v>2</v>
      </c>
      <c r="P83" s="2">
        <v>22</v>
      </c>
      <c r="Q83" s="195">
        <v>27</v>
      </c>
      <c r="S83" s="2">
        <v>43</v>
      </c>
      <c r="T83" s="2" t="s">
        <v>244</v>
      </c>
      <c r="U83" s="223" t="s">
        <v>32</v>
      </c>
      <c r="V83" s="223" t="s">
        <v>18</v>
      </c>
      <c r="W83" s="223" t="s">
        <v>8</v>
      </c>
      <c r="X83" s="224">
        <v>2</v>
      </c>
      <c r="Y83" s="2">
        <v>23</v>
      </c>
      <c r="Z83" s="195">
        <v>29</v>
      </c>
      <c r="AB83">
        <f t="shared" si="3"/>
        <v>2</v>
      </c>
      <c r="AD83" s="2">
        <v>43</v>
      </c>
      <c r="AE83" s="2" t="s">
        <v>244</v>
      </c>
      <c r="AF83" s="223" t="s">
        <v>32</v>
      </c>
      <c r="AG83" s="223" t="s">
        <v>18</v>
      </c>
      <c r="AH83" s="223" t="s">
        <v>8</v>
      </c>
      <c r="AI83" s="224">
        <v>2</v>
      </c>
      <c r="AJ83" s="2">
        <v>24</v>
      </c>
      <c r="AK83" s="195">
        <v>31</v>
      </c>
      <c r="AM83">
        <f t="shared" si="4"/>
        <v>2</v>
      </c>
      <c r="AN83">
        <v>2</v>
      </c>
      <c r="AO83" t="b">
        <f t="shared" si="5"/>
        <v>1</v>
      </c>
    </row>
    <row r="84" spans="1:41" x14ac:dyDescent="0.25">
      <c r="A84" s="2">
        <v>43</v>
      </c>
      <c r="B84" s="2" t="s">
        <v>340</v>
      </c>
      <c r="C84" s="223" t="s">
        <v>32</v>
      </c>
      <c r="D84" s="223" t="s">
        <v>18</v>
      </c>
      <c r="E84" s="223" t="s">
        <v>3</v>
      </c>
      <c r="F84" s="224">
        <v>1</v>
      </c>
      <c r="G84" s="2">
        <v>21</v>
      </c>
      <c r="H84" s="195">
        <v>28</v>
      </c>
      <c r="J84" s="2">
        <v>43</v>
      </c>
      <c r="K84" s="2" t="s">
        <v>150</v>
      </c>
      <c r="L84" s="223" t="s">
        <v>32</v>
      </c>
      <c r="M84" s="223" t="s">
        <v>18</v>
      </c>
      <c r="N84" s="223" t="s">
        <v>3</v>
      </c>
      <c r="O84" s="224">
        <v>1</v>
      </c>
      <c r="P84" s="2">
        <v>22</v>
      </c>
      <c r="Q84" s="195">
        <v>29</v>
      </c>
      <c r="S84" s="2">
        <v>43</v>
      </c>
      <c r="T84" s="2" t="s">
        <v>245</v>
      </c>
      <c r="U84" s="223" t="s">
        <v>32</v>
      </c>
      <c r="V84" s="223" t="s">
        <v>18</v>
      </c>
      <c r="W84" s="223" t="s">
        <v>3</v>
      </c>
      <c r="X84" s="224">
        <v>1</v>
      </c>
      <c r="Y84" s="2">
        <v>23</v>
      </c>
      <c r="Z84" s="195">
        <v>31</v>
      </c>
      <c r="AB84">
        <f t="shared" si="3"/>
        <v>2</v>
      </c>
      <c r="AD84" s="2">
        <v>43</v>
      </c>
      <c r="AE84" s="2" t="s">
        <v>245</v>
      </c>
      <c r="AF84" s="223" t="s">
        <v>32</v>
      </c>
      <c r="AG84" s="223" t="s">
        <v>18</v>
      </c>
      <c r="AH84" s="223" t="s">
        <v>3</v>
      </c>
      <c r="AI84" s="224">
        <v>1</v>
      </c>
      <c r="AJ84" s="2">
        <v>24</v>
      </c>
      <c r="AK84" s="195">
        <v>33</v>
      </c>
      <c r="AM84">
        <f t="shared" si="4"/>
        <v>2</v>
      </c>
      <c r="AN84">
        <v>2</v>
      </c>
      <c r="AO84" t="b">
        <f t="shared" si="5"/>
        <v>1</v>
      </c>
    </row>
    <row r="85" spans="1:41" x14ac:dyDescent="0.25">
      <c r="A85" s="2">
        <v>43</v>
      </c>
      <c r="B85" s="2" t="s">
        <v>341</v>
      </c>
      <c r="C85" s="223" t="s">
        <v>32</v>
      </c>
      <c r="D85" s="223" t="s">
        <v>18</v>
      </c>
      <c r="E85" s="223" t="s">
        <v>6</v>
      </c>
      <c r="F85" s="224">
        <v>2</v>
      </c>
      <c r="G85" s="2">
        <v>21</v>
      </c>
      <c r="H85" s="195">
        <v>30</v>
      </c>
      <c r="J85" s="2">
        <v>43</v>
      </c>
      <c r="K85" s="2" t="s">
        <v>151</v>
      </c>
      <c r="L85" s="223" t="s">
        <v>32</v>
      </c>
      <c r="M85" s="223" t="s">
        <v>18</v>
      </c>
      <c r="N85" s="223" t="s">
        <v>6</v>
      </c>
      <c r="O85" s="224">
        <v>2</v>
      </c>
      <c r="P85" s="2">
        <v>22</v>
      </c>
      <c r="Q85" s="195">
        <v>32</v>
      </c>
      <c r="S85" s="2">
        <v>43</v>
      </c>
      <c r="T85" s="2" t="s">
        <v>246</v>
      </c>
      <c r="U85" s="223" t="s">
        <v>32</v>
      </c>
      <c r="V85" s="223" t="s">
        <v>18</v>
      </c>
      <c r="W85" s="223" t="s">
        <v>6</v>
      </c>
      <c r="X85" s="224">
        <v>2</v>
      </c>
      <c r="Y85" s="2">
        <v>23</v>
      </c>
      <c r="Z85" s="195">
        <v>34</v>
      </c>
      <c r="AB85">
        <f t="shared" si="3"/>
        <v>2</v>
      </c>
      <c r="AD85" s="2">
        <v>43</v>
      </c>
      <c r="AE85" s="2" t="s">
        <v>246</v>
      </c>
      <c r="AF85" s="223" t="s">
        <v>32</v>
      </c>
      <c r="AG85" s="223" t="s">
        <v>18</v>
      </c>
      <c r="AH85" s="223" t="s">
        <v>6</v>
      </c>
      <c r="AI85" s="224">
        <v>2</v>
      </c>
      <c r="AJ85" s="2">
        <v>24</v>
      </c>
      <c r="AK85" s="195">
        <v>36</v>
      </c>
      <c r="AM85">
        <f t="shared" si="4"/>
        <v>2</v>
      </c>
      <c r="AN85">
        <v>2</v>
      </c>
      <c r="AO85" t="b">
        <f t="shared" si="5"/>
        <v>1</v>
      </c>
    </row>
    <row r="86" spans="1:41" x14ac:dyDescent="0.25">
      <c r="A86" s="2">
        <v>43</v>
      </c>
      <c r="B86" s="2" t="s">
        <v>342</v>
      </c>
      <c r="C86" s="223" t="s">
        <v>32</v>
      </c>
      <c r="D86" s="223" t="s">
        <v>18</v>
      </c>
      <c r="E86" s="223" t="s">
        <v>47</v>
      </c>
      <c r="F86" s="224">
        <v>1</v>
      </c>
      <c r="G86" s="2">
        <v>21</v>
      </c>
      <c r="H86" s="195">
        <v>32</v>
      </c>
      <c r="J86" s="2">
        <v>43</v>
      </c>
      <c r="K86" s="2" t="s">
        <v>152</v>
      </c>
      <c r="L86" s="223" t="s">
        <v>32</v>
      </c>
      <c r="M86" s="223" t="s">
        <v>18</v>
      </c>
      <c r="N86" s="223" t="s">
        <v>47</v>
      </c>
      <c r="O86" s="224">
        <v>1</v>
      </c>
      <c r="P86" s="2">
        <v>22</v>
      </c>
      <c r="Q86" s="195">
        <v>34</v>
      </c>
      <c r="S86" s="2">
        <v>43</v>
      </c>
      <c r="T86" s="2" t="s">
        <v>247</v>
      </c>
      <c r="U86" s="223" t="s">
        <v>32</v>
      </c>
      <c r="V86" s="223" t="s">
        <v>18</v>
      </c>
      <c r="W86" s="223" t="s">
        <v>47</v>
      </c>
      <c r="X86" s="224">
        <v>1</v>
      </c>
      <c r="Y86" s="2">
        <v>23</v>
      </c>
      <c r="Z86" s="195">
        <v>36</v>
      </c>
      <c r="AB86">
        <f t="shared" si="3"/>
        <v>2</v>
      </c>
      <c r="AD86" s="2">
        <v>43</v>
      </c>
      <c r="AE86" s="2" t="s">
        <v>247</v>
      </c>
      <c r="AF86" s="223" t="s">
        <v>32</v>
      </c>
      <c r="AG86" s="223" t="s">
        <v>18</v>
      </c>
      <c r="AH86" s="223" t="s">
        <v>47</v>
      </c>
      <c r="AI86" s="224">
        <v>1</v>
      </c>
      <c r="AJ86" s="2">
        <v>24</v>
      </c>
      <c r="AK86" s="195">
        <v>38</v>
      </c>
      <c r="AM86">
        <f t="shared" si="4"/>
        <v>2</v>
      </c>
      <c r="AN86">
        <v>2</v>
      </c>
      <c r="AO86" t="b">
        <f t="shared" si="5"/>
        <v>1</v>
      </c>
    </row>
    <row r="87" spans="1:41" x14ac:dyDescent="0.25">
      <c r="A87" s="2">
        <v>43</v>
      </c>
      <c r="B87" s="2" t="s">
        <v>343</v>
      </c>
      <c r="C87" s="223" t="s">
        <v>32</v>
      </c>
      <c r="D87" s="223" t="s">
        <v>18</v>
      </c>
      <c r="E87" s="223" t="s">
        <v>12</v>
      </c>
      <c r="F87" s="224">
        <v>2</v>
      </c>
      <c r="G87" s="2">
        <v>21</v>
      </c>
      <c r="H87" s="195">
        <v>36</v>
      </c>
      <c r="J87" s="2">
        <v>43</v>
      </c>
      <c r="K87" s="2" t="s">
        <v>153</v>
      </c>
      <c r="L87" s="223" t="s">
        <v>32</v>
      </c>
      <c r="M87" s="223" t="s">
        <v>18</v>
      </c>
      <c r="N87" s="223" t="s">
        <v>12</v>
      </c>
      <c r="O87" s="224">
        <v>2</v>
      </c>
      <c r="P87" s="2">
        <v>22</v>
      </c>
      <c r="Q87" s="195">
        <v>37</v>
      </c>
      <c r="S87" s="2">
        <v>43</v>
      </c>
      <c r="T87" s="2" t="s">
        <v>248</v>
      </c>
      <c r="U87" s="223" t="s">
        <v>32</v>
      </c>
      <c r="V87" s="223" t="s">
        <v>18</v>
      </c>
      <c r="W87" s="223" t="s">
        <v>12</v>
      </c>
      <c r="X87" s="224">
        <v>2</v>
      </c>
      <c r="Y87" s="2">
        <v>23</v>
      </c>
      <c r="Z87" s="195">
        <v>39</v>
      </c>
      <c r="AB87">
        <f t="shared" si="3"/>
        <v>2</v>
      </c>
      <c r="AD87" s="2">
        <v>43</v>
      </c>
      <c r="AE87" s="2" t="s">
        <v>248</v>
      </c>
      <c r="AF87" s="223" t="s">
        <v>32</v>
      </c>
      <c r="AG87" s="223" t="s">
        <v>18</v>
      </c>
      <c r="AH87" s="223" t="s">
        <v>12</v>
      </c>
      <c r="AI87" s="224">
        <v>2</v>
      </c>
      <c r="AJ87" s="2">
        <v>24</v>
      </c>
      <c r="AK87" s="195">
        <v>41</v>
      </c>
      <c r="AM87">
        <f t="shared" si="4"/>
        <v>2</v>
      </c>
      <c r="AN87">
        <v>2</v>
      </c>
      <c r="AO87" t="b">
        <f t="shared" si="5"/>
        <v>1</v>
      </c>
    </row>
    <row r="88" spans="1:41" x14ac:dyDescent="0.25">
      <c r="A88" s="2">
        <v>43</v>
      </c>
      <c r="B88" s="2" t="s">
        <v>344</v>
      </c>
      <c r="C88" s="223" t="s">
        <v>32</v>
      </c>
      <c r="D88" s="223" t="s">
        <v>19</v>
      </c>
      <c r="E88" s="223" t="s">
        <v>9</v>
      </c>
      <c r="F88" s="224">
        <v>1</v>
      </c>
      <c r="G88" s="2">
        <v>21</v>
      </c>
      <c r="H88" s="195">
        <v>18</v>
      </c>
      <c r="J88" s="2">
        <v>43</v>
      </c>
      <c r="K88" s="2" t="s">
        <v>154</v>
      </c>
      <c r="L88" s="223" t="s">
        <v>32</v>
      </c>
      <c r="M88" s="223" t="s">
        <v>19</v>
      </c>
      <c r="N88" s="223" t="s">
        <v>9</v>
      </c>
      <c r="O88" s="224">
        <v>1</v>
      </c>
      <c r="P88" s="2">
        <v>22</v>
      </c>
      <c r="Q88" s="195">
        <v>19</v>
      </c>
      <c r="S88" s="2">
        <v>43</v>
      </c>
      <c r="T88" s="2" t="s">
        <v>249</v>
      </c>
      <c r="U88" s="223" t="s">
        <v>32</v>
      </c>
      <c r="V88" s="223" t="s">
        <v>19</v>
      </c>
      <c r="W88" s="223" t="s">
        <v>9</v>
      </c>
      <c r="X88" s="224">
        <v>1</v>
      </c>
      <c r="Y88" s="2">
        <v>23</v>
      </c>
      <c r="Z88" s="195">
        <v>20</v>
      </c>
      <c r="AB88">
        <f t="shared" si="3"/>
        <v>1</v>
      </c>
      <c r="AD88" s="2">
        <v>43</v>
      </c>
      <c r="AE88" s="2" t="s">
        <v>249</v>
      </c>
      <c r="AF88" s="223" t="s">
        <v>32</v>
      </c>
      <c r="AG88" s="223" t="s">
        <v>19</v>
      </c>
      <c r="AH88" s="223" t="s">
        <v>9</v>
      </c>
      <c r="AI88" s="224">
        <v>1</v>
      </c>
      <c r="AJ88" s="2">
        <v>24</v>
      </c>
      <c r="AK88" s="195">
        <v>21</v>
      </c>
      <c r="AM88">
        <f t="shared" si="4"/>
        <v>1</v>
      </c>
      <c r="AN88">
        <v>1</v>
      </c>
      <c r="AO88" t="b">
        <f t="shared" si="5"/>
        <v>1</v>
      </c>
    </row>
    <row r="89" spans="1:41" x14ac:dyDescent="0.25">
      <c r="A89" s="2">
        <v>43</v>
      </c>
      <c r="B89" s="2" t="s">
        <v>345</v>
      </c>
      <c r="C89" s="223" t="s">
        <v>32</v>
      </c>
      <c r="D89" s="223" t="s">
        <v>19</v>
      </c>
      <c r="E89" s="223" t="s">
        <v>41</v>
      </c>
      <c r="F89" s="224">
        <v>2</v>
      </c>
      <c r="G89" s="2">
        <v>21</v>
      </c>
      <c r="H89" s="195">
        <v>20</v>
      </c>
      <c r="J89" s="2">
        <v>43</v>
      </c>
      <c r="K89" s="2" t="s">
        <v>155</v>
      </c>
      <c r="L89" s="223" t="s">
        <v>32</v>
      </c>
      <c r="M89" s="223" t="s">
        <v>19</v>
      </c>
      <c r="N89" s="223" t="s">
        <v>41</v>
      </c>
      <c r="O89" s="224">
        <v>2</v>
      </c>
      <c r="P89" s="2">
        <v>22</v>
      </c>
      <c r="Q89" s="195">
        <v>21</v>
      </c>
      <c r="S89" s="2">
        <v>43</v>
      </c>
      <c r="T89" s="2" t="s">
        <v>250</v>
      </c>
      <c r="U89" s="223" t="s">
        <v>32</v>
      </c>
      <c r="V89" s="223" t="s">
        <v>19</v>
      </c>
      <c r="W89" s="223" t="s">
        <v>41</v>
      </c>
      <c r="X89" s="224">
        <v>2</v>
      </c>
      <c r="Y89" s="2">
        <v>23</v>
      </c>
      <c r="Z89" s="195">
        <v>22</v>
      </c>
      <c r="AB89">
        <f t="shared" si="3"/>
        <v>1</v>
      </c>
      <c r="AD89" s="2">
        <v>43</v>
      </c>
      <c r="AE89" s="2" t="s">
        <v>250</v>
      </c>
      <c r="AF89" s="223" t="s">
        <v>32</v>
      </c>
      <c r="AG89" s="223" t="s">
        <v>19</v>
      </c>
      <c r="AH89" s="223" t="s">
        <v>41</v>
      </c>
      <c r="AI89" s="224">
        <v>2</v>
      </c>
      <c r="AJ89" s="2">
        <v>24</v>
      </c>
      <c r="AK89" s="195">
        <v>23</v>
      </c>
      <c r="AM89">
        <f t="shared" si="4"/>
        <v>1</v>
      </c>
      <c r="AN89">
        <v>1</v>
      </c>
      <c r="AO89" t="b">
        <f t="shared" si="5"/>
        <v>1</v>
      </c>
    </row>
    <row r="90" spans="1:41" x14ac:dyDescent="0.25">
      <c r="A90" s="2">
        <v>43</v>
      </c>
      <c r="B90" s="2" t="s">
        <v>346</v>
      </c>
      <c r="C90" s="223" t="s">
        <v>32</v>
      </c>
      <c r="D90" s="223" t="s">
        <v>19</v>
      </c>
      <c r="E90" s="223" t="s">
        <v>40</v>
      </c>
      <c r="F90" s="224">
        <v>1</v>
      </c>
      <c r="G90" s="2">
        <v>21</v>
      </c>
      <c r="H90" s="195">
        <v>22</v>
      </c>
      <c r="J90" s="2">
        <v>43</v>
      </c>
      <c r="K90" s="2" t="s">
        <v>156</v>
      </c>
      <c r="L90" s="223" t="s">
        <v>32</v>
      </c>
      <c r="M90" s="223" t="s">
        <v>19</v>
      </c>
      <c r="N90" s="223" t="s">
        <v>40</v>
      </c>
      <c r="O90" s="224">
        <v>1</v>
      </c>
      <c r="P90" s="2">
        <v>22</v>
      </c>
      <c r="Q90" s="195">
        <v>24</v>
      </c>
      <c r="S90" s="2">
        <v>43</v>
      </c>
      <c r="T90" s="2" t="s">
        <v>251</v>
      </c>
      <c r="U90" s="223" t="s">
        <v>32</v>
      </c>
      <c r="V90" s="223" t="s">
        <v>19</v>
      </c>
      <c r="W90" s="223" t="s">
        <v>40</v>
      </c>
      <c r="X90" s="224">
        <v>1</v>
      </c>
      <c r="Y90" s="2">
        <v>23</v>
      </c>
      <c r="Z90" s="195">
        <v>26</v>
      </c>
      <c r="AB90">
        <f t="shared" si="3"/>
        <v>2</v>
      </c>
      <c r="AD90" s="2">
        <v>43</v>
      </c>
      <c r="AE90" s="2" t="s">
        <v>251</v>
      </c>
      <c r="AF90" s="223" t="s">
        <v>32</v>
      </c>
      <c r="AG90" s="223" t="s">
        <v>19</v>
      </c>
      <c r="AH90" s="223" t="s">
        <v>40</v>
      </c>
      <c r="AI90" s="224">
        <v>1</v>
      </c>
      <c r="AJ90" s="2">
        <v>24</v>
      </c>
      <c r="AK90" s="195">
        <v>28</v>
      </c>
      <c r="AM90">
        <f t="shared" si="4"/>
        <v>2</v>
      </c>
      <c r="AN90">
        <v>2</v>
      </c>
      <c r="AO90" t="b">
        <f t="shared" si="5"/>
        <v>1</v>
      </c>
    </row>
    <row r="91" spans="1:41" x14ac:dyDescent="0.25">
      <c r="A91" s="2">
        <v>43</v>
      </c>
      <c r="B91" s="2" t="s">
        <v>347</v>
      </c>
      <c r="C91" s="223" t="s">
        <v>32</v>
      </c>
      <c r="D91" s="223" t="s">
        <v>19</v>
      </c>
      <c r="E91" s="223" t="s">
        <v>13</v>
      </c>
      <c r="F91" s="224">
        <v>2</v>
      </c>
      <c r="G91" s="2">
        <v>21</v>
      </c>
      <c r="H91" s="195">
        <v>24</v>
      </c>
      <c r="J91" s="2">
        <v>43</v>
      </c>
      <c r="K91" s="2" t="s">
        <v>157</v>
      </c>
      <c r="L91" s="223" t="s">
        <v>32</v>
      </c>
      <c r="M91" s="223" t="s">
        <v>19</v>
      </c>
      <c r="N91" s="223" t="s">
        <v>13</v>
      </c>
      <c r="O91" s="224">
        <v>2</v>
      </c>
      <c r="P91" s="2">
        <v>22</v>
      </c>
      <c r="Q91" s="195">
        <v>26</v>
      </c>
      <c r="S91" s="2">
        <v>43</v>
      </c>
      <c r="T91" s="2" t="s">
        <v>252</v>
      </c>
      <c r="U91" s="223" t="s">
        <v>32</v>
      </c>
      <c r="V91" s="223" t="s">
        <v>19</v>
      </c>
      <c r="W91" s="223" t="s">
        <v>13</v>
      </c>
      <c r="X91" s="224">
        <v>2</v>
      </c>
      <c r="Y91" s="2">
        <v>23</v>
      </c>
      <c r="Z91" s="195">
        <v>28</v>
      </c>
      <c r="AB91">
        <f t="shared" si="3"/>
        <v>2</v>
      </c>
      <c r="AD91" s="2">
        <v>43</v>
      </c>
      <c r="AE91" s="2" t="s">
        <v>252</v>
      </c>
      <c r="AF91" s="223" t="s">
        <v>32</v>
      </c>
      <c r="AG91" s="223" t="s">
        <v>19</v>
      </c>
      <c r="AH91" s="223" t="s">
        <v>13</v>
      </c>
      <c r="AI91" s="224">
        <v>2</v>
      </c>
      <c r="AJ91" s="2">
        <v>24</v>
      </c>
      <c r="AK91" s="195">
        <v>30</v>
      </c>
      <c r="AM91">
        <f t="shared" si="4"/>
        <v>2</v>
      </c>
      <c r="AN91">
        <v>2</v>
      </c>
      <c r="AO91" t="b">
        <f t="shared" si="5"/>
        <v>1</v>
      </c>
    </row>
    <row r="92" spans="1:41" x14ac:dyDescent="0.25">
      <c r="A92" s="2">
        <v>43</v>
      </c>
      <c r="B92" s="2" t="s">
        <v>348</v>
      </c>
      <c r="C92" s="223" t="s">
        <v>32</v>
      </c>
      <c r="D92" s="223" t="s">
        <v>19</v>
      </c>
      <c r="E92" s="223" t="s">
        <v>15</v>
      </c>
      <c r="F92" s="224">
        <v>1</v>
      </c>
      <c r="G92" s="2">
        <v>21</v>
      </c>
      <c r="H92" s="195">
        <v>27</v>
      </c>
      <c r="J92" s="2">
        <v>43</v>
      </c>
      <c r="K92" s="2" t="s">
        <v>158</v>
      </c>
      <c r="L92" s="223" t="s">
        <v>32</v>
      </c>
      <c r="M92" s="223" t="s">
        <v>19</v>
      </c>
      <c r="N92" s="223" t="s">
        <v>15</v>
      </c>
      <c r="O92" s="224">
        <v>1</v>
      </c>
      <c r="P92" s="2">
        <v>22</v>
      </c>
      <c r="Q92" s="195">
        <v>30</v>
      </c>
      <c r="S92" s="2">
        <v>43</v>
      </c>
      <c r="T92" s="2" t="s">
        <v>253</v>
      </c>
      <c r="U92" s="223" t="s">
        <v>32</v>
      </c>
      <c r="V92" s="223" t="s">
        <v>19</v>
      </c>
      <c r="W92" s="223" t="s">
        <v>15</v>
      </c>
      <c r="X92" s="224">
        <v>1</v>
      </c>
      <c r="Y92" s="2">
        <v>23</v>
      </c>
      <c r="Z92" s="195">
        <v>30</v>
      </c>
      <c r="AB92">
        <f t="shared" si="3"/>
        <v>0</v>
      </c>
      <c r="AD92" s="2">
        <v>43</v>
      </c>
      <c r="AE92" s="2" t="s">
        <v>253</v>
      </c>
      <c r="AF92" s="223" t="s">
        <v>32</v>
      </c>
      <c r="AG92" s="223" t="s">
        <v>19</v>
      </c>
      <c r="AH92" s="223" t="s">
        <v>15</v>
      </c>
      <c r="AI92" s="224">
        <v>1</v>
      </c>
      <c r="AJ92" s="2">
        <v>24</v>
      </c>
      <c r="AK92" s="195">
        <v>30</v>
      </c>
      <c r="AM92">
        <f t="shared" si="4"/>
        <v>0</v>
      </c>
      <c r="AN92">
        <v>0</v>
      </c>
      <c r="AO92" t="b">
        <f t="shared" si="5"/>
        <v>1</v>
      </c>
    </row>
    <row r="93" spans="1:41" x14ac:dyDescent="0.25">
      <c r="A93" s="2">
        <v>43</v>
      </c>
      <c r="B93" s="2" t="s">
        <v>349</v>
      </c>
      <c r="C93" s="223" t="s">
        <v>32</v>
      </c>
      <c r="D93" s="223" t="s">
        <v>19</v>
      </c>
      <c r="E93" s="223" t="s">
        <v>11</v>
      </c>
      <c r="F93" s="224">
        <v>2</v>
      </c>
      <c r="G93" s="2">
        <v>21</v>
      </c>
      <c r="H93" s="195">
        <v>29</v>
      </c>
      <c r="J93" s="2">
        <v>43</v>
      </c>
      <c r="K93" s="2" t="s">
        <v>159</v>
      </c>
      <c r="L93" s="223" t="s">
        <v>32</v>
      </c>
      <c r="M93" s="223" t="s">
        <v>19</v>
      </c>
      <c r="N93" s="223" t="s">
        <v>11</v>
      </c>
      <c r="O93" s="224">
        <v>2</v>
      </c>
      <c r="P93" s="2">
        <v>22</v>
      </c>
      <c r="Q93" s="195">
        <v>31</v>
      </c>
      <c r="S93" s="2">
        <v>43</v>
      </c>
      <c r="T93" s="2" t="s">
        <v>254</v>
      </c>
      <c r="U93" s="223" t="s">
        <v>32</v>
      </c>
      <c r="V93" s="223" t="s">
        <v>19</v>
      </c>
      <c r="W93" s="223" t="s">
        <v>11</v>
      </c>
      <c r="X93" s="224">
        <v>2</v>
      </c>
      <c r="Y93" s="2">
        <v>23</v>
      </c>
      <c r="Z93" s="195">
        <v>33</v>
      </c>
      <c r="AB93">
        <f t="shared" si="3"/>
        <v>2</v>
      </c>
      <c r="AD93" s="2">
        <v>43</v>
      </c>
      <c r="AE93" s="2" t="s">
        <v>254</v>
      </c>
      <c r="AF93" s="223" t="s">
        <v>32</v>
      </c>
      <c r="AG93" s="223" t="s">
        <v>19</v>
      </c>
      <c r="AH93" s="223" t="s">
        <v>11</v>
      </c>
      <c r="AI93" s="224">
        <v>2</v>
      </c>
      <c r="AJ93" s="2">
        <v>24</v>
      </c>
      <c r="AK93" s="195">
        <v>35</v>
      </c>
      <c r="AM93">
        <f t="shared" si="4"/>
        <v>2</v>
      </c>
      <c r="AN93">
        <v>2</v>
      </c>
      <c r="AO93" t="b">
        <f t="shared" si="5"/>
        <v>1</v>
      </c>
    </row>
    <row r="94" spans="1:41" x14ac:dyDescent="0.25">
      <c r="A94" s="2">
        <v>43</v>
      </c>
      <c r="B94" s="2" t="s">
        <v>350</v>
      </c>
      <c r="C94" s="223" t="s">
        <v>32</v>
      </c>
      <c r="D94" s="223" t="s">
        <v>19</v>
      </c>
      <c r="E94" s="223" t="s">
        <v>59</v>
      </c>
      <c r="F94" s="224">
        <v>1</v>
      </c>
      <c r="G94" s="2">
        <v>21</v>
      </c>
      <c r="H94" s="195">
        <v>31</v>
      </c>
      <c r="J94" s="2">
        <v>43</v>
      </c>
      <c r="K94" s="2" t="s">
        <v>160</v>
      </c>
      <c r="L94" s="223" t="s">
        <v>32</v>
      </c>
      <c r="M94" s="223" t="s">
        <v>19</v>
      </c>
      <c r="N94" s="223" t="s">
        <v>59</v>
      </c>
      <c r="O94" s="224">
        <v>1</v>
      </c>
      <c r="P94" s="2">
        <v>22</v>
      </c>
      <c r="Q94" s="195">
        <v>33</v>
      </c>
      <c r="S94" s="2">
        <v>43</v>
      </c>
      <c r="T94" s="2" t="s">
        <v>255</v>
      </c>
      <c r="U94" s="223" t="s">
        <v>32</v>
      </c>
      <c r="V94" s="223" t="s">
        <v>19</v>
      </c>
      <c r="W94" s="223" t="s">
        <v>59</v>
      </c>
      <c r="X94" s="224">
        <v>1</v>
      </c>
      <c r="Y94" s="2">
        <v>23</v>
      </c>
      <c r="Z94" s="195">
        <v>35</v>
      </c>
      <c r="AB94">
        <f t="shared" si="3"/>
        <v>2</v>
      </c>
      <c r="AD94" s="2">
        <v>43</v>
      </c>
      <c r="AE94" s="2" t="s">
        <v>255</v>
      </c>
      <c r="AF94" s="223" t="s">
        <v>32</v>
      </c>
      <c r="AG94" s="223" t="s">
        <v>19</v>
      </c>
      <c r="AH94" s="223" t="s">
        <v>59</v>
      </c>
      <c r="AI94" s="224">
        <v>1</v>
      </c>
      <c r="AJ94" s="2">
        <v>24</v>
      </c>
      <c r="AK94" s="195">
        <v>37</v>
      </c>
      <c r="AM94">
        <f t="shared" si="4"/>
        <v>2</v>
      </c>
      <c r="AN94">
        <v>2</v>
      </c>
      <c r="AO94" t="b">
        <f t="shared" si="5"/>
        <v>1</v>
      </c>
    </row>
    <row r="95" spans="1:41" x14ac:dyDescent="0.25">
      <c r="A95" s="2">
        <v>43</v>
      </c>
      <c r="B95" s="2" t="s">
        <v>351</v>
      </c>
      <c r="C95" s="223" t="s">
        <v>32</v>
      </c>
      <c r="D95" s="223" t="s">
        <v>19</v>
      </c>
      <c r="E95" s="223" t="s">
        <v>7</v>
      </c>
      <c r="F95" s="224">
        <v>2</v>
      </c>
      <c r="G95" s="2">
        <v>21</v>
      </c>
      <c r="H95" s="195">
        <v>33</v>
      </c>
      <c r="J95" s="2">
        <v>43</v>
      </c>
      <c r="K95" s="2" t="s">
        <v>161</v>
      </c>
      <c r="L95" s="223" t="s">
        <v>32</v>
      </c>
      <c r="M95" s="223" t="s">
        <v>19</v>
      </c>
      <c r="N95" s="223" t="s">
        <v>7</v>
      </c>
      <c r="O95" s="224">
        <v>2</v>
      </c>
      <c r="P95" s="2">
        <v>22</v>
      </c>
      <c r="Q95" s="195">
        <v>35</v>
      </c>
      <c r="S95" s="2">
        <v>43</v>
      </c>
      <c r="T95" s="2" t="s">
        <v>256</v>
      </c>
      <c r="U95" s="223" t="s">
        <v>32</v>
      </c>
      <c r="V95" s="223" t="s">
        <v>19</v>
      </c>
      <c r="W95" s="223" t="s">
        <v>7</v>
      </c>
      <c r="X95" s="224">
        <v>2</v>
      </c>
      <c r="Y95" s="2">
        <v>23</v>
      </c>
      <c r="Z95" s="195">
        <v>37</v>
      </c>
      <c r="AB95">
        <f t="shared" si="3"/>
        <v>2</v>
      </c>
      <c r="AD95" s="2">
        <v>43</v>
      </c>
      <c r="AE95" s="2" t="s">
        <v>256</v>
      </c>
      <c r="AF95" s="223" t="s">
        <v>32</v>
      </c>
      <c r="AG95" s="223" t="s">
        <v>19</v>
      </c>
      <c r="AH95" s="223" t="s">
        <v>7</v>
      </c>
      <c r="AI95" s="224">
        <v>2</v>
      </c>
      <c r="AJ95" s="2">
        <v>24</v>
      </c>
      <c r="AK95" s="195">
        <v>39</v>
      </c>
      <c r="AM95">
        <f t="shared" si="4"/>
        <v>2</v>
      </c>
      <c r="AN95">
        <v>2</v>
      </c>
      <c r="AO95" t="b">
        <f t="shared" si="5"/>
        <v>1</v>
      </c>
    </row>
    <row r="96" spans="1:41" x14ac:dyDescent="0.25">
      <c r="A96" s="2">
        <v>43</v>
      </c>
      <c r="B96" s="2" t="s">
        <v>352</v>
      </c>
      <c r="C96" s="223" t="s">
        <v>32</v>
      </c>
      <c r="D96" s="223" t="s">
        <v>19</v>
      </c>
      <c r="E96" s="223" t="s">
        <v>14</v>
      </c>
      <c r="F96" s="224">
        <v>1</v>
      </c>
      <c r="G96" s="2">
        <v>21</v>
      </c>
      <c r="H96" s="195">
        <v>35</v>
      </c>
      <c r="J96" s="2">
        <v>43</v>
      </c>
      <c r="K96" s="2" t="s">
        <v>162</v>
      </c>
      <c r="L96" s="223" t="s">
        <v>32</v>
      </c>
      <c r="M96" s="223" t="s">
        <v>19</v>
      </c>
      <c r="N96" s="223" t="s">
        <v>14</v>
      </c>
      <c r="O96" s="224">
        <v>1</v>
      </c>
      <c r="P96" s="2">
        <v>22</v>
      </c>
      <c r="Q96" s="195">
        <v>38</v>
      </c>
      <c r="S96" s="2">
        <v>43</v>
      </c>
      <c r="T96" s="2" t="s">
        <v>257</v>
      </c>
      <c r="U96" s="223" t="s">
        <v>32</v>
      </c>
      <c r="V96" s="223" t="s">
        <v>19</v>
      </c>
      <c r="W96" s="223" t="s">
        <v>14</v>
      </c>
      <c r="X96" s="224">
        <v>1</v>
      </c>
      <c r="Y96" s="2">
        <v>23</v>
      </c>
      <c r="Z96" s="195">
        <v>40</v>
      </c>
      <c r="AB96">
        <f t="shared" si="3"/>
        <v>2</v>
      </c>
      <c r="AD96" s="2">
        <v>43</v>
      </c>
      <c r="AE96" s="2" t="s">
        <v>257</v>
      </c>
      <c r="AF96" s="223" t="s">
        <v>32</v>
      </c>
      <c r="AG96" s="223" t="s">
        <v>19</v>
      </c>
      <c r="AH96" s="223" t="s">
        <v>14</v>
      </c>
      <c r="AI96" s="224">
        <v>1</v>
      </c>
      <c r="AJ96" s="2">
        <v>24</v>
      </c>
      <c r="AK96" s="195">
        <v>42</v>
      </c>
      <c r="AM96">
        <f t="shared" si="4"/>
        <v>2</v>
      </c>
      <c r="AN96">
        <v>2</v>
      </c>
      <c r="AO96" t="b">
        <f t="shared" si="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8 formal</vt:lpstr>
      <vt:lpstr>7 formal 2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UPLOAD 14 - 24</vt:lpstr>
      <vt:lpstr>Sheet2</vt:lpstr>
      <vt:lpstr>'21'!Print_Area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Alamsyah</dc:creator>
  <cp:lastModifiedBy>Tunjung Sulaksono</cp:lastModifiedBy>
  <cp:lastPrinted>2025-10-09T02:46:25Z</cp:lastPrinted>
  <dcterms:created xsi:type="dcterms:W3CDTF">2020-01-21T00:47:17Z</dcterms:created>
  <dcterms:modified xsi:type="dcterms:W3CDTF">2026-02-07T01:52:50Z</dcterms:modified>
</cp:coreProperties>
</file>